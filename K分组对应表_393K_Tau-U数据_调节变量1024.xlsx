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说明" sheetId="1" state="visible" r:id="rId1"/>
    <sheet xmlns:r="http://schemas.openxmlformats.org/officeDocument/2006/relationships" name="K分组表" sheetId="2" state="visible" r:id="rId2"/>
    <sheet xmlns:r="http://schemas.openxmlformats.org/officeDocument/2006/relationships" name="Tau-U数据" sheetId="3" state="visible" r:id="rId3"/>
    <sheet xmlns:r="http://schemas.openxmlformats.org/officeDocument/2006/relationships" name="Tau-U填写说明" sheetId="4" state="visible" r:id="rId4"/>
    <sheet xmlns:r="http://schemas.openxmlformats.org/officeDocument/2006/relationships" name="各组汇总" sheetId="5" state="visible" r:id="rId5"/>
    <sheet xmlns:r="http://schemas.openxmlformats.org/officeDocument/2006/relationships" name="新增K取点" sheetId="6" state="visible" r:id="rId6"/>
    <sheet xmlns:r="http://schemas.openxmlformats.org/officeDocument/2006/relationships" name="变更记录" sheetId="7" state="visible" r:id="rId7"/>
    <sheet xmlns:r="http://schemas.openxmlformats.org/officeDocument/2006/relationships" name="取点核查记录" sheetId="8" state="visible" r:id="rId8"/>
  </sheets>
  <definedNames>
    <definedName name="_xlnm._FilterDatabase" localSheetId="1" hidden="1">'K分组表'!$A$1:$W$394</definedName>
    <definedName name="_xlnm._FilterDatabase" localSheetId="2" hidden="1">'Tau-U数据'!$A$1:$N$394</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00"/>
  </numFmts>
  <fonts count="42">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Noto Sans CJK SC"/>
      <family val="2"/>
      <b val="1"/>
      <sz val="12"/>
    </font>
    <font>
      <name val="Arial"/>
      <charset val="1"/>
      <family val="0"/>
      <sz val="10"/>
    </font>
    <font>
      <name val="Arial"/>
      <charset val="1"/>
      <family val="0"/>
      <b val="1"/>
      <sz val="10"/>
    </font>
    <font>
      <name val="Noto Sans CJK SC"/>
      <charset val="1"/>
      <family val="2"/>
      <b val="1"/>
      <sz val="10"/>
    </font>
    <font>
      <name val="Noto Sans CJK SC"/>
      <charset val="1"/>
      <family val="2"/>
      <sz val="10"/>
    </font>
    <font>
      <name val="Noto Sans CJK SC"/>
      <family val="2"/>
      <b val="1"/>
      <sz val="10"/>
    </font>
    <font>
      <name val="Noto Sans CJK SC"/>
      <family val="2"/>
      <sz val="10"/>
    </font>
    <font>
      <name val="Noto Sans CJK SC"/>
      <charset val="1"/>
      <family val="2"/>
      <b val="1"/>
      <sz val="12"/>
    </font>
    <font>
      <name val="Noto Sans CJK SC"/>
      <charset val="1"/>
      <family val="2"/>
      <b val="1"/>
      <color rgb="FF1F3864"/>
      <sz val="10"/>
    </font>
    <font>
      <name val="Arial"/>
      <charset val="1"/>
      <family val="0"/>
      <color rgb="FFC00000"/>
      <sz val="10"/>
    </font>
    <font>
      <name val="Noto Sans CJK SC"/>
      <charset val="1"/>
      <family val="2"/>
      <b val="1"/>
      <color theme="1"/>
      <sz val="11"/>
    </font>
    <font>
      <name val="Microsoft YaHei"/>
      <charset val="1"/>
      <family val="2"/>
      <color theme="1"/>
      <sz val="11"/>
    </font>
    <font>
      <name val="Noto Sans CJK SC"/>
      <family val="2"/>
      <color theme="1"/>
      <sz val="11"/>
    </font>
    <font>
      <name val="Microsoft YaHei"/>
      <charset val="1"/>
      <family val="2"/>
      <b val="1"/>
      <color theme="1"/>
      <sz val="11"/>
    </font>
    <font>
      <name val="Noto Sans CJK SC"/>
      <family val="2"/>
      <b val="1"/>
      <color theme="1"/>
      <sz val="11"/>
    </font>
    <font>
      <name val="Noto Sans CJK SC"/>
      <charset val="1"/>
      <family val="2"/>
      <color theme="1"/>
      <sz val="11"/>
    </font>
    <font>
      <name val="Calibri"/>
      <family val="2"/>
      <color theme="1"/>
      <sz val="11"/>
    </font>
    <font>
      <name val="Arial"/>
      <sz val="10"/>
    </font>
    <font>
      <name val="Arial"/>
      <sz val="10"/>
    </font>
    <font>
      <name val="Arial"/>
      <sz val="10"/>
    </font>
    <font>
      <name val="Arial"/>
      <b val="1"/>
      <sz val="12"/>
    </font>
    <font>
      <name val="Noto Sans CJK SC"/>
      <family val="2"/>
      <b val="1"/>
      <sz val="12"/>
    </font>
    <font>
      <name val="Arial"/>
      <sz val="10"/>
    </font>
    <font>
      <name val="Arial"/>
      <b val="1"/>
      <sz val="10"/>
    </font>
    <font>
      <name val="Noto Sans CJK SC"/>
      <family val="2"/>
      <b val="1"/>
      <sz val="10"/>
    </font>
    <font>
      <name val="Noto Sans CJK SC"/>
      <family val="2"/>
      <sz val="10"/>
    </font>
    <font>
      <name val="Noto Sans CJK SC"/>
      <family val="2"/>
      <b val="1"/>
      <sz val="10"/>
    </font>
    <font>
      <name val="Noto Sans CJK SC"/>
      <family val="2"/>
      <sz val="10"/>
    </font>
    <font>
      <name val="Noto Sans CJK SC"/>
      <family val="2"/>
      <b val="1"/>
      <sz val="12"/>
    </font>
    <font>
      <name val="Noto Sans CJK SC"/>
      <family val="2"/>
      <b val="1"/>
      <color rgb="FF1F3864"/>
      <sz val="10"/>
    </font>
    <font>
      <name val="Arial"/>
      <color rgb="FFC00000"/>
      <sz val="10"/>
    </font>
    <font>
      <name val="Noto Sans CJK SC"/>
      <family val="2"/>
      <b val="1"/>
      <color theme="1"/>
      <sz val="11"/>
    </font>
    <font>
      <name val="Microsoft YaHei"/>
      <family val="2"/>
      <color theme="1"/>
      <sz val="11"/>
    </font>
    <font>
      <name val="Noto Sans CJK SC"/>
      <family val="2"/>
      <color theme="1"/>
      <sz val="11"/>
    </font>
    <font>
      <name val="Microsoft YaHei"/>
      <family val="2"/>
      <b val="1"/>
      <color theme="1"/>
      <sz val="11"/>
    </font>
    <font>
      <name val="Noto Sans CJK SC"/>
      <family val="2"/>
      <b val="1"/>
      <color theme="1"/>
      <sz val="11"/>
    </font>
    <font>
      <name val="Noto Sans CJK SC"/>
      <family val="2"/>
      <color theme="1"/>
      <sz val="11"/>
    </font>
  </fonts>
  <fills count="29">
    <fill>
      <patternFill/>
    </fill>
    <fill>
      <patternFill patternType="gray125"/>
    </fill>
    <fill>
      <patternFill patternType="solid">
        <fgColor rgb="FFD9E1F2"/>
        <bgColor rgb="FFD9E2F3"/>
      </patternFill>
    </fill>
    <fill>
      <patternFill patternType="solid">
        <fgColor rgb="FFC6E0B4"/>
        <bgColor rgb="FFBDD7EE"/>
      </patternFill>
    </fill>
    <fill>
      <patternFill patternType="solid">
        <fgColor rgb="FFBDD7EE"/>
        <bgColor rgb="FFD9E1F2"/>
      </patternFill>
    </fill>
    <fill>
      <patternFill patternType="solid">
        <fgColor rgb="FFEDEDED"/>
        <bgColor rgb="FFE2EFDA"/>
      </patternFill>
    </fill>
    <fill>
      <patternFill patternType="solid">
        <fgColor rgb="FFFFF2CC"/>
        <bgColor rgb="FFFCE4D6"/>
      </patternFill>
    </fill>
    <fill>
      <patternFill patternType="solid">
        <fgColor rgb="FFDDEBF7"/>
        <bgColor rgb="FFD9E2F3"/>
      </patternFill>
    </fill>
    <fill>
      <patternFill patternType="solid">
        <fgColor rgb="FFE2EFDA"/>
        <bgColor rgb="FFEDEDED"/>
      </patternFill>
    </fill>
    <fill>
      <patternFill patternType="solid">
        <fgColor rgb="FFFCE4D6"/>
        <bgColor rgb="FFFFF2CC"/>
      </patternFill>
    </fill>
    <fill>
      <patternFill patternType="solid">
        <fgColor rgb="FFE4DFEC"/>
        <bgColor rgb="FFD9E1F2"/>
      </patternFill>
    </fill>
    <fill>
      <patternFill patternType="solid">
        <fgColor rgb="FFD9E2F3"/>
        <bgColor rgb="FFD9E1F2"/>
      </patternFill>
    </fill>
    <fill>
      <patternFill patternType="solid">
        <fgColor rgb="FFFFFFFF"/>
        <bgColor rgb="FFEDEDED"/>
      </patternFill>
    </fill>
    <fill>
      <patternFill/>
    </fill>
    <fill>
      <patternFill patternType="gray125"/>
    </fill>
    <fill>
      <patternFill patternType="solid">
        <fgColor rgb="FFD9E1F2"/>
      </patternFill>
    </fill>
    <fill>
      <patternFill patternType="solid">
        <fgColor rgb="FFC6E0B4"/>
      </patternFill>
    </fill>
    <fill>
      <patternFill patternType="solid">
        <fgColor rgb="FFBDD7EE"/>
      </patternFill>
    </fill>
    <fill>
      <patternFill patternType="solid">
        <fgColor rgb="FFEDEDED"/>
      </patternFill>
    </fill>
    <fill>
      <patternFill patternType="solid">
        <fgColor rgb="FFFFF2CC"/>
      </patternFill>
    </fill>
    <fill>
      <patternFill patternType="solid">
        <fgColor rgb="FFDDEBF7"/>
      </patternFill>
    </fill>
    <fill>
      <patternFill patternType="solid">
        <fgColor rgb="FFE2EFDA"/>
      </patternFill>
    </fill>
    <fill>
      <patternFill patternType="solid">
        <fgColor rgb="FFFCE4D6"/>
      </patternFill>
    </fill>
    <fill>
      <patternFill patternType="solid">
        <fgColor rgb="FFE4DFEC"/>
      </patternFill>
    </fill>
    <fill>
      <patternFill patternType="solid">
        <fgColor rgb="FFD9E2F3"/>
      </patternFill>
    </fill>
    <fill>
      <patternFill patternType="solid">
        <fgColor rgb="FFFFFFFF"/>
      </patternFill>
    </fill>
    <fill>
      <patternFill patternType="solid">
        <fgColor rgb="FFE2F0D9"/>
      </patternFill>
    </fill>
    <fill>
      <patternFill patternType="solid">
        <fgColor rgb="FFE7E6E6"/>
      </patternFill>
    </fill>
    <fill>
      <patternFill patternType="solid">
        <fgColor rgb="FFFFF2CC"/>
      </patternFill>
    </fill>
  </fills>
  <borders count="2">
    <border>
      <left/>
      <right/>
      <top/>
      <bottom/>
      <diagonal/>
    </border>
    <border>
      <left/>
      <right/>
      <top/>
      <bottom/>
      <diagonal/>
    </border>
  </borders>
  <cellStyleXfs count="6">
    <xf numFmtId="0" fontId="0" fillId="13" borderId="1" applyAlignment="1">
      <alignment horizontal="general" vertical="bottom"/>
    </xf>
    <xf numFmtId="43" fontId="3" fillId="13" borderId="1"/>
    <xf numFmtId="41" fontId="3" fillId="13" borderId="1"/>
    <xf numFmtId="44" fontId="3" fillId="13" borderId="1"/>
    <xf numFmtId="42" fontId="3" fillId="13" borderId="1"/>
    <xf numFmtId="9" fontId="3" fillId="13" borderId="1"/>
  </cellStyleXfs>
  <cellXfs count="2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9" fillId="5" borderId="0" applyAlignment="1" pivotButton="0" quotePrefix="0" xfId="0">
      <alignment horizontal="general" vertical="bottom"/>
    </xf>
    <xf numFmtId="0" fontId="6" fillId="6" borderId="0" applyAlignment="1" pivotButton="0" quotePrefix="0" xfId="0">
      <alignment horizontal="general" vertical="bottom"/>
    </xf>
    <xf numFmtId="0" fontId="9" fillId="7" borderId="0" applyAlignment="1" pivotButton="0" quotePrefix="0" xfId="0">
      <alignment horizontal="general" vertical="bottom"/>
    </xf>
    <xf numFmtId="0" fontId="6" fillId="8" borderId="0" applyAlignment="1" pivotButton="0" quotePrefix="0" xfId="0">
      <alignment horizontal="general" vertical="bottom"/>
    </xf>
    <xf numFmtId="0" fontId="9" fillId="8" borderId="0" applyAlignment="1" pivotButton="0" quotePrefix="0" xfId="0">
      <alignment horizontal="general" vertical="bottom"/>
    </xf>
    <xf numFmtId="0" fontId="11" fillId="5" borderId="0" applyAlignment="1" pivotButton="0" quotePrefix="0" xfId="0">
      <alignment horizontal="general" vertical="bottom"/>
    </xf>
    <xf numFmtId="0" fontId="7" fillId="2" borderId="0" applyAlignment="1" pivotButton="0" quotePrefix="0" xfId="0">
      <alignment horizontal="general" vertical="center" wrapText="1"/>
    </xf>
    <xf numFmtId="0" fontId="8" fillId="2" borderId="0" applyAlignment="1" pivotButton="0" quotePrefix="0" xfId="0">
      <alignment horizontal="general" vertical="center" wrapText="1"/>
    </xf>
    <xf numFmtId="0" fontId="6" fillId="0" borderId="0" applyAlignment="1" pivotButton="0" quotePrefix="0" xfId="0">
      <alignment horizontal="general" vertical="top"/>
    </xf>
    <xf numFmtId="0" fontId="9" fillId="0" borderId="0" applyAlignment="1" pivotButton="0" quotePrefix="0" xfId="0">
      <alignment horizontal="general" vertical="top"/>
    </xf>
    <xf numFmtId="164" fontId="6" fillId="0" borderId="0" applyAlignment="1" pivotButton="0" quotePrefix="0" xfId="0">
      <alignment horizontal="general" vertical="top"/>
    </xf>
    <xf numFmtId="0" fontId="6" fillId="7" borderId="0" applyAlignment="1" pivotButton="0" quotePrefix="0" xfId="0">
      <alignment horizontal="general" vertical="top" wrapText="1"/>
    </xf>
    <xf numFmtId="0" fontId="6" fillId="7" borderId="0" applyAlignment="1" pivotButton="0" quotePrefix="0" xfId="0">
      <alignment horizontal="general" vertical="top"/>
    </xf>
    <xf numFmtId="0" fontId="9" fillId="7" borderId="0" applyAlignment="1" pivotButton="0" quotePrefix="0" xfId="0">
      <alignment horizontal="general" vertical="top"/>
    </xf>
    <xf numFmtId="164" fontId="6" fillId="7" borderId="0" applyAlignment="1" pivotButton="0" quotePrefix="0" xfId="0">
      <alignment horizontal="general" vertical="top"/>
    </xf>
    <xf numFmtId="0" fontId="6" fillId="8" borderId="0" applyAlignment="1" pivotButton="0" quotePrefix="0" xfId="0">
      <alignment horizontal="general" vertical="top" wrapText="1"/>
    </xf>
    <xf numFmtId="0" fontId="6" fillId="8" borderId="0" applyAlignment="1" pivotButton="0" quotePrefix="0" xfId="0">
      <alignment horizontal="general" vertical="top"/>
    </xf>
    <xf numFmtId="0" fontId="9" fillId="8" borderId="0" applyAlignment="1" pivotButton="0" quotePrefix="0" xfId="0">
      <alignment horizontal="general" vertical="top"/>
    </xf>
    <xf numFmtId="164" fontId="6" fillId="8" borderId="0" applyAlignment="1" pivotButton="0" quotePrefix="0" xfId="0">
      <alignment horizontal="general" vertical="top"/>
    </xf>
    <xf numFmtId="0" fontId="6" fillId="9" borderId="0" applyAlignment="1" pivotButton="0" quotePrefix="0" xfId="0">
      <alignment horizontal="general" vertical="top"/>
    </xf>
    <xf numFmtId="0" fontId="9" fillId="9" borderId="0" applyAlignment="1" pivotButton="0" quotePrefix="0" xfId="0">
      <alignment horizontal="general" vertical="top"/>
    </xf>
    <xf numFmtId="0" fontId="6" fillId="9" borderId="0" applyAlignment="1" pivotButton="0" quotePrefix="0" xfId="0">
      <alignment horizontal="general" vertical="top" wrapText="1"/>
    </xf>
    <xf numFmtId="164" fontId="6" fillId="9"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0" applyAlignment="1" pivotButton="0" quotePrefix="0" xfId="0">
      <alignment horizontal="general" vertical="top"/>
    </xf>
    <xf numFmtId="0" fontId="9" fillId="10" borderId="0" applyAlignment="1" pivotButton="0" quotePrefix="0" xfId="0">
      <alignment horizontal="general" vertical="top"/>
    </xf>
    <xf numFmtId="164" fontId="6" fillId="10" borderId="0" applyAlignment="1" pivotButton="0" quotePrefix="0" xfId="0">
      <alignment horizontal="general" vertical="top"/>
    </xf>
    <xf numFmtId="0" fontId="9" fillId="9" borderId="0" applyAlignment="1" pivotButton="0" quotePrefix="0" xfId="0">
      <alignment horizontal="general" vertical="top" wrapText="1"/>
    </xf>
    <xf numFmtId="0" fontId="12" fillId="0" borderId="0" applyAlignment="1" pivotButton="0" quotePrefix="0" xfId="0">
      <alignment horizontal="general" vertical="bottom"/>
    </xf>
    <xf numFmtId="0" fontId="9" fillId="0" borderId="0" applyAlignment="1" pivotButton="0" quotePrefix="0" xfId="0">
      <alignment horizontal="general" vertical="top" wrapText="1"/>
    </xf>
    <xf numFmtId="0" fontId="13" fillId="0" borderId="0" applyAlignment="1" pivotButton="0" quotePrefix="0" xfId="0">
      <alignment horizontal="general" vertical="bottom"/>
    </xf>
    <xf numFmtId="0" fontId="6" fillId="0" borderId="0" applyAlignment="1" pivotButton="0" quotePrefix="0" xfId="0">
      <alignment horizontal="center" vertical="bottom"/>
    </xf>
    <xf numFmtId="0" fontId="14" fillId="0" borderId="0" applyAlignment="1" pivotButton="0" quotePrefix="0" xfId="0">
      <alignment horizontal="general" vertical="bottom"/>
    </xf>
    <xf numFmtId="0" fontId="6" fillId="5" borderId="0" applyAlignment="1" pivotButton="0" quotePrefix="0" xfId="0">
      <alignment horizontal="center" vertical="bottom"/>
    </xf>
    <xf numFmtId="0" fontId="0" fillId="5"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2" borderId="0" applyAlignment="1" pivotButton="0" quotePrefix="0" xfId="0">
      <alignment horizontal="general" vertical="bottom"/>
    </xf>
    <xf numFmtId="0" fontId="12" fillId="0" borderId="0" applyAlignment="1" pivotButton="0" quotePrefix="0" xfId="0">
      <alignment horizontal="general" vertical="bottom"/>
    </xf>
    <xf numFmtId="0" fontId="9" fillId="8" borderId="0" applyAlignment="1" pivotButton="0" quotePrefix="0" xfId="0">
      <alignment horizontal="general" vertical="top" wrapText="1"/>
    </xf>
    <xf numFmtId="0" fontId="8" fillId="2" borderId="0" applyAlignment="1" pivotButton="0" quotePrefix="0" xfId="0">
      <alignment horizontal="general" vertical="top" wrapText="1"/>
    </xf>
    <xf numFmtId="0" fontId="9" fillId="7" borderId="0" applyAlignment="1" pivotButton="0" quotePrefix="0" xfId="0">
      <alignment horizontal="general" vertical="top" wrapText="1"/>
    </xf>
    <xf numFmtId="0" fontId="11" fillId="7" borderId="0" applyAlignment="1" pivotButton="0" quotePrefix="0" xfId="0">
      <alignment horizontal="general" vertical="top" wrapText="1"/>
    </xf>
    <xf numFmtId="0" fontId="15" fillId="11" borderId="0" applyAlignment="1" pivotButton="0" quotePrefix="0" xfId="0">
      <alignment horizontal="general" vertical="bottom"/>
    </xf>
    <xf numFmtId="0" fontId="16" fillId="0" borderId="0" applyAlignment="1" pivotButton="0" quotePrefix="0" xfId="0">
      <alignment horizontal="general" vertical="bottom"/>
    </xf>
    <xf numFmtId="0" fontId="16" fillId="0" borderId="0" applyAlignment="1" pivotButton="0" quotePrefix="0" xfId="0">
      <alignment horizontal="general" vertical="bottom"/>
    </xf>
    <xf numFmtId="0" fontId="18" fillId="11" borderId="0" applyAlignment="1" pivotButton="0" quotePrefix="0" xfId="0">
      <alignment horizontal="general" vertical="top" wrapText="1"/>
    </xf>
    <xf numFmtId="0" fontId="15" fillId="11" borderId="0" applyAlignment="1" pivotButton="0" quotePrefix="0" xfId="0">
      <alignment horizontal="general" vertical="top" wrapText="1"/>
    </xf>
    <xf numFmtId="0" fontId="16" fillId="0" borderId="0" applyAlignment="1" pivotButton="0" quotePrefix="0" xfId="0">
      <alignment horizontal="general" vertical="top" wrapText="1"/>
    </xf>
    <xf numFmtId="0" fontId="20" fillId="0" borderId="0" applyAlignment="1" pivotButton="0" quotePrefix="0" xfId="0">
      <alignment horizontal="general" vertical="top" wrapText="1"/>
    </xf>
    <xf numFmtId="0" fontId="16" fillId="7" borderId="0" applyAlignment="1" pivotButton="0" quotePrefix="0" xfId="0">
      <alignment horizontal="general" vertical="top" wrapText="1"/>
    </xf>
    <xf numFmtId="0" fontId="20" fillId="7" borderId="0" applyAlignment="1" pivotButton="0" quotePrefix="0" xfId="0">
      <alignment horizontal="general" vertical="top" wrapText="1"/>
    </xf>
    <xf numFmtId="0" fontId="16" fillId="8" borderId="0" applyAlignment="1" pivotButton="0" quotePrefix="0" xfId="0">
      <alignment horizontal="general" vertical="top" wrapText="1"/>
    </xf>
    <xf numFmtId="0" fontId="20" fillId="8" borderId="0" applyAlignment="1" pivotButton="0" quotePrefix="0" xfId="0">
      <alignment horizontal="general" vertical="top" wrapText="1"/>
    </xf>
    <xf numFmtId="0" fontId="20" fillId="12" borderId="0" applyAlignment="1" pivotButton="0" quotePrefix="0" xfId="0">
      <alignment horizontal="general" vertical="top" wrapText="1"/>
    </xf>
    <xf numFmtId="0" fontId="16" fillId="10" borderId="0" applyAlignment="1" pivotButton="0" quotePrefix="0" xfId="0">
      <alignment horizontal="general" vertical="top" wrapText="1"/>
    </xf>
    <xf numFmtId="0" fontId="20" fillId="10" borderId="0" applyAlignment="1" pivotButton="0" quotePrefix="0" xfId="0">
      <alignment horizontal="general" vertical="top" wrapText="1"/>
    </xf>
    <xf numFmtId="0" fontId="17" fillId="8" borderId="0" applyAlignment="1" pivotButton="0" quotePrefix="0" xfId="0">
      <alignment horizontal="general" vertical="top" wrapText="1"/>
    </xf>
    <xf numFmtId="0" fontId="21" fillId="13" borderId="1" applyAlignment="1" pivotButton="0" quotePrefix="0" xfId="20">
      <alignment horizontal="general" vertical="bottom"/>
    </xf>
    <xf numFmtId="0" fontId="21" fillId="13" borderId="1" applyAlignment="1" pivotButton="0" quotePrefix="0" xfId="20">
      <alignment horizontal="general" vertical="bottom"/>
    </xf>
    <xf numFmtId="0" fontId="25" fillId="13" borderId="1" applyAlignment="1" pivotButton="0" quotePrefix="0" xfId="20">
      <alignment horizontal="general" vertical="top" wrapText="1"/>
    </xf>
    <xf numFmtId="0" fontId="27" fillId="13" borderId="1" applyAlignment="1" pivotButton="0" quotePrefix="0" xfId="20">
      <alignment horizontal="general" vertical="top" wrapText="1"/>
    </xf>
    <xf numFmtId="0" fontId="28" fillId="13" borderId="1" applyAlignment="1" pivotButton="0" quotePrefix="0" xfId="20">
      <alignment horizontal="general" vertical="top" wrapText="1"/>
    </xf>
    <xf numFmtId="0" fontId="29" fillId="13" borderId="1" applyAlignment="1" pivotButton="0" quotePrefix="0" xfId="20">
      <alignment horizontal="general" vertical="top" wrapText="1"/>
    </xf>
    <xf numFmtId="0" fontId="30" fillId="13" borderId="1" applyAlignment="1" pivotButton="0" quotePrefix="0" xfId="20">
      <alignment horizontal="general" vertical="top" wrapText="1"/>
    </xf>
    <xf numFmtId="0" fontId="28" fillId="15" borderId="1" applyAlignment="1" pivotButton="0" quotePrefix="0" xfId="20">
      <alignment horizontal="center" vertical="center" wrapText="1"/>
    </xf>
    <xf numFmtId="0" fontId="29" fillId="15" borderId="1" applyAlignment="1" pivotButton="0" quotePrefix="0" xfId="20">
      <alignment horizontal="center" vertical="center" wrapText="1"/>
    </xf>
    <xf numFmtId="0" fontId="29" fillId="16" borderId="1" applyAlignment="1" pivotButton="0" quotePrefix="0" xfId="20">
      <alignment horizontal="center" vertical="center" wrapText="1"/>
    </xf>
    <xf numFmtId="0" fontId="29" fillId="17" borderId="1" applyAlignment="1" pivotButton="0" quotePrefix="0" xfId="20">
      <alignment horizontal="center" vertical="center" wrapText="1"/>
    </xf>
    <xf numFmtId="0" fontId="27" fillId="13" borderId="1" applyAlignment="1" pivotButton="0" quotePrefix="0" xfId="20">
      <alignment horizontal="general" vertical="bottom"/>
    </xf>
    <xf numFmtId="0" fontId="30" fillId="13" borderId="1" applyAlignment="1" pivotButton="0" quotePrefix="0" xfId="20">
      <alignment horizontal="general" vertical="bottom"/>
    </xf>
    <xf numFmtId="0" fontId="30" fillId="18" borderId="1" applyAlignment="1" pivotButton="0" quotePrefix="0" xfId="20">
      <alignment horizontal="general" vertical="bottom"/>
    </xf>
    <xf numFmtId="0" fontId="27" fillId="19" borderId="1" applyAlignment="1" pivotButton="0" quotePrefix="0" xfId="20">
      <alignment horizontal="general" vertical="bottom"/>
    </xf>
    <xf numFmtId="0" fontId="30" fillId="20" borderId="1" applyAlignment="1" pivotButton="0" quotePrefix="0" xfId="20">
      <alignment horizontal="general" vertical="bottom"/>
    </xf>
    <xf numFmtId="0" fontId="27" fillId="21" borderId="1" applyAlignment="1" pivotButton="0" quotePrefix="0" xfId="20">
      <alignment horizontal="general" vertical="bottom"/>
    </xf>
    <xf numFmtId="0" fontId="30" fillId="21" borderId="1" applyAlignment="1" pivotButton="0" quotePrefix="0" xfId="20">
      <alignment horizontal="general" vertical="bottom"/>
    </xf>
    <xf numFmtId="0" fontId="32" fillId="18" borderId="1" applyAlignment="1" pivotButton="0" quotePrefix="0" xfId="20">
      <alignment horizontal="general" vertical="bottom"/>
    </xf>
    <xf numFmtId="0" fontId="28" fillId="15" borderId="1" applyAlignment="1" pivotButton="0" quotePrefix="0" xfId="20">
      <alignment horizontal="general" vertical="center" wrapText="1"/>
    </xf>
    <xf numFmtId="0" fontId="29" fillId="15" borderId="1" applyAlignment="1" pivotButton="0" quotePrefix="0" xfId="20">
      <alignment horizontal="general" vertical="center" wrapText="1"/>
    </xf>
    <xf numFmtId="0" fontId="27" fillId="13" borderId="1" applyAlignment="1" pivotButton="0" quotePrefix="0" xfId="20">
      <alignment horizontal="general" vertical="top"/>
    </xf>
    <xf numFmtId="0" fontId="30" fillId="13" borderId="1" applyAlignment="1" pivotButton="0" quotePrefix="0" xfId="20">
      <alignment horizontal="general" vertical="top"/>
    </xf>
    <xf numFmtId="164" fontId="27" fillId="13" borderId="1" applyAlignment="1" pivotButton="0" quotePrefix="0" xfId="20">
      <alignment horizontal="general" vertical="top"/>
    </xf>
    <xf numFmtId="0" fontId="27" fillId="20" borderId="1" applyAlignment="1" pivotButton="0" quotePrefix="0" xfId="20">
      <alignment horizontal="general" vertical="top" wrapText="1"/>
    </xf>
    <xf numFmtId="0" fontId="27" fillId="20" borderId="1" applyAlignment="1" pivotButton="0" quotePrefix="0" xfId="20">
      <alignment horizontal="general" vertical="top"/>
    </xf>
    <xf numFmtId="0" fontId="30" fillId="20" borderId="1" applyAlignment="1" pivotButton="0" quotePrefix="0" xfId="20">
      <alignment horizontal="general" vertical="top"/>
    </xf>
    <xf numFmtId="164" fontId="27" fillId="20" borderId="1" applyAlignment="1" pivotButton="0" quotePrefix="0" xfId="20">
      <alignment horizontal="general" vertical="top"/>
    </xf>
    <xf numFmtId="0" fontId="27" fillId="21" borderId="1" applyAlignment="1" pivotButton="0" quotePrefix="0" xfId="20">
      <alignment horizontal="general" vertical="top" wrapText="1"/>
    </xf>
    <xf numFmtId="0" fontId="27" fillId="21" borderId="1" applyAlignment="1" pivotButton="0" quotePrefix="0" xfId="20">
      <alignment horizontal="general" vertical="top"/>
    </xf>
    <xf numFmtId="0" fontId="30" fillId="21" borderId="1" applyAlignment="1" pivotButton="0" quotePrefix="0" xfId="20">
      <alignment horizontal="general" vertical="top"/>
    </xf>
    <xf numFmtId="164" fontId="27" fillId="21" borderId="1" applyAlignment="1" pivotButton="0" quotePrefix="0" xfId="20">
      <alignment horizontal="general" vertical="top"/>
    </xf>
    <xf numFmtId="0" fontId="27" fillId="22" borderId="1" applyAlignment="1" pivotButton="0" quotePrefix="0" xfId="20">
      <alignment horizontal="general" vertical="top"/>
    </xf>
    <xf numFmtId="0" fontId="30" fillId="22" borderId="1" applyAlignment="1" pivotButton="0" quotePrefix="0" xfId="20">
      <alignment horizontal="general" vertical="top"/>
    </xf>
    <xf numFmtId="0" fontId="27" fillId="22" borderId="1" applyAlignment="1" pivotButton="0" quotePrefix="0" xfId="20">
      <alignment horizontal="general" vertical="top" wrapText="1"/>
    </xf>
    <xf numFmtId="164" fontId="27" fillId="22" borderId="1" applyAlignment="1" pivotButton="0" quotePrefix="0" xfId="20">
      <alignment horizontal="general" vertical="top"/>
    </xf>
    <xf numFmtId="0" fontId="27" fillId="23" borderId="1" applyAlignment="1" pivotButton="0" quotePrefix="0" xfId="20">
      <alignment horizontal="general" vertical="top" wrapText="1"/>
    </xf>
    <xf numFmtId="0" fontId="27" fillId="23" borderId="1" applyAlignment="1" pivotButton="0" quotePrefix="0" xfId="20">
      <alignment horizontal="general" vertical="top"/>
    </xf>
    <xf numFmtId="0" fontId="30" fillId="23" borderId="1" applyAlignment="1" pivotButton="0" quotePrefix="0" xfId="20">
      <alignment horizontal="general" vertical="top"/>
    </xf>
    <xf numFmtId="164" fontId="27" fillId="23" borderId="1" applyAlignment="1" pivotButton="0" quotePrefix="0" xfId="20">
      <alignment horizontal="general" vertical="top"/>
    </xf>
    <xf numFmtId="0" fontId="30" fillId="22" borderId="1" applyAlignment="1" pivotButton="0" quotePrefix="0" xfId="20">
      <alignment horizontal="general" vertical="top" wrapText="1"/>
    </xf>
    <xf numFmtId="0" fontId="33" fillId="13" borderId="1" applyAlignment="1" pivotButton="0" quotePrefix="0" xfId="20">
      <alignment horizontal="general" vertical="bottom"/>
    </xf>
    <xf numFmtId="0" fontId="30" fillId="13" borderId="1" applyAlignment="1" pivotButton="0" quotePrefix="0" xfId="20">
      <alignment horizontal="general" vertical="top" wrapText="1"/>
    </xf>
    <xf numFmtId="0" fontId="34" fillId="13" borderId="1" applyAlignment="1" pivotButton="0" quotePrefix="0" xfId="20">
      <alignment horizontal="general" vertical="bottom"/>
    </xf>
    <xf numFmtId="0" fontId="27" fillId="13" borderId="1" applyAlignment="1" pivotButton="0" quotePrefix="0" xfId="20">
      <alignment horizontal="center" vertical="bottom"/>
    </xf>
    <xf numFmtId="0" fontId="35" fillId="13" borderId="1" applyAlignment="1" pivotButton="0" quotePrefix="0" xfId="20">
      <alignment horizontal="general" vertical="bottom"/>
    </xf>
    <xf numFmtId="0" fontId="27" fillId="18" borderId="1" applyAlignment="1" pivotButton="0" quotePrefix="0" xfId="20">
      <alignment horizontal="center" vertical="bottom"/>
    </xf>
    <xf numFmtId="0" fontId="21" fillId="18" borderId="1" applyAlignment="1" pivotButton="0" quotePrefix="0" xfId="20">
      <alignment horizontal="general" vertical="bottom"/>
    </xf>
    <xf numFmtId="0" fontId="29" fillId="13" borderId="1" applyAlignment="1" pivotButton="0" quotePrefix="0" xfId="20">
      <alignment horizontal="general" vertical="bottom"/>
    </xf>
    <xf numFmtId="0" fontId="28" fillId="13" borderId="1" applyAlignment="1" pivotButton="0" quotePrefix="0" xfId="20">
      <alignment horizontal="general" vertical="bottom"/>
    </xf>
    <xf numFmtId="0" fontId="28" fillId="15" borderId="1" applyAlignment="1" pivotButton="0" quotePrefix="0" xfId="20">
      <alignment horizontal="general" vertical="bottom"/>
    </xf>
    <xf numFmtId="0" fontId="29" fillId="15" borderId="1" applyAlignment="1" pivotButton="0" quotePrefix="0" xfId="20">
      <alignment horizontal="general" vertical="bottom"/>
    </xf>
    <xf numFmtId="0" fontId="33" fillId="13" borderId="1" applyAlignment="1" pivotButton="0" quotePrefix="0" xfId="20">
      <alignment horizontal="general" vertical="bottom"/>
    </xf>
    <xf numFmtId="0" fontId="30" fillId="21" borderId="1" applyAlignment="1" pivotButton="0" quotePrefix="0" xfId="20">
      <alignment horizontal="general" vertical="top" wrapText="1"/>
    </xf>
    <xf numFmtId="0" fontId="29" fillId="15" borderId="1" applyAlignment="1" pivotButton="0" quotePrefix="0" xfId="20">
      <alignment horizontal="general" vertical="top" wrapText="1"/>
    </xf>
    <xf numFmtId="0" fontId="30" fillId="20" borderId="1" applyAlignment="1" pivotButton="0" quotePrefix="0" xfId="20">
      <alignment horizontal="general" vertical="top" wrapText="1"/>
    </xf>
    <xf numFmtId="0" fontId="32" fillId="20" borderId="1" applyAlignment="1" pivotButton="0" quotePrefix="0" xfId="20">
      <alignment horizontal="general" vertical="top" wrapText="1"/>
    </xf>
    <xf numFmtId="0" fontId="36" fillId="24" borderId="1" applyAlignment="1" pivotButton="0" quotePrefix="0" xfId="20">
      <alignment horizontal="general" vertical="bottom"/>
    </xf>
    <xf numFmtId="0" fontId="37" fillId="13" borderId="1" applyAlignment="1" pivotButton="0" quotePrefix="0" xfId="20">
      <alignment horizontal="general" vertical="bottom"/>
    </xf>
    <xf numFmtId="0" fontId="37" fillId="13" borderId="1" applyAlignment="1" pivotButton="0" quotePrefix="0" xfId="20">
      <alignment horizontal="general" vertical="bottom"/>
    </xf>
    <xf numFmtId="0" fontId="39" fillId="24" borderId="1" applyAlignment="1" pivotButton="0" quotePrefix="0" xfId="20">
      <alignment horizontal="general" vertical="top" wrapText="1"/>
    </xf>
    <xf numFmtId="0" fontId="36" fillId="24" borderId="1" applyAlignment="1" pivotButton="0" quotePrefix="0" xfId="20">
      <alignment horizontal="general" vertical="top" wrapText="1"/>
    </xf>
    <xf numFmtId="0" fontId="37" fillId="13" borderId="1" applyAlignment="1" pivotButton="0" quotePrefix="0" xfId="20">
      <alignment horizontal="general" vertical="top" wrapText="1"/>
    </xf>
    <xf numFmtId="0" fontId="41" fillId="13" borderId="1" applyAlignment="1" pivotButton="0" quotePrefix="0" xfId="20">
      <alignment horizontal="general" vertical="top" wrapText="1"/>
    </xf>
    <xf numFmtId="0" fontId="37" fillId="20" borderId="1" applyAlignment="1" pivotButton="0" quotePrefix="0" xfId="20">
      <alignment horizontal="general" vertical="top" wrapText="1"/>
    </xf>
    <xf numFmtId="0" fontId="41" fillId="20" borderId="1" applyAlignment="1" pivotButton="0" quotePrefix="0" xfId="20">
      <alignment horizontal="general" vertical="top" wrapText="1"/>
    </xf>
    <xf numFmtId="0" fontId="37" fillId="21" borderId="1" applyAlignment="1" pivotButton="0" quotePrefix="0" xfId="20">
      <alignment horizontal="general" vertical="top" wrapText="1"/>
    </xf>
    <xf numFmtId="0" fontId="41" fillId="21" borderId="1" applyAlignment="1" pivotButton="0" quotePrefix="0" xfId="20">
      <alignment horizontal="general" vertical="top" wrapText="1"/>
    </xf>
    <xf numFmtId="0" fontId="41" fillId="25" borderId="1" applyAlignment="1" pivotButton="0" quotePrefix="0" xfId="20">
      <alignment horizontal="general" vertical="top" wrapText="1"/>
    </xf>
    <xf numFmtId="0" fontId="37" fillId="23" borderId="1" applyAlignment="1" pivotButton="0" quotePrefix="0" xfId="20">
      <alignment horizontal="general" vertical="top" wrapText="1"/>
    </xf>
    <xf numFmtId="0" fontId="41" fillId="23" borderId="1" applyAlignment="1" pivotButton="0" quotePrefix="0" xfId="20">
      <alignment horizontal="general" vertical="top" wrapText="1"/>
    </xf>
    <xf numFmtId="0" fontId="38" fillId="21" borderId="1" applyAlignment="1" pivotButton="0" quotePrefix="0" xfId="20">
      <alignment horizontal="general" vertical="top" wrapText="1"/>
    </xf>
    <xf numFmtId="0" fontId="22" fillId="21" borderId="1" applyAlignment="1" pivotButton="0" quotePrefix="0" xfId="20">
      <alignment horizontal="general" vertical="bottom"/>
    </xf>
    <xf numFmtId="0" fontId="22" fillId="13" borderId="1" applyAlignment="1" pivotButton="0" quotePrefix="0" xfId="20">
      <alignment horizontal="general" vertical="top"/>
    </xf>
    <xf numFmtId="0" fontId="22" fillId="21" borderId="1" applyAlignment="1" pivotButton="0" quotePrefix="0" xfId="20">
      <alignment horizontal="general" vertical="top" wrapText="1"/>
    </xf>
    <xf numFmtId="0" fontId="22" fillId="21" borderId="1" applyAlignment="1" pivotButton="0" quotePrefix="0" xfId="20">
      <alignment horizontal="general" vertical="top"/>
    </xf>
    <xf numFmtId="164" fontId="22" fillId="21" borderId="1" applyAlignment="1" pivotButton="0" quotePrefix="0" xfId="20">
      <alignment horizontal="general" vertical="top"/>
    </xf>
    <xf numFmtId="0" fontId="22" fillId="26" borderId="1" applyAlignment="1" pivotButton="0" quotePrefix="0" xfId="20">
      <alignment horizontal="general" vertical="bottom"/>
    </xf>
    <xf numFmtId="0" fontId="30" fillId="26" borderId="1" applyAlignment="1" pivotButton="0" quotePrefix="0" xfId="20">
      <alignment horizontal="general" vertical="bottom"/>
    </xf>
    <xf numFmtId="0" fontId="22" fillId="27" borderId="1" applyAlignment="1" pivotButton="0" quotePrefix="0" xfId="20">
      <alignment horizontal="general" vertical="bottom"/>
    </xf>
    <xf numFmtId="0" fontId="22" fillId="26" borderId="1" applyAlignment="1" pivotButton="0" quotePrefix="0" xfId="20">
      <alignment horizontal="general" vertical="top"/>
    </xf>
    <xf numFmtId="0" fontId="30" fillId="26" borderId="1" applyAlignment="1" pivotButton="0" quotePrefix="0" xfId="20">
      <alignment horizontal="general" vertical="top"/>
    </xf>
    <xf numFmtId="0" fontId="30" fillId="26" borderId="1" applyAlignment="1" pivotButton="0" quotePrefix="0" xfId="20">
      <alignment horizontal="general" vertical="top" wrapText="1"/>
    </xf>
    <xf numFmtId="0" fontId="22" fillId="26" borderId="1" applyAlignment="1" pivotButton="0" quotePrefix="0" xfId="20">
      <alignment horizontal="general" vertical="top" wrapText="1"/>
    </xf>
    <xf numFmtId="164" fontId="22" fillId="26" borderId="1" applyAlignment="1" pivotButton="0" quotePrefix="0" xfId="20">
      <alignment horizontal="general" vertical="top"/>
    </xf>
    <xf numFmtId="0" fontId="30" fillId="27" borderId="1" applyAlignment="1" pivotButton="0" quotePrefix="0" xfId="20">
      <alignment horizontal="general" vertical="bottom"/>
    </xf>
    <xf numFmtId="0" fontId="22" fillId="28" borderId="1" applyAlignment="1" pivotButton="0" quotePrefix="0" xfId="20">
      <alignment horizontal="general" vertical="bottom"/>
    </xf>
    <xf numFmtId="0" fontId="30" fillId="28" borderId="1" applyAlignment="1" pivotButton="0" quotePrefix="0" xfId="20">
      <alignment horizontal="general" vertical="bottom"/>
    </xf>
    <xf numFmtId="0" fontId="22" fillId="13" borderId="1" applyAlignment="1" pivotButton="0" quotePrefix="0" xfId="20">
      <alignment horizontal="general" vertical="bottom"/>
    </xf>
    <xf numFmtId="0" fontId="22" fillId="13" borderId="1" applyAlignment="1" pivotButton="0" quotePrefix="0" xfId="20">
      <alignment horizontal="center" vertical="bottom"/>
    </xf>
    <xf numFmtId="0" fontId="37" fillId="26" borderId="1" applyAlignment="1" pivotButton="0" quotePrefix="0" xfId="20">
      <alignment horizontal="general" vertical="top" wrapText="1"/>
    </xf>
    <xf numFmtId="0" fontId="38" fillId="26" borderId="1" applyAlignment="1" pivotButton="0" quotePrefix="0" xfId="20">
      <alignment horizontal="general" vertical="top" wrapText="1"/>
    </xf>
    <xf numFmtId="0" fontId="22" fillId="20" borderId="1" applyAlignment="1" pivotButton="0" quotePrefix="0" xfId="20">
      <alignment horizontal="general" vertical="top" wrapText="1"/>
    </xf>
    <xf numFmtId="0" fontId="6"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9" fillId="8" borderId="0" applyAlignment="1" pivotButton="0" quotePrefix="0" xfId="0">
      <alignment horizontal="general" vertical="bottom" wrapText="1"/>
    </xf>
    <xf numFmtId="0" fontId="22" fillId="26" borderId="1" applyAlignment="1" pivotButton="0" quotePrefix="0" xfId="20">
      <alignment horizontal="general" vertical="bottom"/>
    </xf>
    <xf numFmtId="0" fontId="30" fillId="26" borderId="1" applyAlignment="1" pivotButton="0" quotePrefix="0" xfId="20">
      <alignment horizontal="general" vertical="bottom"/>
    </xf>
    <xf numFmtId="0" fontId="6" fillId="26" borderId="0" applyAlignment="1" pivotButton="0" quotePrefix="0" xfId="0">
      <alignment horizontal="general" vertical="top"/>
    </xf>
    <xf numFmtId="0" fontId="9" fillId="26" borderId="0" applyAlignment="1" pivotButton="0" quotePrefix="0" xfId="0">
      <alignment horizontal="general" vertical="top"/>
    </xf>
    <xf numFmtId="0" fontId="6" fillId="26" borderId="0" applyAlignment="1" pivotButton="0" quotePrefix="0" xfId="0">
      <alignment horizontal="general" vertical="top" wrapText="1"/>
    </xf>
    <xf numFmtId="164" fontId="6" fillId="26" borderId="0" applyAlignment="1" pivotButton="0" quotePrefix="0" xfId="0">
      <alignment horizontal="general" vertical="top"/>
    </xf>
    <xf numFmtId="0" fontId="9" fillId="2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9" fillId="5" borderId="0" applyAlignment="1" pivotButton="0" quotePrefix="0" xfId="0">
      <alignment horizontal="general" vertical="bottom"/>
    </xf>
    <xf numFmtId="0" fontId="6"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6" fillId="8" borderId="0" applyAlignment="1" pivotButton="0" quotePrefix="0" xfId="0">
      <alignment horizontal="general" vertical="bottom"/>
    </xf>
    <xf numFmtId="0" fontId="9" fillId="8" borderId="0" applyAlignment="1" pivotButton="0" quotePrefix="0" xfId="0">
      <alignment horizontal="general" vertical="bottom"/>
    </xf>
    <xf numFmtId="0" fontId="9" fillId="8" borderId="0" applyAlignment="1" pivotButton="0" quotePrefix="0" xfId="0">
      <alignment horizontal="general" vertical="bottom" wrapText="1"/>
    </xf>
    <xf numFmtId="0" fontId="11" fillId="5" borderId="0" applyAlignment="1" pivotButton="0" quotePrefix="0" xfId="0">
      <alignment horizontal="general" vertical="bottom"/>
    </xf>
    <xf numFmtId="0" fontId="22" fillId="26" borderId="1" applyAlignment="1" pivotButton="0" quotePrefix="0" xfId="20">
      <alignment horizontal="general" vertical="bottom"/>
    </xf>
    <xf numFmtId="0" fontId="30" fillId="26" borderId="1" applyAlignment="1" pivotButton="0" quotePrefix="0" xfId="20">
      <alignment horizontal="general" vertical="bottom"/>
    </xf>
    <xf numFmtId="0" fontId="22" fillId="27" borderId="1" applyAlignment="1" pivotButton="0" quotePrefix="0" xfId="20">
      <alignment horizontal="general" vertical="bottom"/>
    </xf>
    <xf numFmtId="0" fontId="30" fillId="27" borderId="1" applyAlignment="1" pivotButton="0" quotePrefix="0" xfId="20">
      <alignment horizontal="general" vertical="bottom"/>
    </xf>
    <xf numFmtId="0" fontId="7" fillId="2" borderId="0" applyAlignment="1" pivotButton="0" quotePrefix="0" xfId="0">
      <alignment horizontal="general" vertical="center" wrapText="1"/>
    </xf>
    <xf numFmtId="0" fontId="8" fillId="2" borderId="0" applyAlignment="1" pivotButton="0" quotePrefix="0" xfId="0">
      <alignment horizontal="general" vertical="center" wrapText="1"/>
    </xf>
    <xf numFmtId="0" fontId="6" fillId="0" borderId="0" applyAlignment="1" pivotButton="0" quotePrefix="0" xfId="0">
      <alignment horizontal="general" vertical="top"/>
    </xf>
    <xf numFmtId="0" fontId="9" fillId="0" borderId="0" applyAlignment="1" pivotButton="0" quotePrefix="0" xfId="0">
      <alignment horizontal="general" vertical="top"/>
    </xf>
    <xf numFmtId="164" fontId="6" fillId="0" borderId="0" applyAlignment="1" pivotButton="0" quotePrefix="0" xfId="0">
      <alignment horizontal="general" vertical="top"/>
    </xf>
    <xf numFmtId="0" fontId="6" fillId="7" borderId="0" applyAlignment="1" pivotButton="0" quotePrefix="0" xfId="0">
      <alignment horizontal="general" vertical="top" wrapText="1"/>
    </xf>
    <xf numFmtId="0" fontId="6" fillId="7" borderId="0" applyAlignment="1" pivotButton="0" quotePrefix="0" xfId="0">
      <alignment horizontal="general" vertical="top"/>
    </xf>
    <xf numFmtId="0" fontId="9" fillId="7" borderId="0" applyAlignment="1" pivotButton="0" quotePrefix="0" xfId="0">
      <alignment horizontal="general" vertical="top"/>
    </xf>
    <xf numFmtId="164" fontId="6" fillId="7" borderId="0" applyAlignment="1" pivotButton="0" quotePrefix="0" xfId="0">
      <alignment horizontal="general" vertical="top"/>
    </xf>
    <xf numFmtId="0" fontId="6" fillId="8" borderId="0" applyAlignment="1" pivotButton="0" quotePrefix="0" xfId="0">
      <alignment horizontal="general" vertical="top" wrapText="1"/>
    </xf>
    <xf numFmtId="0" fontId="6" fillId="8" borderId="0" applyAlignment="1" pivotButton="0" quotePrefix="0" xfId="0">
      <alignment horizontal="general" vertical="top"/>
    </xf>
    <xf numFmtId="0" fontId="9" fillId="8" borderId="0" applyAlignment="1" pivotButton="0" quotePrefix="0" xfId="0">
      <alignment horizontal="general" vertical="top"/>
    </xf>
    <xf numFmtId="164" fontId="6" fillId="8" borderId="0" applyAlignment="1" pivotButton="0" quotePrefix="0" xfId="0">
      <alignment horizontal="general" vertical="top"/>
    </xf>
    <xf numFmtId="0" fontId="6" fillId="26" borderId="0" applyAlignment="1" pivotButton="0" quotePrefix="0" xfId="0">
      <alignment horizontal="general" vertical="top"/>
    </xf>
    <xf numFmtId="0" fontId="9" fillId="26" borderId="0" applyAlignment="1" pivotButton="0" quotePrefix="0" xfId="0">
      <alignment horizontal="general" vertical="top"/>
    </xf>
    <xf numFmtId="0" fontId="6" fillId="26" borderId="0" applyAlignment="1" pivotButton="0" quotePrefix="0" xfId="0">
      <alignment horizontal="general" vertical="top" wrapText="1"/>
    </xf>
    <xf numFmtId="164" fontId="6" fillId="26"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0" applyAlignment="1" pivotButton="0" quotePrefix="0" xfId="0">
      <alignment horizontal="general" vertical="top"/>
    </xf>
    <xf numFmtId="0" fontId="9" fillId="10" borderId="0" applyAlignment="1" pivotButton="0" quotePrefix="0" xfId="0">
      <alignment horizontal="general" vertical="top"/>
    </xf>
    <xf numFmtId="164" fontId="6" fillId="10" borderId="0" applyAlignment="1" pivotButton="0" quotePrefix="0" xfId="0">
      <alignment horizontal="general" vertical="top"/>
    </xf>
    <xf numFmtId="0" fontId="9" fillId="26" borderId="0" applyAlignment="1" pivotButton="0" quotePrefix="0" xfId="0">
      <alignment horizontal="general" vertical="top" wrapText="1"/>
    </xf>
    <xf numFmtId="0" fontId="22" fillId="26" borderId="1" applyAlignment="1" pivotButton="0" quotePrefix="0" xfId="20">
      <alignment horizontal="general" vertical="top"/>
    </xf>
    <xf numFmtId="0" fontId="30" fillId="26" borderId="1" applyAlignment="1" pivotButton="0" quotePrefix="0" xfId="20">
      <alignment horizontal="general" vertical="top"/>
    </xf>
    <xf numFmtId="0" fontId="30" fillId="26" borderId="1" applyAlignment="1" pivotButton="0" quotePrefix="0" xfId="20">
      <alignment horizontal="general" vertical="top" wrapText="1"/>
    </xf>
    <xf numFmtId="0" fontId="22" fillId="26" borderId="1" applyAlignment="1" pivotButton="0" quotePrefix="0" xfId="20">
      <alignment horizontal="general" vertical="top" wrapText="1"/>
    </xf>
    <xf numFmtId="164" fontId="22" fillId="26" borderId="1" applyAlignment="1" pivotButton="0" quotePrefix="0" xfId="20">
      <alignment horizontal="general" vertical="top"/>
    </xf>
    <xf numFmtId="0" fontId="28" fillId="13" borderId="1" applyAlignment="1" pivotButton="0" quotePrefix="0" xfId="20">
      <alignment horizontal="general" vertical="top" wrapText="1"/>
    </xf>
    <xf numFmtId="0" fontId="30" fillId="13" borderId="1" applyAlignment="1" pivotButton="0" quotePrefix="0" xfId="20">
      <alignment horizontal="general" vertical="top" wrapText="1"/>
    </xf>
    <xf numFmtId="0" fontId="12" fillId="0" borderId="0" applyAlignment="1" pivotButton="0" quotePrefix="0" xfId="0">
      <alignment horizontal="general" vertical="bottom"/>
    </xf>
    <xf numFmtId="0" fontId="9" fillId="0" borderId="1" applyAlignment="1" pivotButton="0" quotePrefix="0" xfId="0">
      <alignment horizontal="general" vertical="top" wrapText="1"/>
    </xf>
    <xf numFmtId="0" fontId="13" fillId="0" borderId="0" applyAlignment="1" pivotButton="0" quotePrefix="0" xfId="0">
      <alignment horizontal="general" vertical="bottom"/>
    </xf>
    <xf numFmtId="0" fontId="6" fillId="0" borderId="0" applyAlignment="1" pivotButton="0" quotePrefix="0" xfId="0">
      <alignment horizontal="center" vertical="bottom"/>
    </xf>
    <xf numFmtId="0" fontId="14" fillId="0" borderId="0" applyAlignment="1" pivotButton="0" quotePrefix="0" xfId="0">
      <alignment horizontal="general" vertical="bottom"/>
    </xf>
    <xf numFmtId="0" fontId="6" fillId="5" borderId="0" applyAlignment="1" pivotButton="0" quotePrefix="0" xfId="0">
      <alignment horizontal="center" vertical="bottom"/>
    </xf>
    <xf numFmtId="0" fontId="0" fillId="5"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2" borderId="0" applyAlignment="1" pivotButton="0" quotePrefix="0" xfId="0">
      <alignment horizontal="general" vertical="bottom"/>
    </xf>
    <xf numFmtId="0" fontId="9" fillId="8" borderId="0" applyAlignment="1" pivotButton="0" quotePrefix="0" xfId="0">
      <alignment horizontal="general" vertical="top" wrapText="1"/>
    </xf>
    <xf numFmtId="0" fontId="8" fillId="2" borderId="0" applyAlignment="1" pivotButton="0" quotePrefix="0" xfId="0">
      <alignment horizontal="general" vertical="top" wrapText="1"/>
    </xf>
    <xf numFmtId="0" fontId="9" fillId="7" borderId="0" applyAlignment="1" pivotButton="0" quotePrefix="0" xfId="0">
      <alignment horizontal="general" vertical="top" wrapText="1"/>
    </xf>
    <xf numFmtId="0" fontId="11" fillId="7" borderId="0" applyAlignment="1" pivotButton="0" quotePrefix="0" xfId="0">
      <alignment horizontal="general" vertical="top" wrapText="1"/>
    </xf>
    <xf numFmtId="0" fontId="22" fillId="20" borderId="1" applyAlignment="1" pivotButton="0" quotePrefix="0" xfId="20">
      <alignment horizontal="general" vertical="top" wrapText="1"/>
    </xf>
    <xf numFmtId="0" fontId="30" fillId="20" borderId="1" applyAlignment="1" pivotButton="0" quotePrefix="0" xfId="20">
      <alignment horizontal="general" vertical="top" wrapText="1"/>
    </xf>
    <xf numFmtId="0" fontId="15" fillId="11" borderId="1" applyAlignment="1" pivotButton="0" quotePrefix="0" xfId="0">
      <alignment horizontal="general" vertical="bottom"/>
    </xf>
    <xf numFmtId="0" fontId="16" fillId="0" borderId="1" applyAlignment="1" pivotButton="0" quotePrefix="0" xfId="0">
      <alignment horizontal="general" vertical="bottom"/>
    </xf>
    <xf numFmtId="0" fontId="16" fillId="0" borderId="0" applyAlignment="1" pivotButton="0" quotePrefix="0" xfId="0">
      <alignment horizontal="general" vertical="bottom"/>
    </xf>
    <xf numFmtId="0" fontId="18" fillId="11" borderId="0" applyAlignment="1" pivotButton="0" quotePrefix="0" xfId="0">
      <alignment horizontal="general" vertical="top" wrapText="1"/>
    </xf>
    <xf numFmtId="0" fontId="15" fillId="11" borderId="0" applyAlignment="1" pivotButton="0" quotePrefix="0" xfId="0">
      <alignment horizontal="general" vertical="top" wrapText="1"/>
    </xf>
    <xf numFmtId="0" fontId="16" fillId="0" borderId="0" applyAlignment="1" pivotButton="0" quotePrefix="0" xfId="0">
      <alignment horizontal="general" vertical="top" wrapText="1"/>
    </xf>
    <xf numFmtId="0" fontId="20" fillId="0" borderId="0" applyAlignment="1" pivotButton="0" quotePrefix="0" xfId="0">
      <alignment horizontal="general" vertical="top" wrapText="1"/>
    </xf>
    <xf numFmtId="0" fontId="16" fillId="7" borderId="0" applyAlignment="1" pivotButton="0" quotePrefix="0" xfId="0">
      <alignment horizontal="general" vertical="top" wrapText="1"/>
    </xf>
    <xf numFmtId="0" fontId="20" fillId="7" borderId="0" applyAlignment="1" pivotButton="0" quotePrefix="0" xfId="0">
      <alignment horizontal="general" vertical="top" wrapText="1"/>
    </xf>
    <xf numFmtId="0" fontId="16" fillId="8" borderId="0" applyAlignment="1" pivotButton="0" quotePrefix="0" xfId="0">
      <alignment horizontal="general" vertical="top" wrapText="1"/>
    </xf>
    <xf numFmtId="0" fontId="20" fillId="8" borderId="0" applyAlignment="1" pivotButton="0" quotePrefix="0" xfId="0">
      <alignment horizontal="general" vertical="top" wrapText="1"/>
    </xf>
    <xf numFmtId="0" fontId="20" fillId="12" borderId="0" applyAlignment="1" pivotButton="0" quotePrefix="0" xfId="0">
      <alignment horizontal="general" vertical="top" wrapText="1"/>
    </xf>
    <xf numFmtId="0" fontId="16" fillId="10" borderId="0" applyAlignment="1" pivotButton="0" quotePrefix="0" xfId="0">
      <alignment horizontal="general" vertical="top" wrapText="1"/>
    </xf>
    <xf numFmtId="0" fontId="20" fillId="10" borderId="0" applyAlignment="1" pivotButton="0" quotePrefix="0" xfId="0">
      <alignment horizontal="general" vertical="top" wrapText="1"/>
    </xf>
    <xf numFmtId="0" fontId="17" fillId="8" borderId="0" applyAlignment="1" pivotButton="0" quotePrefix="0" xfId="0">
      <alignment horizontal="general" vertical="top" wrapText="1"/>
    </xf>
    <xf numFmtId="0" fontId="37" fillId="26" borderId="1" applyAlignment="1" pivotButton="0" quotePrefix="0" xfId="20">
      <alignment horizontal="general" vertical="top" wrapText="1"/>
    </xf>
    <xf numFmtId="0" fontId="38" fillId="26" borderId="1" applyAlignment="1" pivotButton="0" quotePrefix="0" xfId="2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D9E1F2"/>
          <bgColor rgb="FF000000"/>
        </patternFill>
      </fill>
    </dxf>
    <dxf>
      <fill>
        <patternFill patternType="solid">
          <fgColor rgb="FFE2EFDA"/>
          <bgColor rgb="FF000000"/>
        </patternFill>
      </fill>
    </dxf>
    <dxf>
      <fill>
        <patternFill patternType="solid">
          <bgColor rgb="FF000000"/>
        </patternFill>
      </fill>
    </dxf>
    <dxf>
      <fill>
        <patternFill patternType="solid">
          <fgColor rgb="FFC6E0B4"/>
          <bgColor rgb="FF000000"/>
        </patternFill>
      </fill>
    </dxf>
    <dxf>
      <fill>
        <patternFill patternType="solid">
          <fgColor rgb="FFEDEDED"/>
          <bgColor rgb="FF000000"/>
        </patternFill>
      </fill>
    </dxf>
    <dxf>
      <fill>
        <patternFill patternType="solid">
          <fgColor rgb="FFDDEBF7"/>
          <bgColor rgb="FF000000"/>
        </patternFill>
      </fill>
    </dxf>
    <dxf>
      <fill>
        <patternFill patternType="solid">
          <fgColor rgb="FFBDD7EE"/>
          <bgColor rgb="FF000000"/>
        </patternFill>
      </fill>
    </dxf>
    <dxf>
      <fill>
        <patternFill patternType="solid">
          <fgColor rgb="FFFFF2CC"/>
          <bgColor rgb="FF000000"/>
        </patternFill>
      </fill>
    </dxf>
    <dxf>
      <fill>
        <patternFill patternType="solid">
          <fgColor rgb="FFFCE4D6"/>
          <bgColor rgb="FF000000"/>
        </patternFill>
      </fill>
    </dxf>
    <dxf>
      <fill>
        <patternFill patternType="solid">
          <fgColor rgb="FFE4DFE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E2EFDA"/>
      <rgbColor rgb="FFE4DFEC"/>
      <rgbColor rgb="FFD9E1F2"/>
      <rgbColor rgb="FFFF99CC"/>
      <rgbColor rgb="FFD9E2F3"/>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75" min="1" max="1"/>
    <col width="110" customWidth="1" style="175" min="2" max="2"/>
  </cols>
  <sheetData>
    <row r="1" ht="18.75" customHeight="1" s="176">
      <c r="A1" s="177" t="inlineStr">
        <is>
          <t>K分组对应表（393K，按文献纳入）｜调节变量 2026-10-18 版</t>
        </is>
      </c>
      <c r="B1" s="178" t="n"/>
    </row>
    <row r="2" ht="15" customHeight="1" s="176">
      <c r="A2" s="179" t="n"/>
      <c r="B2" s="178" t="n"/>
    </row>
    <row r="3" ht="36" customHeight="1" s="176">
      <c r="A3" s="180" t="inlineStr">
        <is>
          <t>用途</t>
        </is>
      </c>
      <c r="B3" s="181" t="inlineStr">
        <is>
          <t>每个K一行，列出各调节变量中所属的组；按某一列分组，分干预、维持、泛化分别合成Tau-U。逐点数据在“Tau-U数据”表，与因变量分组工作簿同步。</t>
        </is>
      </c>
    </row>
    <row r="4" ht="15" customHeight="1" s="176">
      <c r="A4" s="179" t="inlineStr">
        <is>
          <t>K范围</t>
        </is>
      </c>
      <c r="B4" s="178">
        <f>"共 "&amp;各组汇总!C50&amp;" 个K，来自 "&amp;TEXT(各组汇总!C51,"0")&amp;" 篇文献"</f>
        <v/>
      </c>
    </row>
    <row r="5" ht="144" customHeight="1" s="176">
      <c r="A5" s="180" t="inlineStr">
        <is>
          <t>纳入口径</t>
        </is>
      </c>
      <c r="B5" s="181" t="inlineStr">
        <is>
          <t>以WWC 5.0单一被试设计标准按文献筛选：至少一项“视频示范 vs 基线”的单元达到有保留及以上，整篇纳入，所有符合主题且每段≥3点的K都用（参照Boles等，2019）。 10-16补入059-二次、068-二次（K536–K547）：059取紧接视频示范期的基线，068取交替处理期中的录像示范点，接受顺序影响与残余效应，局限中说明。 10-17补入01-补充（李欢等，2025；K548–K559）：第一次交替期中动画、成人视频点分别与基线比较，接受残余效应；维持期为部分撤除（测前仍看视频），不取。 本次新增002-滚雪球、061-二次（K560–K573）：002取完整6步骤总分；061每人只取一个干预K，6人用首次A1–B1，2名Early Birds用首次VM前基线对随后连续干预。 本次排除Tom、Steve的K560–K563，保留Nick；补充部分现保留K564–K573共10K。 2026-10-24：031滚雪球整篇排除；044二次泛化按儿童×因变量合并为1个K；056滚雪球改取任务分析步骤正确百分比（Accuracy）。</t>
        </is>
      </c>
    </row>
    <row r="6" ht="54" customHeight="1" s="176">
      <c r="A6" s="180" t="inlineStr">
        <is>
          <t>“不纳入该变量”</t>
        </is>
      </c>
      <c r="B6" s="181" t="inlineStr">
        <is>
          <t>原文没有报告该信息的K，不进入该变量的分组合成，但仍参与总体效应和其他变量；图注里注明K数，不作为一组出现在图上。视频呈现设备沿用已确认口径，78K按年份推定并保留推定标识，110二次16K依据iPad材料清单推断；080二次4K因未报告设备不进入该变量分组。</t>
        </is>
      </c>
    </row>
    <row r="7" ht="36" customHeight="1" s="176">
      <c r="A7" s="180" t="inlineStr">
        <is>
          <t>因变量</t>
        </is>
      </c>
      <c r="B7" s="181" t="inlineStr">
        <is>
          <t>社交技能因变量分组见393K因变量工作簿。DV29归A1社交发起，DV72归A1需求表达；本次恢复DV21（018二次）为A1会话维持、DV75（080二次）为A1社交发起。</t>
        </is>
      </c>
    </row>
    <row r="8" ht="36" customHeight="1" s="176">
      <c r="A8" s="180" t="inlineStr">
        <is>
          <t>被试特征</t>
        </is>
      </c>
      <c r="B8" s="181" t="inlineStr">
        <is>
          <t>年龄、性别、孤独症程度（K分组表E–G列，表头绿色）。</t>
        </is>
      </c>
    </row>
    <row r="9" ht="72" customHeight="1" s="176">
      <c r="A9" s="180" t="inlineStr">
        <is>
          <t>年龄</t>
        </is>
      </c>
      <c r="B9" s="178" t="inlineStr">
        <is>
          <t>6岁以下、6–8岁、9–12岁；满6岁归6–8岁。保留12岁零几个月，满13岁排除。仅报年级者按年级推定；仅报样本范围者按范围中点归组（029：4–7岁→6岁以下；043：7–9岁→6–8岁）。002滚雪球保留Nick12岁，排除Tom14岁、Steve15岁；031滚雪球已于2026-10-24整篇排除。080二次仅报六年级，沿用年级推定，并非原文明确年龄。</t>
        </is>
      </c>
    </row>
    <row r="10" ht="36" customHeight="1" s="176">
      <c r="A10" s="180" t="inlineStr">
        <is>
          <t>性别</t>
        </is>
      </c>
      <c r="B10" s="181" t="inlineStr">
        <is>
          <t>男、女；按原文文字、参与者表格或专指该儿童的代词编码，不按名字推断。未报告7名儿童19个K；相应记录仅不进入性别分组。</t>
        </is>
      </c>
    </row>
    <row r="11" ht="54" customHeight="1" s="176">
      <c r="A11" s="180" t="inlineStr">
        <is>
          <t>孤独症程度</t>
        </is>
      </c>
      <c r="B11" s="181" t="inlineStr">
        <is>
          <t>轻中度、重度两级：CARS 30～36.5分为轻中度，37分及以上为重度；GARS-3等级1、2为轻中度，等级3为重度；原文明确写轻、中、重度的按原文。GARS/GARS-2/ASRS等可能性量表、DSM-IV亚型、智障程度不用于判断。</t>
        </is>
      </c>
    </row>
    <row r="12" ht="36" customHeight="1" s="176">
      <c r="A12" s="180" t="inlineStr">
        <is>
          <t>干预过程特征</t>
        </is>
      </c>
      <c r="B12" s="181" t="inlineStr">
        <is>
          <t>示范者、视频示范实施方式、视频呈现设备、单次干预时长、干预场所、干预者（K分组表H–M列，表头蓝色）。</t>
        </is>
      </c>
    </row>
    <row r="13" ht="36" customHeight="1" s="176">
      <c r="A13" s="180" t="inlineStr">
        <is>
          <t>示范者</t>
        </is>
      </c>
      <c r="B13" s="181" t="inlineStr">
        <is>
          <t>示范者指在视频中示范或讲解目标行为、供孤独症儿童观察学习的人物或角色；仅作为互动对象出现者不计；原文称谓与实际分工不一致时按实际分工。五组：同伴儿童+动画角色、同伴儿童（含兄弟姐妹）、成人、儿童本人、动画角色。</t>
        </is>
      </c>
    </row>
    <row r="14" ht="54" customHeight="1" s="176">
      <c r="A14" s="180" t="inlineStr">
        <is>
          <t>视频示范实施方式</t>
        </is>
      </c>
      <c r="B14" s="181" t="inlineStr">
        <is>
          <t>单独实施（只呈现视频示范，为配合观看给的一般表扬、提醒不算）；结合教学程序（视频示范为主体，辅以提示、强化、演练等）；嵌入综合干预方案（视频示范是成套方案的一环，如超级英雄课程、社会故事、自我管理、PECS）。001干预K为单独实施，维持K为嵌入综合干预方案。</t>
        </is>
      </c>
    </row>
    <row r="15" ht="54" customHeight="1" s="176">
      <c r="A15" s="180" t="inlineStr">
        <is>
          <t>视频呈现设备</t>
        </is>
      </c>
      <c r="B15" s="181" t="inlineStr">
        <is>
          <t>电视、电脑、便携触屏设备、投影与白板四组。按儿童实际观看终端编码；电脑输出到电视归电视。沿用已确认规则，将原文未明确设备的11篇78K按年份归组（电视56K、电脑10K、便携触屏设备12K；为429K时的计数，现以“各组汇总”为准），备注保留年份推定标识；110二次16K为材料推断。080二次4K未报告设备，不进入本变量分组。</t>
        </is>
      </c>
    </row>
    <row r="16" ht="36" customHeight="1" s="176">
      <c r="A16" s="180" t="inlineStr">
        <is>
          <t>单次干预时长</t>
        </is>
      </c>
      <c r="B16" s="178" t="inlineStr">
        <is>
          <t>10分钟及以下、11～60分钟、60分钟以上；指每次干预会面的时长，干预仅为观看视频者按视频观看时长计，原文只给范围的取中点；切点按纳入研究的时长分布在计算效应量前设定。各篇原文依据见“单次干预时长（原文）”列。</t>
        </is>
      </c>
    </row>
    <row r="17" ht="72" customHeight="1" s="176">
      <c r="A17" s="180" t="inlineStr">
        <is>
          <t>干预场所</t>
        </is>
      </c>
      <c r="B17" s="181" t="inlineStr">
        <is>
          <t>教室106K、办公辅助空间87K、专用训练空间157K、家庭社区43K。办公室含会议室；027二次归办公辅助空间（031滚雪球已排除）；034、039、043、044、055二次归专用训练空间；005、057二次归家庭社区；069滚雪球归教室；032二次按对象分配。018二次恢复为家庭社区。080二次研究场景为教室，部分问候发生在午餐区，未单列视频观看房间，沿用整篇场所归并口径归教室。</t>
        </is>
      </c>
    </row>
    <row r="18" ht="36" customHeight="1" s="176">
      <c r="A18" s="180" t="inlineStr">
        <is>
          <t>干预者</t>
        </is>
      </c>
      <c r="B18" s="181" t="inlineStr">
        <is>
          <t>研究人员、学校人员、家长、治疗师；按原文中实际实施干预的人员身份编码。</t>
        </is>
      </c>
    </row>
    <row r="19" ht="36" customHeight="1" s="176">
      <c r="A19" s="180" t="inlineStr">
        <is>
          <t>颜色</t>
        </is>
      </c>
      <c r="B19" s="181" t="inlineStr">
        <is>
          <t>绿色行：新增K；灰色：不纳入该调节变量；浅蓝、浅绿、浅紫等其他颜色延续历史取点核查记录。补充部分保留K564–K573，K560–K563已按年龄排除。</t>
        </is>
      </c>
    </row>
    <row r="20" ht="36" customHeight="1" s="176">
      <c r="A20" s="180" t="inlineStr">
        <is>
          <t>未处理</t>
        </is>
      </c>
      <c r="B20" s="178" t="inlineStr">
        <is>
          <t>13个待核K暂不处理，按原取点计入。</t>
        </is>
      </c>
    </row>
    <row r="21" ht="72" customHeight="1" s="176">
      <c r="A21" s="180" t="inlineStr">
        <is>
          <t>排除记录</t>
        </is>
      </c>
      <c r="B21" s="178" t="inlineStr">
        <is>
          <t>2026-10-18按用户决定删除013二次K086–K097共12K、040二次K317–K340共24K；恢复018二次K134–K144共11K、080二次K508–K511共4K。450−12−24+11+4=429K，39篇：干预253、维持119、泛化57。045二次及002滚雪球Tom、Steve继续排除，其他K编号和取点保留。 2026-10-24按用户决定：①031滚雪球整篇排除（K200–K219共20K：干预11、维持7、泛化2；干预为视频反馈而非视频示范）；②044二次泛化K按儿童×因变量合并条件C–F（Jamie为D–F），22K并为6K，删除16K；③056滚雪球35K改取准确率（Accuracy），K数不变，并更正K473维持段。429−20−16=393K，38篇、123名儿童：干预242、维持112、泛化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W394"/>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7" customWidth="1" style="175" min="1" max="1"/>
    <col width="12" customWidth="1" style="175" min="2" max="3"/>
    <col width="7" customWidth="1" style="175" min="4" max="4"/>
    <col width="9" customWidth="1" style="175" min="5" max="5"/>
    <col width="7" customWidth="1" style="175" min="6" max="6"/>
    <col width="12" customWidth="1" style="175" min="7" max="7"/>
    <col width="20" customWidth="1" style="175" min="8" max="8"/>
    <col width="16" customWidth="1" style="175" min="9" max="10"/>
    <col width="12" customWidth="1" style="175" min="11" max="11"/>
    <col width="14" customWidth="1" style="175" min="12" max="12"/>
    <col width="10" customWidth="1" style="175" min="13" max="13"/>
    <col width="30" customWidth="1" style="175" min="14" max="14"/>
    <col width="22" customWidth="1" style="175" min="15" max="15"/>
    <col width="34" customWidth="1" style="175" min="16" max="16"/>
    <col width="24" customWidth="1" style="175" min="17" max="17"/>
    <col width="18" customWidth="1" style="175" min="18" max="18"/>
    <col width="14" customWidth="1" style="175" min="19" max="19"/>
    <col width="12" customWidth="1" style="175" min="20" max="20"/>
    <col width="14" customWidth="1" style="175" min="21" max="21"/>
    <col width="12" customWidth="1" style="175" min="22" max="22"/>
    <col width="40" customWidth="1" style="175" min="23" max="23"/>
  </cols>
  <sheetData>
    <row r="1" ht="43.5" customHeight="1" s="176">
      <c r="A1" s="182" t="inlineStr">
        <is>
          <t>K编号</t>
        </is>
      </c>
      <c r="B1" s="183" t="inlineStr">
        <is>
          <t>文献编号</t>
        </is>
      </c>
      <c r="C1" s="183" t="inlineStr">
        <is>
          <t>儿童</t>
        </is>
      </c>
      <c r="D1" s="183" t="inlineStr">
        <is>
          <t>比较类型</t>
        </is>
      </c>
      <c r="E1" s="184" t="inlineStr">
        <is>
          <t>年龄</t>
        </is>
      </c>
      <c r="F1" s="184" t="inlineStr">
        <is>
          <t>性别</t>
        </is>
      </c>
      <c r="G1" s="184" t="inlineStr">
        <is>
          <t>孤独症程度</t>
        </is>
      </c>
      <c r="H1" s="185" t="inlineStr">
        <is>
          <t>示范者</t>
        </is>
      </c>
      <c r="I1" s="185" t="inlineStr">
        <is>
          <t>视频示范实施方式</t>
        </is>
      </c>
      <c r="J1" s="185" t="inlineStr">
        <is>
          <t>视频呈现设备</t>
        </is>
      </c>
      <c r="K1" s="185" t="inlineStr">
        <is>
          <t>单次干预时长</t>
        </is>
      </c>
      <c r="L1" s="185" t="inlineStr">
        <is>
          <t>干预场所</t>
        </is>
      </c>
      <c r="M1" s="185" t="inlineStr">
        <is>
          <t>干预者</t>
        </is>
      </c>
      <c r="N1" s="183" t="inlineStr">
        <is>
          <t>备注</t>
        </is>
      </c>
      <c r="O1" s="183" t="inlineStr">
        <is>
          <t>年龄依据</t>
        </is>
      </c>
      <c r="P1" s="183" t="inlineStr">
        <is>
          <t>单次干预时长（原文）</t>
        </is>
      </c>
      <c r="Q1" s="183" t="inlineStr">
        <is>
          <t>视频以外计入的成分（原编码）</t>
        </is>
      </c>
      <c r="R1" s="183" t="inlineStr">
        <is>
          <t>原编码：示范者（8组）</t>
        </is>
      </c>
      <c r="S1" s="183" t="inlineStr">
        <is>
          <t>原编码：播放设备</t>
        </is>
      </c>
      <c r="T1" s="183" t="inlineStr">
        <is>
          <t>原编码：干预者</t>
        </is>
      </c>
      <c r="U1" s="183" t="inlineStr">
        <is>
          <t>原编码：干预地点</t>
        </is>
      </c>
      <c r="V1" s="183" t="inlineStr">
        <is>
          <t>原编码：视频以外成分</t>
        </is>
      </c>
      <c r="W1" s="183" t="inlineStr">
        <is>
          <t>比较的两段（K清单）</t>
        </is>
      </c>
    </row>
    <row r="2" ht="15" customHeight="1" s="176">
      <c r="A2" s="186" t="inlineStr">
        <is>
          <t>K001</t>
        </is>
      </c>
      <c r="B2" s="186" t="inlineStr">
        <is>
          <t>001-二次</t>
        </is>
      </c>
      <c r="C2" s="186" t="inlineStr">
        <is>
          <t>Otto</t>
        </is>
      </c>
      <c r="D2" s="187" t="inlineStr">
        <is>
          <t>干预</t>
        </is>
      </c>
      <c r="E2" s="186" t="inlineStr">
        <is>
          <t>6–8岁</t>
        </is>
      </c>
      <c r="F2" s="187" t="inlineStr">
        <is>
          <t>男</t>
        </is>
      </c>
      <c r="G2" s="188" t="inlineStr">
        <is>
          <t>不纳入该变量（原文未报告）</t>
        </is>
      </c>
      <c r="H2" s="187" t="inlineStr">
        <is>
          <t>同伴儿童+动画角色</t>
        </is>
      </c>
      <c r="I2" s="187" t="inlineStr">
        <is>
          <t>单独实施</t>
        </is>
      </c>
      <c r="J2" s="187" t="inlineStr">
        <is>
          <t>投影与白板</t>
        </is>
      </c>
      <c r="K2" s="186" t="inlineStr">
        <is>
          <t>11～60分钟</t>
        </is>
      </c>
      <c r="L2" s="187" t="inlineStr">
        <is>
          <t>教室</t>
        </is>
      </c>
      <c r="M2" s="187" t="inlineStr">
        <is>
          <t>研究人员</t>
        </is>
      </c>
      <c r="N2" s="186" t="n"/>
      <c r="O2" s="186" t="inlineStr">
        <is>
          <t>8.00岁</t>
        </is>
      </c>
      <c r="P2" s="187" t="inlineStr">
        <is>
          <t>仅视频阶段约20分钟（干预K）</t>
        </is>
      </c>
      <c r="Q2" s="187" t="inlineStr">
        <is>
          <t>无</t>
        </is>
      </c>
      <c r="R2" s="187" t="inlineStr">
        <is>
          <t>同伴儿童 + 动画角色</t>
        </is>
      </c>
      <c r="S2" s="187" t="inlineStr">
        <is>
          <t>投影仪</t>
        </is>
      </c>
      <c r="T2" s="187" t="inlineStr">
        <is>
          <t>研究人员</t>
        </is>
      </c>
      <c r="U2" s="187" t="inlineStr">
        <is>
          <t>大学或研究场所</t>
        </is>
      </c>
      <c r="V2" s="187" t="inlineStr">
        <is>
          <t>只用视频</t>
        </is>
      </c>
      <c r="W2" s="186" t="inlineStr">
        <is>
          <t>Baseline vs Video-only 段</t>
        </is>
      </c>
    </row>
    <row r="3" ht="15" customHeight="1" s="176">
      <c r="A3" s="186" t="inlineStr">
        <is>
          <t>K002</t>
        </is>
      </c>
      <c r="B3" s="186" t="inlineStr">
        <is>
          <t>001-二次</t>
        </is>
      </c>
      <c r="C3" s="186" t="inlineStr">
        <is>
          <t>Otto</t>
        </is>
      </c>
      <c r="D3" s="187" t="inlineStr">
        <is>
          <t>维持</t>
        </is>
      </c>
      <c r="E3" s="186" t="inlineStr">
        <is>
          <t>6–8岁</t>
        </is>
      </c>
      <c r="F3" s="187" t="inlineStr">
        <is>
          <t>男</t>
        </is>
      </c>
      <c r="G3" s="188" t="inlineStr">
        <is>
          <t>不纳入该变量（原文未报告）</t>
        </is>
      </c>
      <c r="H3" s="187" t="inlineStr">
        <is>
          <t>同伴儿童+动画角色</t>
        </is>
      </c>
      <c r="I3" s="187" t="inlineStr">
        <is>
          <t>嵌入综合干预方案</t>
        </is>
      </c>
      <c r="J3" s="187" t="inlineStr">
        <is>
          <t>投影与白板</t>
        </is>
      </c>
      <c r="K3" s="186" t="inlineStr">
        <is>
          <t>11～60分钟</t>
        </is>
      </c>
      <c r="L3" s="187" t="inlineStr">
        <is>
          <t>教室</t>
        </is>
      </c>
      <c r="M3" s="187" t="inlineStr">
        <is>
          <t>研究人员</t>
        </is>
      </c>
      <c r="N3" s="186" t="n"/>
      <c r="O3" s="186" t="inlineStr">
        <is>
          <t>8.00岁</t>
        </is>
      </c>
      <c r="P3" s="187" t="inlineStr">
        <is>
          <t>完整课程阶段约45分钟（维持K）</t>
        </is>
      </c>
      <c r="Q3" s="187" t="inlineStr">
        <is>
          <t>讲解、演练、现场示范、反馈、强化、自我监控</t>
        </is>
      </c>
      <c r="R3" s="187" t="inlineStr">
        <is>
          <t>同伴儿童 + 动画角色</t>
        </is>
      </c>
      <c r="S3" s="187" t="inlineStr">
        <is>
          <t>投影仪</t>
        </is>
      </c>
      <c r="T3" s="187" t="inlineStr">
        <is>
          <t>研究人员</t>
        </is>
      </c>
      <c r="U3" s="187" t="inlineStr">
        <is>
          <t>大学或研究场所</t>
        </is>
      </c>
      <c r="V3" s="187" t="inlineStr">
        <is>
          <t>加3种及以上</t>
        </is>
      </c>
      <c r="W3" s="186" t="inlineStr">
        <is>
          <t>Baseline vs Maintenance</t>
        </is>
      </c>
    </row>
    <row r="4" ht="15" customHeight="1" s="176">
      <c r="A4" s="186" t="inlineStr">
        <is>
          <t>K004</t>
        </is>
      </c>
      <c r="B4" s="186" t="inlineStr">
        <is>
          <t>001-二次</t>
        </is>
      </c>
      <c r="C4" s="186" t="inlineStr">
        <is>
          <t>Otto</t>
        </is>
      </c>
      <c r="D4" s="187" t="inlineStr">
        <is>
          <t>干预</t>
        </is>
      </c>
      <c r="E4" s="186" t="inlineStr">
        <is>
          <t>6–8岁</t>
        </is>
      </c>
      <c r="F4" s="187" t="inlineStr">
        <is>
          <t>男</t>
        </is>
      </c>
      <c r="G4" s="188" t="inlineStr">
        <is>
          <t>不纳入该变量（原文未报告）</t>
        </is>
      </c>
      <c r="H4" s="187" t="inlineStr">
        <is>
          <t>同伴儿童+动画角色</t>
        </is>
      </c>
      <c r="I4" s="187" t="inlineStr">
        <is>
          <t>单独实施</t>
        </is>
      </c>
      <c r="J4" s="187" t="inlineStr">
        <is>
          <t>投影与白板</t>
        </is>
      </c>
      <c r="K4" s="186" t="inlineStr">
        <is>
          <t>11～60分钟</t>
        </is>
      </c>
      <c r="L4" s="187" t="inlineStr">
        <is>
          <t>教室</t>
        </is>
      </c>
      <c r="M4" s="187" t="inlineStr">
        <is>
          <t>研究人员</t>
        </is>
      </c>
      <c r="N4" s="186" t="n"/>
      <c r="O4" s="186" t="inlineStr">
        <is>
          <t>8.00岁</t>
        </is>
      </c>
      <c r="P4" s="187" t="inlineStr">
        <is>
          <t>仅视频阶段约20分钟（干预K）</t>
        </is>
      </c>
      <c r="Q4" s="187" t="inlineStr">
        <is>
          <t>无</t>
        </is>
      </c>
      <c r="R4" s="187" t="inlineStr">
        <is>
          <t>同伴儿童 + 动画角色</t>
        </is>
      </c>
      <c r="S4" s="187" t="inlineStr">
        <is>
          <t>投影仪</t>
        </is>
      </c>
      <c r="T4" s="187" t="inlineStr">
        <is>
          <t>研究人员</t>
        </is>
      </c>
      <c r="U4" s="187" t="inlineStr">
        <is>
          <t>大学或研究场所</t>
        </is>
      </c>
      <c r="V4" s="187" t="inlineStr">
        <is>
          <t>只用视频</t>
        </is>
      </c>
      <c r="W4" s="186" t="inlineStr">
        <is>
          <t>Baseline vs Video-only 段</t>
        </is>
      </c>
    </row>
    <row r="5" ht="15" customHeight="1" s="176">
      <c r="A5" s="186" t="inlineStr">
        <is>
          <t>K005</t>
        </is>
      </c>
      <c r="B5" s="186" t="inlineStr">
        <is>
          <t>001-二次</t>
        </is>
      </c>
      <c r="C5" s="186" t="inlineStr">
        <is>
          <t>Lars</t>
        </is>
      </c>
      <c r="D5" s="187" t="inlineStr">
        <is>
          <t>干预</t>
        </is>
      </c>
      <c r="E5" s="186" t="inlineStr">
        <is>
          <t>9–12岁</t>
        </is>
      </c>
      <c r="F5" s="187" t="inlineStr">
        <is>
          <t>男</t>
        </is>
      </c>
      <c r="G5" s="188" t="inlineStr">
        <is>
          <t>不纳入该变量（原文未报告）</t>
        </is>
      </c>
      <c r="H5" s="187" t="inlineStr">
        <is>
          <t>同伴儿童+动画角色</t>
        </is>
      </c>
      <c r="I5" s="187" t="inlineStr">
        <is>
          <t>单独实施</t>
        </is>
      </c>
      <c r="J5" s="187" t="inlineStr">
        <is>
          <t>投影与白板</t>
        </is>
      </c>
      <c r="K5" s="186" t="inlineStr">
        <is>
          <t>11～60分钟</t>
        </is>
      </c>
      <c r="L5" s="187" t="inlineStr">
        <is>
          <t>教室</t>
        </is>
      </c>
      <c r="M5" s="187" t="inlineStr">
        <is>
          <t>研究人员</t>
        </is>
      </c>
      <c r="N5" s="186" t="n"/>
      <c r="O5" s="186" t="inlineStr">
        <is>
          <t>9.00岁</t>
        </is>
      </c>
      <c r="P5" s="187" t="inlineStr">
        <is>
          <t>仅视频阶段约20分钟（干预K）</t>
        </is>
      </c>
      <c r="Q5" s="187" t="inlineStr">
        <is>
          <t>无</t>
        </is>
      </c>
      <c r="R5" s="187" t="inlineStr">
        <is>
          <t>同伴儿童 + 动画角色</t>
        </is>
      </c>
      <c r="S5" s="187" t="inlineStr">
        <is>
          <t>投影仪</t>
        </is>
      </c>
      <c r="T5" s="187" t="inlineStr">
        <is>
          <t>研究人员</t>
        </is>
      </c>
      <c r="U5" s="187" t="inlineStr">
        <is>
          <t>大学或研究场所</t>
        </is>
      </c>
      <c r="V5" s="187" t="inlineStr">
        <is>
          <t>只用视频</t>
        </is>
      </c>
      <c r="W5" s="186" t="inlineStr">
        <is>
          <t>Baseline vs Video-only 段</t>
        </is>
      </c>
    </row>
    <row r="6" ht="15" customHeight="1" s="176">
      <c r="A6" s="186" t="inlineStr">
        <is>
          <t>K006</t>
        </is>
      </c>
      <c r="B6" s="186" t="inlineStr">
        <is>
          <t>001-二次</t>
        </is>
      </c>
      <c r="C6" s="186" t="inlineStr">
        <is>
          <t>Lars</t>
        </is>
      </c>
      <c r="D6" s="187" t="inlineStr">
        <is>
          <t>维持</t>
        </is>
      </c>
      <c r="E6" s="186" t="inlineStr">
        <is>
          <t>9–12岁</t>
        </is>
      </c>
      <c r="F6" s="187" t="inlineStr">
        <is>
          <t>男</t>
        </is>
      </c>
      <c r="G6" s="188" t="inlineStr">
        <is>
          <t>不纳入该变量（原文未报告）</t>
        </is>
      </c>
      <c r="H6" s="187" t="inlineStr">
        <is>
          <t>同伴儿童+动画角色</t>
        </is>
      </c>
      <c r="I6" s="187" t="inlineStr">
        <is>
          <t>嵌入综合干预方案</t>
        </is>
      </c>
      <c r="J6" s="187" t="inlineStr">
        <is>
          <t>投影与白板</t>
        </is>
      </c>
      <c r="K6" s="186" t="inlineStr">
        <is>
          <t>11～60分钟</t>
        </is>
      </c>
      <c r="L6" s="187" t="inlineStr">
        <is>
          <t>教室</t>
        </is>
      </c>
      <c r="M6" s="187" t="inlineStr">
        <is>
          <t>研究人员</t>
        </is>
      </c>
      <c r="N6" s="186" t="n"/>
      <c r="O6" s="186" t="inlineStr">
        <is>
          <t>9.00岁</t>
        </is>
      </c>
      <c r="P6" s="187" t="inlineStr">
        <is>
          <t>完整课程阶段约45分钟（维持K）</t>
        </is>
      </c>
      <c r="Q6" s="187" t="inlineStr">
        <is>
          <t>讲解、演练、现场示范、反馈、强化、自我监控</t>
        </is>
      </c>
      <c r="R6" s="187" t="inlineStr">
        <is>
          <t>同伴儿童 + 动画角色</t>
        </is>
      </c>
      <c r="S6" s="187" t="inlineStr">
        <is>
          <t>投影仪</t>
        </is>
      </c>
      <c r="T6" s="187" t="inlineStr">
        <is>
          <t>研究人员</t>
        </is>
      </c>
      <c r="U6" s="187" t="inlineStr">
        <is>
          <t>大学或研究场所</t>
        </is>
      </c>
      <c r="V6" s="187" t="inlineStr">
        <is>
          <t>加3种及以上</t>
        </is>
      </c>
      <c r="W6" s="186" t="inlineStr">
        <is>
          <t>Baseline vs Maintenance</t>
        </is>
      </c>
    </row>
    <row r="7" ht="15" customHeight="1" s="176">
      <c r="A7" s="186" t="inlineStr">
        <is>
          <t>K008</t>
        </is>
      </c>
      <c r="B7" s="186" t="inlineStr">
        <is>
          <t>001-二次</t>
        </is>
      </c>
      <c r="C7" s="186" t="inlineStr">
        <is>
          <t>Lars</t>
        </is>
      </c>
      <c r="D7" s="187" t="inlineStr">
        <is>
          <t>干预</t>
        </is>
      </c>
      <c r="E7" s="186" t="inlineStr">
        <is>
          <t>9–12岁</t>
        </is>
      </c>
      <c r="F7" s="187" t="inlineStr">
        <is>
          <t>男</t>
        </is>
      </c>
      <c r="G7" s="188" t="inlineStr">
        <is>
          <t>不纳入该变量（原文未报告）</t>
        </is>
      </c>
      <c r="H7" s="187" t="inlineStr">
        <is>
          <t>同伴儿童+动画角色</t>
        </is>
      </c>
      <c r="I7" s="187" t="inlineStr">
        <is>
          <t>单独实施</t>
        </is>
      </c>
      <c r="J7" s="187" t="inlineStr">
        <is>
          <t>投影与白板</t>
        </is>
      </c>
      <c r="K7" s="186" t="inlineStr">
        <is>
          <t>11～60分钟</t>
        </is>
      </c>
      <c r="L7" s="187" t="inlineStr">
        <is>
          <t>教室</t>
        </is>
      </c>
      <c r="M7" s="187" t="inlineStr">
        <is>
          <t>研究人员</t>
        </is>
      </c>
      <c r="N7" s="186" t="n"/>
      <c r="O7" s="186" t="inlineStr">
        <is>
          <t>9.00岁</t>
        </is>
      </c>
      <c r="P7" s="187" t="inlineStr">
        <is>
          <t>仅视频阶段约20分钟（干预K）</t>
        </is>
      </c>
      <c r="Q7" s="187" t="inlineStr">
        <is>
          <t>无</t>
        </is>
      </c>
      <c r="R7" s="187" t="inlineStr">
        <is>
          <t>同伴儿童 + 动画角色</t>
        </is>
      </c>
      <c r="S7" s="187" t="inlineStr">
        <is>
          <t>投影仪</t>
        </is>
      </c>
      <c r="T7" s="187" t="inlineStr">
        <is>
          <t>研究人员</t>
        </is>
      </c>
      <c r="U7" s="187" t="inlineStr">
        <is>
          <t>大学或研究场所</t>
        </is>
      </c>
      <c r="V7" s="187" t="inlineStr">
        <is>
          <t>只用视频</t>
        </is>
      </c>
      <c r="W7" s="186" t="inlineStr">
        <is>
          <t>Baseline vs Video-only 段</t>
        </is>
      </c>
    </row>
    <row r="8" ht="15" customHeight="1" s="176">
      <c r="A8" s="186" t="inlineStr">
        <is>
          <t>K009</t>
        </is>
      </c>
      <c r="B8" s="186" t="inlineStr">
        <is>
          <t>001-二次</t>
        </is>
      </c>
      <c r="C8" s="186" t="inlineStr">
        <is>
          <t>Trish</t>
        </is>
      </c>
      <c r="D8" s="187" t="inlineStr">
        <is>
          <t>干预</t>
        </is>
      </c>
      <c r="E8" s="186" t="inlineStr">
        <is>
          <t>6–8岁</t>
        </is>
      </c>
      <c r="F8" s="187" t="inlineStr">
        <is>
          <t>女</t>
        </is>
      </c>
      <c r="G8" s="188" t="inlineStr">
        <is>
          <t>不纳入该变量（原文未报告）</t>
        </is>
      </c>
      <c r="H8" s="187" t="inlineStr">
        <is>
          <t>同伴儿童+动画角色</t>
        </is>
      </c>
      <c r="I8" s="187" t="inlineStr">
        <is>
          <t>单独实施</t>
        </is>
      </c>
      <c r="J8" s="187" t="inlineStr">
        <is>
          <t>投影与白板</t>
        </is>
      </c>
      <c r="K8" s="186" t="inlineStr">
        <is>
          <t>11～60分钟</t>
        </is>
      </c>
      <c r="L8" s="187" t="inlineStr">
        <is>
          <t>教室</t>
        </is>
      </c>
      <c r="M8" s="187" t="inlineStr">
        <is>
          <t>研究人员</t>
        </is>
      </c>
      <c r="N8" s="186" t="n"/>
      <c r="O8" s="186" t="inlineStr">
        <is>
          <t>8.00岁</t>
        </is>
      </c>
      <c r="P8" s="187" t="inlineStr">
        <is>
          <t>仅视频阶段约20分钟（干预K）</t>
        </is>
      </c>
      <c r="Q8" s="187" t="inlineStr">
        <is>
          <t>无</t>
        </is>
      </c>
      <c r="R8" s="187" t="inlineStr">
        <is>
          <t>同伴儿童 + 动画角色</t>
        </is>
      </c>
      <c r="S8" s="187" t="inlineStr">
        <is>
          <t>投影仪</t>
        </is>
      </c>
      <c r="T8" s="187" t="inlineStr">
        <is>
          <t>研究人员</t>
        </is>
      </c>
      <c r="U8" s="187" t="inlineStr">
        <is>
          <t>大学或研究场所</t>
        </is>
      </c>
      <c r="V8" s="187" t="inlineStr">
        <is>
          <t>只用视频</t>
        </is>
      </c>
      <c r="W8" s="186" t="inlineStr">
        <is>
          <t>Baseline vs Video-only 段</t>
        </is>
      </c>
    </row>
    <row r="9" ht="15" customHeight="1" s="176">
      <c r="A9" s="186" t="inlineStr">
        <is>
          <t>K010</t>
        </is>
      </c>
      <c r="B9" s="186" t="inlineStr">
        <is>
          <t>001-二次</t>
        </is>
      </c>
      <c r="C9" s="186" t="inlineStr">
        <is>
          <t>Trish</t>
        </is>
      </c>
      <c r="D9" s="187" t="inlineStr">
        <is>
          <t>干预</t>
        </is>
      </c>
      <c r="E9" s="186" t="inlineStr">
        <is>
          <t>6–8岁</t>
        </is>
      </c>
      <c r="F9" s="187" t="inlineStr">
        <is>
          <t>女</t>
        </is>
      </c>
      <c r="G9" s="188" t="inlineStr">
        <is>
          <t>不纳入该变量（原文未报告）</t>
        </is>
      </c>
      <c r="H9" s="187" t="inlineStr">
        <is>
          <t>同伴儿童+动画角色</t>
        </is>
      </c>
      <c r="I9" s="187" t="inlineStr">
        <is>
          <t>单独实施</t>
        </is>
      </c>
      <c r="J9" s="187" t="inlineStr">
        <is>
          <t>投影与白板</t>
        </is>
      </c>
      <c r="K9" s="186" t="inlineStr">
        <is>
          <t>11～60分钟</t>
        </is>
      </c>
      <c r="L9" s="187" t="inlineStr">
        <is>
          <t>教室</t>
        </is>
      </c>
      <c r="M9" s="187" t="inlineStr">
        <is>
          <t>研究人员</t>
        </is>
      </c>
      <c r="N9" s="186" t="n"/>
      <c r="O9" s="186" t="inlineStr">
        <is>
          <t>8.00岁</t>
        </is>
      </c>
      <c r="P9" s="187" t="inlineStr">
        <is>
          <t>仅视频阶段约20分钟（干预K）</t>
        </is>
      </c>
      <c r="Q9" s="187" t="inlineStr">
        <is>
          <t>无</t>
        </is>
      </c>
      <c r="R9" s="187" t="inlineStr">
        <is>
          <t>同伴儿童 + 动画角色</t>
        </is>
      </c>
      <c r="S9" s="187" t="inlineStr">
        <is>
          <t>投影仪</t>
        </is>
      </c>
      <c r="T9" s="187" t="inlineStr">
        <is>
          <t>研究人员</t>
        </is>
      </c>
      <c r="U9" s="187" t="inlineStr">
        <is>
          <t>大学或研究场所</t>
        </is>
      </c>
      <c r="V9" s="187" t="inlineStr">
        <is>
          <t>只用视频</t>
        </is>
      </c>
      <c r="W9" s="186" t="inlineStr">
        <is>
          <t>Baseline vs Video-only 段</t>
        </is>
      </c>
    </row>
    <row r="10" ht="15" customHeight="1" s="176">
      <c r="A10" s="186" t="inlineStr">
        <is>
          <t>K011</t>
        </is>
      </c>
      <c r="B10" s="186" t="inlineStr">
        <is>
          <t>002-二次</t>
        </is>
      </c>
      <c r="C10" s="186" t="inlineStr">
        <is>
          <t>Taylor</t>
        </is>
      </c>
      <c r="D10" s="187" t="inlineStr">
        <is>
          <t>干预</t>
        </is>
      </c>
      <c r="E10" s="186" t="inlineStr">
        <is>
          <t>9–12岁</t>
        </is>
      </c>
      <c r="F10" s="187" t="inlineStr">
        <is>
          <t>男</t>
        </is>
      </c>
      <c r="G10" s="188" t="inlineStr">
        <is>
          <t>不纳入该变量（原文未报告）</t>
        </is>
      </c>
      <c r="H10" s="187" t="inlineStr">
        <is>
          <t>同伴儿童+动画角色</t>
        </is>
      </c>
      <c r="I10" s="187" t="inlineStr">
        <is>
          <t>嵌入综合干预方案</t>
        </is>
      </c>
      <c r="J10" s="187" t="inlineStr">
        <is>
          <t>电视</t>
        </is>
      </c>
      <c r="K10" s="186" t="inlineStr">
        <is>
          <t>60分钟以上</t>
        </is>
      </c>
      <c r="L10" s="187" t="inlineStr">
        <is>
          <t>办公辅助空间</t>
        </is>
      </c>
      <c r="M10" s="187" t="inlineStr">
        <is>
          <t>研究人员</t>
        </is>
      </c>
      <c r="N10" s="186" t="n"/>
      <c r="O10" s="186" t="inlineStr">
        <is>
          <t>11.00岁</t>
        </is>
      </c>
      <c r="P10" s="187" t="inlineStr">
        <is>
          <t>每次1.5小时</t>
        </is>
      </c>
      <c r="Q10" s="187" t="inlineStr">
        <is>
          <t>讲解、演练、现场示范、反馈、强化、自我监控</t>
        </is>
      </c>
      <c r="R10" s="187" t="inlineStr">
        <is>
          <t>同伴儿童 + 动画角色</t>
        </is>
      </c>
      <c r="S10" s="187" t="inlineStr">
        <is>
          <t>电视</t>
        </is>
      </c>
      <c r="T10" s="187" t="inlineStr">
        <is>
          <t>研究人员</t>
        </is>
      </c>
      <c r="U10" s="187" t="inlineStr">
        <is>
          <t>诊所或治疗项目</t>
        </is>
      </c>
      <c r="V10" s="187" t="inlineStr">
        <is>
          <t>加3种及以上</t>
        </is>
      </c>
      <c r="W10" s="186" t="inlineStr">
        <is>
          <t>Training BL vs INT</t>
        </is>
      </c>
    </row>
    <row r="11" ht="15" customHeight="1" s="176">
      <c r="A11" s="186" t="inlineStr">
        <is>
          <t>K012</t>
        </is>
      </c>
      <c r="B11" s="186" t="inlineStr">
        <is>
          <t>002-二次</t>
        </is>
      </c>
      <c r="C11" s="186" t="inlineStr">
        <is>
          <t>Taylor</t>
        </is>
      </c>
      <c r="D11" s="187" t="inlineStr">
        <is>
          <t>维持</t>
        </is>
      </c>
      <c r="E11" s="186" t="inlineStr">
        <is>
          <t>9–12岁</t>
        </is>
      </c>
      <c r="F11" s="187" t="inlineStr">
        <is>
          <t>男</t>
        </is>
      </c>
      <c r="G11" s="188" t="inlineStr">
        <is>
          <t>不纳入该变量（原文未报告）</t>
        </is>
      </c>
      <c r="H11" s="187" t="inlineStr">
        <is>
          <t>同伴儿童+动画角色</t>
        </is>
      </c>
      <c r="I11" s="187" t="inlineStr">
        <is>
          <t>嵌入综合干预方案</t>
        </is>
      </c>
      <c r="J11" s="187" t="inlineStr">
        <is>
          <t>电视</t>
        </is>
      </c>
      <c r="K11" s="186" t="inlineStr">
        <is>
          <t>60分钟以上</t>
        </is>
      </c>
      <c r="L11" s="187" t="inlineStr">
        <is>
          <t>办公辅助空间</t>
        </is>
      </c>
      <c r="M11" s="187" t="inlineStr">
        <is>
          <t>研究人员</t>
        </is>
      </c>
      <c r="N11" s="186" t="n"/>
      <c r="O11" s="186" t="inlineStr">
        <is>
          <t>11.00岁</t>
        </is>
      </c>
      <c r="P11" s="187" t="inlineStr">
        <is>
          <t>每次1.5小时</t>
        </is>
      </c>
      <c r="Q11" s="187" t="inlineStr">
        <is>
          <t>讲解、演练、现场示范、反馈、强化、自我监控</t>
        </is>
      </c>
      <c r="R11" s="187" t="inlineStr">
        <is>
          <t>同伴儿童 + 动画角色</t>
        </is>
      </c>
      <c r="S11" s="187" t="inlineStr">
        <is>
          <t>电视</t>
        </is>
      </c>
      <c r="T11" s="187" t="inlineStr">
        <is>
          <t>研究人员</t>
        </is>
      </c>
      <c r="U11" s="187" t="inlineStr">
        <is>
          <t>诊所或治疗项目</t>
        </is>
      </c>
      <c r="V11" s="187" t="inlineStr">
        <is>
          <t>加3种及以上</t>
        </is>
      </c>
      <c r="W11" s="186" t="inlineStr">
        <is>
          <t>Training BL vs MT</t>
        </is>
      </c>
    </row>
    <row r="12" ht="15" customHeight="1" s="176">
      <c r="A12" s="186" t="inlineStr">
        <is>
          <t>K013</t>
        </is>
      </c>
      <c r="B12" s="186" t="inlineStr">
        <is>
          <t>002-二次</t>
        </is>
      </c>
      <c r="C12" s="186" t="inlineStr">
        <is>
          <t>Taylor</t>
        </is>
      </c>
      <c r="D12" s="187" t="inlineStr">
        <is>
          <t>泛化</t>
        </is>
      </c>
      <c r="E12" s="186" t="inlineStr">
        <is>
          <t>9–12岁</t>
        </is>
      </c>
      <c r="F12" s="187" t="inlineStr">
        <is>
          <t>男</t>
        </is>
      </c>
      <c r="G12" s="188" t="inlineStr">
        <is>
          <t>不纳入该变量（原文未报告）</t>
        </is>
      </c>
      <c r="H12" s="187" t="inlineStr">
        <is>
          <t>同伴儿童+动画角色</t>
        </is>
      </c>
      <c r="I12" s="187" t="inlineStr">
        <is>
          <t>嵌入综合干预方案</t>
        </is>
      </c>
      <c r="J12" s="187" t="inlineStr">
        <is>
          <t>电视</t>
        </is>
      </c>
      <c r="K12" s="186" t="inlineStr">
        <is>
          <t>60分钟以上</t>
        </is>
      </c>
      <c r="L12" s="187" t="inlineStr">
        <is>
          <t>办公辅助空间</t>
        </is>
      </c>
      <c r="M12" s="187" t="inlineStr">
        <is>
          <t>研究人员</t>
        </is>
      </c>
      <c r="N12" s="186" t="n"/>
      <c r="O12" s="186" t="inlineStr">
        <is>
          <t>11.00岁</t>
        </is>
      </c>
      <c r="P12" s="187" t="inlineStr">
        <is>
          <t>每次1.5小时</t>
        </is>
      </c>
      <c r="Q12" s="187" t="inlineStr">
        <is>
          <t>讲解、演练、现场示范、反馈、强化、自我监控</t>
        </is>
      </c>
      <c r="R12" s="187" t="inlineStr">
        <is>
          <t>同伴儿童 + 动画角色</t>
        </is>
      </c>
      <c r="S12" s="187" t="inlineStr">
        <is>
          <t>电视</t>
        </is>
      </c>
      <c r="T12" s="187" t="inlineStr">
        <is>
          <t>研究人员</t>
        </is>
      </c>
      <c r="U12" s="187" t="inlineStr">
        <is>
          <t>诊所或治疗项目</t>
        </is>
      </c>
      <c r="V12" s="187" t="inlineStr">
        <is>
          <t>加3种及以上</t>
        </is>
      </c>
      <c r="W12" s="186" t="inlineStr">
        <is>
          <t>Generalization BL（干预前）vs INT 期泛化探测</t>
        </is>
      </c>
    </row>
    <row r="13" ht="15" customHeight="1" s="176">
      <c r="A13" s="186" t="inlineStr">
        <is>
          <t>K014</t>
        </is>
      </c>
      <c r="B13" s="186" t="inlineStr">
        <is>
          <t>002-二次</t>
        </is>
      </c>
      <c r="C13" s="186" t="inlineStr">
        <is>
          <t>Taylor</t>
        </is>
      </c>
      <c r="D13" s="187" t="inlineStr">
        <is>
          <t>干预</t>
        </is>
      </c>
      <c r="E13" s="186" t="inlineStr">
        <is>
          <t>9–12岁</t>
        </is>
      </c>
      <c r="F13" s="187" t="inlineStr">
        <is>
          <t>男</t>
        </is>
      </c>
      <c r="G13" s="188" t="inlineStr">
        <is>
          <t>不纳入该变量（原文未报告）</t>
        </is>
      </c>
      <c r="H13" s="187" t="inlineStr">
        <is>
          <t>同伴儿童+动画角色</t>
        </is>
      </c>
      <c r="I13" s="187" t="inlineStr">
        <is>
          <t>嵌入综合干预方案</t>
        </is>
      </c>
      <c r="J13" s="187" t="inlineStr">
        <is>
          <t>电视</t>
        </is>
      </c>
      <c r="K13" s="186" t="inlineStr">
        <is>
          <t>60分钟以上</t>
        </is>
      </c>
      <c r="L13" s="187" t="inlineStr">
        <is>
          <t>办公辅助空间</t>
        </is>
      </c>
      <c r="M13" s="187" t="inlineStr">
        <is>
          <t>研究人员</t>
        </is>
      </c>
      <c r="N13" s="186" t="n"/>
      <c r="O13" s="186" t="inlineStr">
        <is>
          <t>11.00岁</t>
        </is>
      </c>
      <c r="P13" s="187" t="inlineStr">
        <is>
          <t>每次1.5小时</t>
        </is>
      </c>
      <c r="Q13" s="187" t="inlineStr">
        <is>
          <t>讲解、演练、现场示范、反馈、强化、自我监控</t>
        </is>
      </c>
      <c r="R13" s="187" t="inlineStr">
        <is>
          <t>同伴儿童 + 动画角色</t>
        </is>
      </c>
      <c r="S13" s="187" t="inlineStr">
        <is>
          <t>电视</t>
        </is>
      </c>
      <c r="T13" s="187" t="inlineStr">
        <is>
          <t>研究人员</t>
        </is>
      </c>
      <c r="U13" s="187" t="inlineStr">
        <is>
          <t>诊所或治疗项目</t>
        </is>
      </c>
      <c r="V13" s="187" t="inlineStr">
        <is>
          <t>加3种及以上</t>
        </is>
      </c>
      <c r="W13" s="186" t="inlineStr">
        <is>
          <t>Training BL vs INT</t>
        </is>
      </c>
    </row>
    <row r="14" ht="15" customHeight="1" s="176">
      <c r="A14" s="186" t="inlineStr">
        <is>
          <t>K015</t>
        </is>
      </c>
      <c r="B14" s="186" t="inlineStr">
        <is>
          <t>002-二次</t>
        </is>
      </c>
      <c r="C14" s="186" t="inlineStr">
        <is>
          <t>Taylor</t>
        </is>
      </c>
      <c r="D14" s="187" t="inlineStr">
        <is>
          <t>维持</t>
        </is>
      </c>
      <c r="E14" s="186" t="inlineStr">
        <is>
          <t>9–12岁</t>
        </is>
      </c>
      <c r="F14" s="187" t="inlineStr">
        <is>
          <t>男</t>
        </is>
      </c>
      <c r="G14" s="188" t="inlineStr">
        <is>
          <t>不纳入该变量（原文未报告）</t>
        </is>
      </c>
      <c r="H14" s="187" t="inlineStr">
        <is>
          <t>同伴儿童+动画角色</t>
        </is>
      </c>
      <c r="I14" s="187" t="inlineStr">
        <is>
          <t>嵌入综合干预方案</t>
        </is>
      </c>
      <c r="J14" s="187" t="inlineStr">
        <is>
          <t>电视</t>
        </is>
      </c>
      <c r="K14" s="186" t="inlineStr">
        <is>
          <t>60分钟以上</t>
        </is>
      </c>
      <c r="L14" s="187" t="inlineStr">
        <is>
          <t>办公辅助空间</t>
        </is>
      </c>
      <c r="M14" s="187" t="inlineStr">
        <is>
          <t>研究人员</t>
        </is>
      </c>
      <c r="N14" s="186" t="n"/>
      <c r="O14" s="186" t="inlineStr">
        <is>
          <t>11.00岁</t>
        </is>
      </c>
      <c r="P14" s="187" t="inlineStr">
        <is>
          <t>每次1.5小时</t>
        </is>
      </c>
      <c r="Q14" s="187" t="inlineStr">
        <is>
          <t>讲解、演练、现场示范、反馈、强化、自我监控</t>
        </is>
      </c>
      <c r="R14" s="187" t="inlineStr">
        <is>
          <t>同伴儿童 + 动画角色</t>
        </is>
      </c>
      <c r="S14" s="187" t="inlineStr">
        <is>
          <t>电视</t>
        </is>
      </c>
      <c r="T14" s="187" t="inlineStr">
        <is>
          <t>研究人员</t>
        </is>
      </c>
      <c r="U14" s="187" t="inlineStr">
        <is>
          <t>诊所或治疗项目</t>
        </is>
      </c>
      <c r="V14" s="187" t="inlineStr">
        <is>
          <t>加3种及以上</t>
        </is>
      </c>
      <c r="W14" s="186" t="inlineStr">
        <is>
          <t>Training BL vs MT</t>
        </is>
      </c>
    </row>
    <row r="15" ht="15" customHeight="1" s="176">
      <c r="A15" s="186" t="inlineStr">
        <is>
          <t>K016</t>
        </is>
      </c>
      <c r="B15" s="186" t="inlineStr">
        <is>
          <t>002-二次</t>
        </is>
      </c>
      <c r="C15" s="186" t="inlineStr">
        <is>
          <t>Taylor</t>
        </is>
      </c>
      <c r="D15" s="187" t="inlineStr">
        <is>
          <t>泛化</t>
        </is>
      </c>
      <c r="E15" s="186" t="inlineStr">
        <is>
          <t>9–12岁</t>
        </is>
      </c>
      <c r="F15" s="187" t="inlineStr">
        <is>
          <t>男</t>
        </is>
      </c>
      <c r="G15" s="188" t="inlineStr">
        <is>
          <t>不纳入该变量（原文未报告）</t>
        </is>
      </c>
      <c r="H15" s="187" t="inlineStr">
        <is>
          <t>同伴儿童+动画角色</t>
        </is>
      </c>
      <c r="I15" s="187" t="inlineStr">
        <is>
          <t>嵌入综合干预方案</t>
        </is>
      </c>
      <c r="J15" s="187" t="inlineStr">
        <is>
          <t>电视</t>
        </is>
      </c>
      <c r="K15" s="186" t="inlineStr">
        <is>
          <t>60分钟以上</t>
        </is>
      </c>
      <c r="L15" s="187" t="inlineStr">
        <is>
          <t>办公辅助空间</t>
        </is>
      </c>
      <c r="M15" s="187" t="inlineStr">
        <is>
          <t>研究人员</t>
        </is>
      </c>
      <c r="N15" s="186" t="n"/>
      <c r="O15" s="186" t="inlineStr">
        <is>
          <t>11.00岁</t>
        </is>
      </c>
      <c r="P15" s="187" t="inlineStr">
        <is>
          <t>每次1.5小时</t>
        </is>
      </c>
      <c r="Q15" s="187" t="inlineStr">
        <is>
          <t>讲解、演练、现场示范、反馈、强化、自我监控</t>
        </is>
      </c>
      <c r="R15" s="187" t="inlineStr">
        <is>
          <t>同伴儿童 + 动画角色</t>
        </is>
      </c>
      <c r="S15" s="187" t="inlineStr">
        <is>
          <t>电视</t>
        </is>
      </c>
      <c r="T15" s="187" t="inlineStr">
        <is>
          <t>研究人员</t>
        </is>
      </c>
      <c r="U15" s="187" t="inlineStr">
        <is>
          <t>诊所或治疗项目</t>
        </is>
      </c>
      <c r="V15" s="187" t="inlineStr">
        <is>
          <t>加3种及以上</t>
        </is>
      </c>
      <c r="W15" s="186" t="inlineStr">
        <is>
          <t>Generalization BL（干预前）vs INT 期泛化探测</t>
        </is>
      </c>
    </row>
    <row r="16" ht="15" customHeight="1" s="176">
      <c r="A16" s="186" t="inlineStr">
        <is>
          <t>K017</t>
        </is>
      </c>
      <c r="B16" s="186" t="inlineStr">
        <is>
          <t>002-二次</t>
        </is>
      </c>
      <c r="C16" s="186" t="inlineStr">
        <is>
          <t>Taylor</t>
        </is>
      </c>
      <c r="D16" s="187" t="inlineStr">
        <is>
          <t>干预</t>
        </is>
      </c>
      <c r="E16" s="186" t="inlineStr">
        <is>
          <t>9–12岁</t>
        </is>
      </c>
      <c r="F16" s="187" t="inlineStr">
        <is>
          <t>男</t>
        </is>
      </c>
      <c r="G16" s="188" t="inlineStr">
        <is>
          <t>不纳入该变量（原文未报告）</t>
        </is>
      </c>
      <c r="H16" s="187" t="inlineStr">
        <is>
          <t>同伴儿童+动画角色</t>
        </is>
      </c>
      <c r="I16" s="187" t="inlineStr">
        <is>
          <t>嵌入综合干预方案</t>
        </is>
      </c>
      <c r="J16" s="187" t="inlineStr">
        <is>
          <t>电视</t>
        </is>
      </c>
      <c r="K16" s="186" t="inlineStr">
        <is>
          <t>60分钟以上</t>
        </is>
      </c>
      <c r="L16" s="187" t="inlineStr">
        <is>
          <t>办公辅助空间</t>
        </is>
      </c>
      <c r="M16" s="187" t="inlineStr">
        <is>
          <t>研究人员</t>
        </is>
      </c>
      <c r="N16" s="186" t="n"/>
      <c r="O16" s="186" t="inlineStr">
        <is>
          <t>11.00岁</t>
        </is>
      </c>
      <c r="P16" s="187" t="inlineStr">
        <is>
          <t>每次1.5小时</t>
        </is>
      </c>
      <c r="Q16" s="187" t="inlineStr">
        <is>
          <t>讲解、演练、现场示范、反馈、强化、自我监控</t>
        </is>
      </c>
      <c r="R16" s="187" t="inlineStr">
        <is>
          <t>同伴儿童 + 动画角色</t>
        </is>
      </c>
      <c r="S16" s="187" t="inlineStr">
        <is>
          <t>电视</t>
        </is>
      </c>
      <c r="T16" s="187" t="inlineStr">
        <is>
          <t>研究人员</t>
        </is>
      </c>
      <c r="U16" s="187" t="inlineStr">
        <is>
          <t>诊所或治疗项目</t>
        </is>
      </c>
      <c r="V16" s="187" t="inlineStr">
        <is>
          <t>加3种及以上</t>
        </is>
      </c>
      <c r="W16" s="186" t="inlineStr">
        <is>
          <t>Training BL vs INT</t>
        </is>
      </c>
    </row>
    <row r="17" ht="15" customHeight="1" s="176">
      <c r="A17" s="186" t="inlineStr">
        <is>
          <t>K018</t>
        </is>
      </c>
      <c r="B17" s="186" t="inlineStr">
        <is>
          <t>002-二次</t>
        </is>
      </c>
      <c r="C17" s="186" t="inlineStr">
        <is>
          <t>Taylor</t>
        </is>
      </c>
      <c r="D17" s="187" t="inlineStr">
        <is>
          <t>维持</t>
        </is>
      </c>
      <c r="E17" s="186" t="inlineStr">
        <is>
          <t>9–12岁</t>
        </is>
      </c>
      <c r="F17" s="187" t="inlineStr">
        <is>
          <t>男</t>
        </is>
      </c>
      <c r="G17" s="188" t="inlineStr">
        <is>
          <t>不纳入该变量（原文未报告）</t>
        </is>
      </c>
      <c r="H17" s="187" t="inlineStr">
        <is>
          <t>同伴儿童+动画角色</t>
        </is>
      </c>
      <c r="I17" s="187" t="inlineStr">
        <is>
          <t>嵌入综合干预方案</t>
        </is>
      </c>
      <c r="J17" s="187" t="inlineStr">
        <is>
          <t>电视</t>
        </is>
      </c>
      <c r="K17" s="186" t="inlineStr">
        <is>
          <t>60分钟以上</t>
        </is>
      </c>
      <c r="L17" s="187" t="inlineStr">
        <is>
          <t>办公辅助空间</t>
        </is>
      </c>
      <c r="M17" s="187" t="inlineStr">
        <is>
          <t>研究人员</t>
        </is>
      </c>
      <c r="N17" s="186" t="n"/>
      <c r="O17" s="186" t="inlineStr">
        <is>
          <t>11.00岁</t>
        </is>
      </c>
      <c r="P17" s="187" t="inlineStr">
        <is>
          <t>每次1.5小时</t>
        </is>
      </c>
      <c r="Q17" s="187" t="inlineStr">
        <is>
          <t>讲解、演练、现场示范、反馈、强化、自我监控</t>
        </is>
      </c>
      <c r="R17" s="187" t="inlineStr">
        <is>
          <t>同伴儿童 + 动画角色</t>
        </is>
      </c>
      <c r="S17" s="187" t="inlineStr">
        <is>
          <t>电视</t>
        </is>
      </c>
      <c r="T17" s="187" t="inlineStr">
        <is>
          <t>研究人员</t>
        </is>
      </c>
      <c r="U17" s="187" t="inlineStr">
        <is>
          <t>诊所或治疗项目</t>
        </is>
      </c>
      <c r="V17" s="187" t="inlineStr">
        <is>
          <t>加3种及以上</t>
        </is>
      </c>
      <c r="W17" s="186" t="inlineStr">
        <is>
          <t>Training BL vs MT</t>
        </is>
      </c>
    </row>
    <row r="18" ht="15" customHeight="1" s="176">
      <c r="A18" s="186" t="inlineStr">
        <is>
          <t>K019</t>
        </is>
      </c>
      <c r="B18" s="186" t="inlineStr">
        <is>
          <t>002-二次</t>
        </is>
      </c>
      <c r="C18" s="186" t="inlineStr">
        <is>
          <t>Taylor</t>
        </is>
      </c>
      <c r="D18" s="187" t="inlineStr">
        <is>
          <t>泛化</t>
        </is>
      </c>
      <c r="E18" s="186" t="inlineStr">
        <is>
          <t>9–12岁</t>
        </is>
      </c>
      <c r="F18" s="187" t="inlineStr">
        <is>
          <t>男</t>
        </is>
      </c>
      <c r="G18" s="188" t="inlineStr">
        <is>
          <t>不纳入该变量（原文未报告）</t>
        </is>
      </c>
      <c r="H18" s="187" t="inlineStr">
        <is>
          <t>同伴儿童+动画角色</t>
        </is>
      </c>
      <c r="I18" s="187" t="inlineStr">
        <is>
          <t>嵌入综合干预方案</t>
        </is>
      </c>
      <c r="J18" s="187" t="inlineStr">
        <is>
          <t>电视</t>
        </is>
      </c>
      <c r="K18" s="186" t="inlineStr">
        <is>
          <t>60分钟以上</t>
        </is>
      </c>
      <c r="L18" s="187" t="inlineStr">
        <is>
          <t>办公辅助空间</t>
        </is>
      </c>
      <c r="M18" s="187" t="inlineStr">
        <is>
          <t>研究人员</t>
        </is>
      </c>
      <c r="N18" s="186" t="n"/>
      <c r="O18" s="186" t="inlineStr">
        <is>
          <t>11.00岁</t>
        </is>
      </c>
      <c r="P18" s="187" t="inlineStr">
        <is>
          <t>每次1.5小时</t>
        </is>
      </c>
      <c r="Q18" s="187" t="inlineStr">
        <is>
          <t>讲解、演练、现场示范、反馈、强化、自我监控</t>
        </is>
      </c>
      <c r="R18" s="187" t="inlineStr">
        <is>
          <t>同伴儿童 + 动画角色</t>
        </is>
      </c>
      <c r="S18" s="187" t="inlineStr">
        <is>
          <t>电视</t>
        </is>
      </c>
      <c r="T18" s="187" t="inlineStr">
        <is>
          <t>研究人员</t>
        </is>
      </c>
      <c r="U18" s="187" t="inlineStr">
        <is>
          <t>诊所或治疗项目</t>
        </is>
      </c>
      <c r="V18" s="187" t="inlineStr">
        <is>
          <t>加3种及以上</t>
        </is>
      </c>
      <c r="W18" s="186" t="inlineStr">
        <is>
          <t>Generalization BL（干预前）vs INT 期泛化探测</t>
        </is>
      </c>
    </row>
    <row r="19" ht="15" customHeight="1" s="176">
      <c r="A19" s="186" t="inlineStr">
        <is>
          <t>K020</t>
        </is>
      </c>
      <c r="B19" s="186" t="inlineStr">
        <is>
          <t>002-二次</t>
        </is>
      </c>
      <c r="C19" s="186" t="inlineStr">
        <is>
          <t>Taylor</t>
        </is>
      </c>
      <c r="D19" s="187" t="inlineStr">
        <is>
          <t>干预</t>
        </is>
      </c>
      <c r="E19" s="186" t="inlineStr">
        <is>
          <t>9–12岁</t>
        </is>
      </c>
      <c r="F19" s="187" t="inlineStr">
        <is>
          <t>男</t>
        </is>
      </c>
      <c r="G19" s="188" t="inlineStr">
        <is>
          <t>不纳入该变量（原文未报告）</t>
        </is>
      </c>
      <c r="H19" s="187" t="inlineStr">
        <is>
          <t>同伴儿童+动画角色</t>
        </is>
      </c>
      <c r="I19" s="187" t="inlineStr">
        <is>
          <t>嵌入综合干预方案</t>
        </is>
      </c>
      <c r="J19" s="187" t="inlineStr">
        <is>
          <t>电视</t>
        </is>
      </c>
      <c r="K19" s="186" t="inlineStr">
        <is>
          <t>60分钟以上</t>
        </is>
      </c>
      <c r="L19" s="187" t="inlineStr">
        <is>
          <t>办公辅助空间</t>
        </is>
      </c>
      <c r="M19" s="187" t="inlineStr">
        <is>
          <t>研究人员</t>
        </is>
      </c>
      <c r="N19" s="186" t="n"/>
      <c r="O19" s="186" t="inlineStr">
        <is>
          <t>11.00岁</t>
        </is>
      </c>
      <c r="P19" s="187" t="inlineStr">
        <is>
          <t>每次1.5小时</t>
        </is>
      </c>
      <c r="Q19" s="187" t="inlineStr">
        <is>
          <t>讲解、演练、现场示范、反馈、强化、自我监控</t>
        </is>
      </c>
      <c r="R19" s="187" t="inlineStr">
        <is>
          <t>同伴儿童 + 动画角色</t>
        </is>
      </c>
      <c r="S19" s="187" t="inlineStr">
        <is>
          <t>电视</t>
        </is>
      </c>
      <c r="T19" s="187" t="inlineStr">
        <is>
          <t>研究人员</t>
        </is>
      </c>
      <c r="U19" s="187" t="inlineStr">
        <is>
          <t>诊所或治疗项目</t>
        </is>
      </c>
      <c r="V19" s="187" t="inlineStr">
        <is>
          <t>加3种及以上</t>
        </is>
      </c>
      <c r="W19" s="186" t="inlineStr">
        <is>
          <t>Training BL vs INT</t>
        </is>
      </c>
    </row>
    <row r="20" ht="15" customHeight="1" s="176">
      <c r="A20" s="186" t="inlineStr">
        <is>
          <t>K021</t>
        </is>
      </c>
      <c r="B20" s="186" t="inlineStr">
        <is>
          <t>002-二次</t>
        </is>
      </c>
      <c r="C20" s="186" t="inlineStr">
        <is>
          <t>Taylor</t>
        </is>
      </c>
      <c r="D20" s="187" t="inlineStr">
        <is>
          <t>泛化</t>
        </is>
      </c>
      <c r="E20" s="186" t="inlineStr">
        <is>
          <t>9–12岁</t>
        </is>
      </c>
      <c r="F20" s="187" t="inlineStr">
        <is>
          <t>男</t>
        </is>
      </c>
      <c r="G20" s="188" t="inlineStr">
        <is>
          <t>不纳入该变量（原文未报告）</t>
        </is>
      </c>
      <c r="H20" s="187" t="inlineStr">
        <is>
          <t>同伴儿童+动画角色</t>
        </is>
      </c>
      <c r="I20" s="187" t="inlineStr">
        <is>
          <t>嵌入综合干预方案</t>
        </is>
      </c>
      <c r="J20" s="187" t="inlineStr">
        <is>
          <t>电视</t>
        </is>
      </c>
      <c r="K20" s="186" t="inlineStr">
        <is>
          <t>60分钟以上</t>
        </is>
      </c>
      <c r="L20" s="187" t="inlineStr">
        <is>
          <t>办公辅助空间</t>
        </is>
      </c>
      <c r="M20" s="187" t="inlineStr">
        <is>
          <t>研究人员</t>
        </is>
      </c>
      <c r="N20" s="186" t="n"/>
      <c r="O20" s="186" t="inlineStr">
        <is>
          <t>11.00岁</t>
        </is>
      </c>
      <c r="P20" s="187" t="inlineStr">
        <is>
          <t>每次1.5小时</t>
        </is>
      </c>
      <c r="Q20" s="187" t="inlineStr">
        <is>
          <t>讲解、演练、现场示范、反馈、强化、自我监控</t>
        </is>
      </c>
      <c r="R20" s="187" t="inlineStr">
        <is>
          <t>同伴儿童 + 动画角色</t>
        </is>
      </c>
      <c r="S20" s="187" t="inlineStr">
        <is>
          <t>电视</t>
        </is>
      </c>
      <c r="T20" s="187" t="inlineStr">
        <is>
          <t>研究人员</t>
        </is>
      </c>
      <c r="U20" s="187" t="inlineStr">
        <is>
          <t>诊所或治疗项目</t>
        </is>
      </c>
      <c r="V20" s="187" t="inlineStr">
        <is>
          <t>加3种及以上</t>
        </is>
      </c>
      <c r="W20" s="186" t="inlineStr">
        <is>
          <t>Generalization BL（干预前）vs INT 期泛化探测</t>
        </is>
      </c>
    </row>
    <row r="21" ht="15" customHeight="1" s="176">
      <c r="A21" s="186" t="inlineStr">
        <is>
          <t>K022</t>
        </is>
      </c>
      <c r="B21" s="186" t="inlineStr">
        <is>
          <t>002-二次</t>
        </is>
      </c>
      <c r="C21" s="186" t="inlineStr">
        <is>
          <t>Robby</t>
        </is>
      </c>
      <c r="D21" s="187" t="inlineStr">
        <is>
          <t>干预</t>
        </is>
      </c>
      <c r="E21" s="186" t="inlineStr">
        <is>
          <t>9–12岁</t>
        </is>
      </c>
      <c r="F21" s="187" t="inlineStr">
        <is>
          <t>男</t>
        </is>
      </c>
      <c r="G21" s="188" t="inlineStr">
        <is>
          <t>不纳入该变量（原文未报告）</t>
        </is>
      </c>
      <c r="H21" s="187" t="inlineStr">
        <is>
          <t>同伴儿童+动画角色</t>
        </is>
      </c>
      <c r="I21" s="187" t="inlineStr">
        <is>
          <t>嵌入综合干预方案</t>
        </is>
      </c>
      <c r="J21" s="187" t="inlineStr">
        <is>
          <t>电视</t>
        </is>
      </c>
      <c r="K21" s="186" t="inlineStr">
        <is>
          <t>60分钟以上</t>
        </is>
      </c>
      <c r="L21" s="187" t="inlineStr">
        <is>
          <t>办公辅助空间</t>
        </is>
      </c>
      <c r="M21" s="187" t="inlineStr">
        <is>
          <t>研究人员</t>
        </is>
      </c>
      <c r="N21" s="186" t="n"/>
      <c r="O21" s="186" t="inlineStr">
        <is>
          <t>12.00岁</t>
        </is>
      </c>
      <c r="P21" s="187" t="inlineStr">
        <is>
          <t>每次1.5小时</t>
        </is>
      </c>
      <c r="Q21" s="187" t="inlineStr">
        <is>
          <t>讲解、演练、现场示范、反馈、强化、自我监控</t>
        </is>
      </c>
      <c r="R21" s="187" t="inlineStr">
        <is>
          <t>同伴儿童 + 动画角色</t>
        </is>
      </c>
      <c r="S21" s="187" t="inlineStr">
        <is>
          <t>电视</t>
        </is>
      </c>
      <c r="T21" s="187" t="inlineStr">
        <is>
          <t>研究人员</t>
        </is>
      </c>
      <c r="U21" s="187" t="inlineStr">
        <is>
          <t>诊所或治疗项目</t>
        </is>
      </c>
      <c r="V21" s="187" t="inlineStr">
        <is>
          <t>加3种及以上</t>
        </is>
      </c>
      <c r="W21" s="186" t="inlineStr">
        <is>
          <t>Training BL vs INT</t>
        </is>
      </c>
    </row>
    <row r="22" ht="15" customHeight="1" s="176">
      <c r="A22" s="186" t="inlineStr">
        <is>
          <t>K023</t>
        </is>
      </c>
      <c r="B22" s="186" t="inlineStr">
        <is>
          <t>002-二次</t>
        </is>
      </c>
      <c r="C22" s="186" t="inlineStr">
        <is>
          <t>Robby</t>
        </is>
      </c>
      <c r="D22" s="187" t="inlineStr">
        <is>
          <t>维持</t>
        </is>
      </c>
      <c r="E22" s="186" t="inlineStr">
        <is>
          <t>9–12岁</t>
        </is>
      </c>
      <c r="F22" s="187" t="inlineStr">
        <is>
          <t>男</t>
        </is>
      </c>
      <c r="G22" s="188" t="inlineStr">
        <is>
          <t>不纳入该变量（原文未报告）</t>
        </is>
      </c>
      <c r="H22" s="187" t="inlineStr">
        <is>
          <t>同伴儿童+动画角色</t>
        </is>
      </c>
      <c r="I22" s="187" t="inlineStr">
        <is>
          <t>嵌入综合干预方案</t>
        </is>
      </c>
      <c r="J22" s="187" t="inlineStr">
        <is>
          <t>电视</t>
        </is>
      </c>
      <c r="K22" s="186" t="inlineStr">
        <is>
          <t>60分钟以上</t>
        </is>
      </c>
      <c r="L22" s="187" t="inlineStr">
        <is>
          <t>办公辅助空间</t>
        </is>
      </c>
      <c r="M22" s="187" t="inlineStr">
        <is>
          <t>研究人员</t>
        </is>
      </c>
      <c r="N22" s="186" t="n"/>
      <c r="O22" s="186" t="inlineStr">
        <is>
          <t>12.00岁</t>
        </is>
      </c>
      <c r="P22" s="187" t="inlineStr">
        <is>
          <t>每次1.5小时</t>
        </is>
      </c>
      <c r="Q22" s="187" t="inlineStr">
        <is>
          <t>讲解、演练、现场示范、反馈、强化、自我监控</t>
        </is>
      </c>
      <c r="R22" s="187" t="inlineStr">
        <is>
          <t>同伴儿童 + 动画角色</t>
        </is>
      </c>
      <c r="S22" s="187" t="inlineStr">
        <is>
          <t>电视</t>
        </is>
      </c>
      <c r="T22" s="187" t="inlineStr">
        <is>
          <t>研究人员</t>
        </is>
      </c>
      <c r="U22" s="187" t="inlineStr">
        <is>
          <t>诊所或治疗项目</t>
        </is>
      </c>
      <c r="V22" s="187" t="inlineStr">
        <is>
          <t>加3种及以上</t>
        </is>
      </c>
      <c r="W22" s="186" t="inlineStr">
        <is>
          <t>Training BL vs MT</t>
        </is>
      </c>
    </row>
    <row r="23" ht="15" customHeight="1" s="176">
      <c r="A23" s="186" t="inlineStr">
        <is>
          <t>K024</t>
        </is>
      </c>
      <c r="B23" s="186" t="inlineStr">
        <is>
          <t>002-二次</t>
        </is>
      </c>
      <c r="C23" s="186" t="inlineStr">
        <is>
          <t>Robby</t>
        </is>
      </c>
      <c r="D23" s="187" t="inlineStr">
        <is>
          <t>泛化</t>
        </is>
      </c>
      <c r="E23" s="186" t="inlineStr">
        <is>
          <t>9–12岁</t>
        </is>
      </c>
      <c r="F23" s="187" t="inlineStr">
        <is>
          <t>男</t>
        </is>
      </c>
      <c r="G23" s="188" t="inlineStr">
        <is>
          <t>不纳入该变量（原文未报告）</t>
        </is>
      </c>
      <c r="H23" s="187" t="inlineStr">
        <is>
          <t>同伴儿童+动画角色</t>
        </is>
      </c>
      <c r="I23" s="187" t="inlineStr">
        <is>
          <t>嵌入综合干预方案</t>
        </is>
      </c>
      <c r="J23" s="187" t="inlineStr">
        <is>
          <t>电视</t>
        </is>
      </c>
      <c r="K23" s="186" t="inlineStr">
        <is>
          <t>60分钟以上</t>
        </is>
      </c>
      <c r="L23" s="187" t="inlineStr">
        <is>
          <t>办公辅助空间</t>
        </is>
      </c>
      <c r="M23" s="187" t="inlineStr">
        <is>
          <t>研究人员</t>
        </is>
      </c>
      <c r="N23" s="186" t="n"/>
      <c r="O23" s="186" t="inlineStr">
        <is>
          <t>12.00岁</t>
        </is>
      </c>
      <c r="P23" s="187" t="inlineStr">
        <is>
          <t>每次1.5小时</t>
        </is>
      </c>
      <c r="Q23" s="187" t="inlineStr">
        <is>
          <t>讲解、演练、现场示范、反馈、强化、自我监控</t>
        </is>
      </c>
      <c r="R23" s="187" t="inlineStr">
        <is>
          <t>同伴儿童 + 动画角色</t>
        </is>
      </c>
      <c r="S23" s="187" t="inlineStr">
        <is>
          <t>电视</t>
        </is>
      </c>
      <c r="T23" s="187" t="inlineStr">
        <is>
          <t>研究人员</t>
        </is>
      </c>
      <c r="U23" s="187" t="inlineStr">
        <is>
          <t>诊所或治疗项目</t>
        </is>
      </c>
      <c r="V23" s="187" t="inlineStr">
        <is>
          <t>加3种及以上</t>
        </is>
      </c>
      <c r="W23" s="186" t="inlineStr">
        <is>
          <t>Generalization BL（干预前）vs INT 期泛化探测</t>
        </is>
      </c>
    </row>
    <row r="24" ht="15" customHeight="1" s="176">
      <c r="A24" s="186" t="inlineStr">
        <is>
          <t>K025</t>
        </is>
      </c>
      <c r="B24" s="186" t="inlineStr">
        <is>
          <t>002-二次</t>
        </is>
      </c>
      <c r="C24" s="186" t="inlineStr">
        <is>
          <t>Robby</t>
        </is>
      </c>
      <c r="D24" s="187" t="inlineStr">
        <is>
          <t>干预</t>
        </is>
      </c>
      <c r="E24" s="186" t="inlineStr">
        <is>
          <t>9–12岁</t>
        </is>
      </c>
      <c r="F24" s="187" t="inlineStr">
        <is>
          <t>男</t>
        </is>
      </c>
      <c r="G24" s="188" t="inlineStr">
        <is>
          <t>不纳入该变量（原文未报告）</t>
        </is>
      </c>
      <c r="H24" s="187" t="inlineStr">
        <is>
          <t>同伴儿童+动画角色</t>
        </is>
      </c>
      <c r="I24" s="187" t="inlineStr">
        <is>
          <t>嵌入综合干预方案</t>
        </is>
      </c>
      <c r="J24" s="187" t="inlineStr">
        <is>
          <t>电视</t>
        </is>
      </c>
      <c r="K24" s="186" t="inlineStr">
        <is>
          <t>60分钟以上</t>
        </is>
      </c>
      <c r="L24" s="187" t="inlineStr">
        <is>
          <t>办公辅助空间</t>
        </is>
      </c>
      <c r="M24" s="187" t="inlineStr">
        <is>
          <t>研究人员</t>
        </is>
      </c>
      <c r="N24" s="186" t="n"/>
      <c r="O24" s="186" t="inlineStr">
        <is>
          <t>12.00岁</t>
        </is>
      </c>
      <c r="P24" s="187" t="inlineStr">
        <is>
          <t>每次1.5小时</t>
        </is>
      </c>
      <c r="Q24" s="187" t="inlineStr">
        <is>
          <t>讲解、演练、现场示范、反馈、强化、自我监控</t>
        </is>
      </c>
      <c r="R24" s="187" t="inlineStr">
        <is>
          <t>同伴儿童 + 动画角色</t>
        </is>
      </c>
      <c r="S24" s="187" t="inlineStr">
        <is>
          <t>电视</t>
        </is>
      </c>
      <c r="T24" s="187" t="inlineStr">
        <is>
          <t>研究人员</t>
        </is>
      </c>
      <c r="U24" s="187" t="inlineStr">
        <is>
          <t>诊所或治疗项目</t>
        </is>
      </c>
      <c r="V24" s="187" t="inlineStr">
        <is>
          <t>加3种及以上</t>
        </is>
      </c>
      <c r="W24" s="186" t="inlineStr">
        <is>
          <t>Training BL vs INT</t>
        </is>
      </c>
    </row>
    <row r="25" ht="15" customHeight="1" s="176">
      <c r="A25" s="186" t="inlineStr">
        <is>
          <t>K026</t>
        </is>
      </c>
      <c r="B25" s="186" t="inlineStr">
        <is>
          <t>002-二次</t>
        </is>
      </c>
      <c r="C25" s="186" t="inlineStr">
        <is>
          <t>Robby</t>
        </is>
      </c>
      <c r="D25" s="187" t="inlineStr">
        <is>
          <t>维持</t>
        </is>
      </c>
      <c r="E25" s="186" t="inlineStr">
        <is>
          <t>9–12岁</t>
        </is>
      </c>
      <c r="F25" s="187" t="inlineStr">
        <is>
          <t>男</t>
        </is>
      </c>
      <c r="G25" s="188" t="inlineStr">
        <is>
          <t>不纳入该变量（原文未报告）</t>
        </is>
      </c>
      <c r="H25" s="187" t="inlineStr">
        <is>
          <t>同伴儿童+动画角色</t>
        </is>
      </c>
      <c r="I25" s="187" t="inlineStr">
        <is>
          <t>嵌入综合干预方案</t>
        </is>
      </c>
      <c r="J25" s="187" t="inlineStr">
        <is>
          <t>电视</t>
        </is>
      </c>
      <c r="K25" s="186" t="inlineStr">
        <is>
          <t>60分钟以上</t>
        </is>
      </c>
      <c r="L25" s="187" t="inlineStr">
        <is>
          <t>办公辅助空间</t>
        </is>
      </c>
      <c r="M25" s="187" t="inlineStr">
        <is>
          <t>研究人员</t>
        </is>
      </c>
      <c r="N25" s="186" t="n"/>
      <c r="O25" s="186" t="inlineStr">
        <is>
          <t>12.00岁</t>
        </is>
      </c>
      <c r="P25" s="187" t="inlineStr">
        <is>
          <t>每次1.5小时</t>
        </is>
      </c>
      <c r="Q25" s="187" t="inlineStr">
        <is>
          <t>讲解、演练、现场示范、反馈、强化、自我监控</t>
        </is>
      </c>
      <c r="R25" s="187" t="inlineStr">
        <is>
          <t>同伴儿童 + 动画角色</t>
        </is>
      </c>
      <c r="S25" s="187" t="inlineStr">
        <is>
          <t>电视</t>
        </is>
      </c>
      <c r="T25" s="187" t="inlineStr">
        <is>
          <t>研究人员</t>
        </is>
      </c>
      <c r="U25" s="187" t="inlineStr">
        <is>
          <t>诊所或治疗项目</t>
        </is>
      </c>
      <c r="V25" s="187" t="inlineStr">
        <is>
          <t>加3种及以上</t>
        </is>
      </c>
      <c r="W25" s="186" t="inlineStr">
        <is>
          <t>Training BL vs MT</t>
        </is>
      </c>
    </row>
    <row r="26" ht="15" customHeight="1" s="176">
      <c r="A26" s="186" t="inlineStr">
        <is>
          <t>K027</t>
        </is>
      </c>
      <c r="B26" s="186" t="inlineStr">
        <is>
          <t>002-二次</t>
        </is>
      </c>
      <c r="C26" s="186" t="inlineStr">
        <is>
          <t>Robby</t>
        </is>
      </c>
      <c r="D26" s="187" t="inlineStr">
        <is>
          <t>泛化</t>
        </is>
      </c>
      <c r="E26" s="186" t="inlineStr">
        <is>
          <t>9–12岁</t>
        </is>
      </c>
      <c r="F26" s="187" t="inlineStr">
        <is>
          <t>男</t>
        </is>
      </c>
      <c r="G26" s="188" t="inlineStr">
        <is>
          <t>不纳入该变量（原文未报告）</t>
        </is>
      </c>
      <c r="H26" s="187" t="inlineStr">
        <is>
          <t>同伴儿童+动画角色</t>
        </is>
      </c>
      <c r="I26" s="187" t="inlineStr">
        <is>
          <t>嵌入综合干预方案</t>
        </is>
      </c>
      <c r="J26" s="187" t="inlineStr">
        <is>
          <t>电视</t>
        </is>
      </c>
      <c r="K26" s="186" t="inlineStr">
        <is>
          <t>60分钟以上</t>
        </is>
      </c>
      <c r="L26" s="187" t="inlineStr">
        <is>
          <t>办公辅助空间</t>
        </is>
      </c>
      <c r="M26" s="187" t="inlineStr">
        <is>
          <t>研究人员</t>
        </is>
      </c>
      <c r="N26" s="186" t="n"/>
      <c r="O26" s="186" t="inlineStr">
        <is>
          <t>12.00岁</t>
        </is>
      </c>
      <c r="P26" s="187" t="inlineStr">
        <is>
          <t>每次1.5小时</t>
        </is>
      </c>
      <c r="Q26" s="187" t="inlineStr">
        <is>
          <t>讲解、演练、现场示范、反馈、强化、自我监控</t>
        </is>
      </c>
      <c r="R26" s="187" t="inlineStr">
        <is>
          <t>同伴儿童 + 动画角色</t>
        </is>
      </c>
      <c r="S26" s="187" t="inlineStr">
        <is>
          <t>电视</t>
        </is>
      </c>
      <c r="T26" s="187" t="inlineStr">
        <is>
          <t>研究人员</t>
        </is>
      </c>
      <c r="U26" s="187" t="inlineStr">
        <is>
          <t>诊所或治疗项目</t>
        </is>
      </c>
      <c r="V26" s="187" t="inlineStr">
        <is>
          <t>加3种及以上</t>
        </is>
      </c>
      <c r="W26" s="186" t="inlineStr">
        <is>
          <t>Generalization BL（干预前）vs INT 期泛化探测</t>
        </is>
      </c>
    </row>
    <row r="27" ht="15" customHeight="1" s="176">
      <c r="A27" s="186" t="inlineStr">
        <is>
          <t>K028</t>
        </is>
      </c>
      <c r="B27" s="186" t="inlineStr">
        <is>
          <t>002-二次</t>
        </is>
      </c>
      <c r="C27" s="186" t="inlineStr">
        <is>
          <t>Robby</t>
        </is>
      </c>
      <c r="D27" s="187" t="inlineStr">
        <is>
          <t>干预</t>
        </is>
      </c>
      <c r="E27" s="186" t="inlineStr">
        <is>
          <t>9–12岁</t>
        </is>
      </c>
      <c r="F27" s="187" t="inlineStr">
        <is>
          <t>男</t>
        </is>
      </c>
      <c r="G27" s="188" t="inlineStr">
        <is>
          <t>不纳入该变量（原文未报告）</t>
        </is>
      </c>
      <c r="H27" s="187" t="inlineStr">
        <is>
          <t>同伴儿童+动画角色</t>
        </is>
      </c>
      <c r="I27" s="187" t="inlineStr">
        <is>
          <t>嵌入综合干预方案</t>
        </is>
      </c>
      <c r="J27" s="187" t="inlineStr">
        <is>
          <t>电视</t>
        </is>
      </c>
      <c r="K27" s="186" t="inlineStr">
        <is>
          <t>60分钟以上</t>
        </is>
      </c>
      <c r="L27" s="187" t="inlineStr">
        <is>
          <t>办公辅助空间</t>
        </is>
      </c>
      <c r="M27" s="187" t="inlineStr">
        <is>
          <t>研究人员</t>
        </is>
      </c>
      <c r="N27" s="186" t="n"/>
      <c r="O27" s="186" t="inlineStr">
        <is>
          <t>12.00岁</t>
        </is>
      </c>
      <c r="P27" s="187" t="inlineStr">
        <is>
          <t>每次1.5小时</t>
        </is>
      </c>
      <c r="Q27" s="187" t="inlineStr">
        <is>
          <t>讲解、演练、现场示范、反馈、强化、自我监控</t>
        </is>
      </c>
      <c r="R27" s="187" t="inlineStr">
        <is>
          <t>同伴儿童 + 动画角色</t>
        </is>
      </c>
      <c r="S27" s="187" t="inlineStr">
        <is>
          <t>电视</t>
        </is>
      </c>
      <c r="T27" s="187" t="inlineStr">
        <is>
          <t>研究人员</t>
        </is>
      </c>
      <c r="U27" s="187" t="inlineStr">
        <is>
          <t>诊所或治疗项目</t>
        </is>
      </c>
      <c r="V27" s="187" t="inlineStr">
        <is>
          <t>加3种及以上</t>
        </is>
      </c>
      <c r="W27" s="186" t="inlineStr">
        <is>
          <t>Training BL vs INT</t>
        </is>
      </c>
    </row>
    <row r="28" ht="15" customHeight="1" s="176">
      <c r="A28" s="186" t="inlineStr">
        <is>
          <t>K029</t>
        </is>
      </c>
      <c r="B28" s="186" t="inlineStr">
        <is>
          <t>002-二次</t>
        </is>
      </c>
      <c r="C28" s="186" t="inlineStr">
        <is>
          <t>Robby</t>
        </is>
      </c>
      <c r="D28" s="187" t="inlineStr">
        <is>
          <t>维持</t>
        </is>
      </c>
      <c r="E28" s="186" t="inlineStr">
        <is>
          <t>9–12岁</t>
        </is>
      </c>
      <c r="F28" s="187" t="inlineStr">
        <is>
          <t>男</t>
        </is>
      </c>
      <c r="G28" s="188" t="inlineStr">
        <is>
          <t>不纳入该变量（原文未报告）</t>
        </is>
      </c>
      <c r="H28" s="187" t="inlineStr">
        <is>
          <t>同伴儿童+动画角色</t>
        </is>
      </c>
      <c r="I28" s="187" t="inlineStr">
        <is>
          <t>嵌入综合干预方案</t>
        </is>
      </c>
      <c r="J28" s="187" t="inlineStr">
        <is>
          <t>电视</t>
        </is>
      </c>
      <c r="K28" s="186" t="inlineStr">
        <is>
          <t>60分钟以上</t>
        </is>
      </c>
      <c r="L28" s="187" t="inlineStr">
        <is>
          <t>办公辅助空间</t>
        </is>
      </c>
      <c r="M28" s="187" t="inlineStr">
        <is>
          <t>研究人员</t>
        </is>
      </c>
      <c r="N28" s="186" t="n"/>
      <c r="O28" s="186" t="inlineStr">
        <is>
          <t>12.00岁</t>
        </is>
      </c>
      <c r="P28" s="187" t="inlineStr">
        <is>
          <t>每次1.5小时</t>
        </is>
      </c>
      <c r="Q28" s="187" t="inlineStr">
        <is>
          <t>讲解、演练、现场示范、反馈、强化、自我监控</t>
        </is>
      </c>
      <c r="R28" s="187" t="inlineStr">
        <is>
          <t>同伴儿童 + 动画角色</t>
        </is>
      </c>
      <c r="S28" s="187" t="inlineStr">
        <is>
          <t>电视</t>
        </is>
      </c>
      <c r="T28" s="187" t="inlineStr">
        <is>
          <t>研究人员</t>
        </is>
      </c>
      <c r="U28" s="187" t="inlineStr">
        <is>
          <t>诊所或治疗项目</t>
        </is>
      </c>
      <c r="V28" s="187" t="inlineStr">
        <is>
          <t>加3种及以上</t>
        </is>
      </c>
      <c r="W28" s="186" t="inlineStr">
        <is>
          <t>Training BL vs MT</t>
        </is>
      </c>
    </row>
    <row r="29" ht="15" customHeight="1" s="176">
      <c r="A29" s="186" t="inlineStr">
        <is>
          <t>K030</t>
        </is>
      </c>
      <c r="B29" s="186" t="inlineStr">
        <is>
          <t>002-二次</t>
        </is>
      </c>
      <c r="C29" s="186" t="inlineStr">
        <is>
          <t>Robby</t>
        </is>
      </c>
      <c r="D29" s="187" t="inlineStr">
        <is>
          <t>泛化</t>
        </is>
      </c>
      <c r="E29" s="186" t="inlineStr">
        <is>
          <t>9–12岁</t>
        </is>
      </c>
      <c r="F29" s="187" t="inlineStr">
        <is>
          <t>男</t>
        </is>
      </c>
      <c r="G29" s="188" t="inlineStr">
        <is>
          <t>不纳入该变量（原文未报告）</t>
        </is>
      </c>
      <c r="H29" s="187" t="inlineStr">
        <is>
          <t>同伴儿童+动画角色</t>
        </is>
      </c>
      <c r="I29" s="187" t="inlineStr">
        <is>
          <t>嵌入综合干预方案</t>
        </is>
      </c>
      <c r="J29" s="187" t="inlineStr">
        <is>
          <t>电视</t>
        </is>
      </c>
      <c r="K29" s="186" t="inlineStr">
        <is>
          <t>60分钟以上</t>
        </is>
      </c>
      <c r="L29" s="187" t="inlineStr">
        <is>
          <t>办公辅助空间</t>
        </is>
      </c>
      <c r="M29" s="187" t="inlineStr">
        <is>
          <t>研究人员</t>
        </is>
      </c>
      <c r="N29" s="186" t="n"/>
      <c r="O29" s="186" t="inlineStr">
        <is>
          <t>12.00岁</t>
        </is>
      </c>
      <c r="P29" s="187" t="inlineStr">
        <is>
          <t>每次1.5小时</t>
        </is>
      </c>
      <c r="Q29" s="187" t="inlineStr">
        <is>
          <t>讲解、演练、现场示范、反馈、强化、自我监控</t>
        </is>
      </c>
      <c r="R29" s="187" t="inlineStr">
        <is>
          <t>同伴儿童 + 动画角色</t>
        </is>
      </c>
      <c r="S29" s="187" t="inlineStr">
        <is>
          <t>电视</t>
        </is>
      </c>
      <c r="T29" s="187" t="inlineStr">
        <is>
          <t>研究人员</t>
        </is>
      </c>
      <c r="U29" s="187" t="inlineStr">
        <is>
          <t>诊所或治疗项目</t>
        </is>
      </c>
      <c r="V29" s="187" t="inlineStr">
        <is>
          <t>加3种及以上</t>
        </is>
      </c>
      <c r="W29" s="186" t="inlineStr">
        <is>
          <t>Generalization BL（干预前）vs INT 期泛化探测</t>
        </is>
      </c>
    </row>
    <row r="30" ht="15" customHeight="1" s="176">
      <c r="A30" s="186" t="inlineStr">
        <is>
          <t>K031</t>
        </is>
      </c>
      <c r="B30" s="186" t="inlineStr">
        <is>
          <t>002-二次</t>
        </is>
      </c>
      <c r="C30" s="186" t="inlineStr">
        <is>
          <t>Robby</t>
        </is>
      </c>
      <c r="D30" s="187" t="inlineStr">
        <is>
          <t>干预</t>
        </is>
      </c>
      <c r="E30" s="186" t="inlineStr">
        <is>
          <t>9–12岁</t>
        </is>
      </c>
      <c r="F30" s="187" t="inlineStr">
        <is>
          <t>男</t>
        </is>
      </c>
      <c r="G30" s="188" t="inlineStr">
        <is>
          <t>不纳入该变量（原文未报告）</t>
        </is>
      </c>
      <c r="H30" s="187" t="inlineStr">
        <is>
          <t>同伴儿童+动画角色</t>
        </is>
      </c>
      <c r="I30" s="187" t="inlineStr">
        <is>
          <t>嵌入综合干预方案</t>
        </is>
      </c>
      <c r="J30" s="187" t="inlineStr">
        <is>
          <t>电视</t>
        </is>
      </c>
      <c r="K30" s="186" t="inlineStr">
        <is>
          <t>60分钟以上</t>
        </is>
      </c>
      <c r="L30" s="187" t="inlineStr">
        <is>
          <t>办公辅助空间</t>
        </is>
      </c>
      <c r="M30" s="187" t="inlineStr">
        <is>
          <t>研究人员</t>
        </is>
      </c>
      <c r="N30" s="186" t="n"/>
      <c r="O30" s="186" t="inlineStr">
        <is>
          <t>12.00岁</t>
        </is>
      </c>
      <c r="P30" s="187" t="inlineStr">
        <is>
          <t>每次1.5小时</t>
        </is>
      </c>
      <c r="Q30" s="187" t="inlineStr">
        <is>
          <t>讲解、演练、现场示范、反馈、强化、自我监控</t>
        </is>
      </c>
      <c r="R30" s="187" t="inlineStr">
        <is>
          <t>同伴儿童 + 动画角色</t>
        </is>
      </c>
      <c r="S30" s="187" t="inlineStr">
        <is>
          <t>电视</t>
        </is>
      </c>
      <c r="T30" s="187" t="inlineStr">
        <is>
          <t>研究人员</t>
        </is>
      </c>
      <c r="U30" s="187" t="inlineStr">
        <is>
          <t>诊所或治疗项目</t>
        </is>
      </c>
      <c r="V30" s="187" t="inlineStr">
        <is>
          <t>加3种及以上</t>
        </is>
      </c>
      <c r="W30" s="186" t="inlineStr">
        <is>
          <t>Training BL vs INT</t>
        </is>
      </c>
    </row>
    <row r="31" ht="15" customHeight="1" s="176">
      <c r="A31" s="186" t="inlineStr">
        <is>
          <t>K032</t>
        </is>
      </c>
      <c r="B31" s="186" t="inlineStr">
        <is>
          <t>002-二次</t>
        </is>
      </c>
      <c r="C31" s="186" t="inlineStr">
        <is>
          <t>Robby</t>
        </is>
      </c>
      <c r="D31" s="187" t="inlineStr">
        <is>
          <t>泛化</t>
        </is>
      </c>
      <c r="E31" s="186" t="inlineStr">
        <is>
          <t>9–12岁</t>
        </is>
      </c>
      <c r="F31" s="187" t="inlineStr">
        <is>
          <t>男</t>
        </is>
      </c>
      <c r="G31" s="188" t="inlineStr">
        <is>
          <t>不纳入该变量（原文未报告）</t>
        </is>
      </c>
      <c r="H31" s="187" t="inlineStr">
        <is>
          <t>同伴儿童+动画角色</t>
        </is>
      </c>
      <c r="I31" s="187" t="inlineStr">
        <is>
          <t>嵌入综合干预方案</t>
        </is>
      </c>
      <c r="J31" s="187" t="inlineStr">
        <is>
          <t>电视</t>
        </is>
      </c>
      <c r="K31" s="186" t="inlineStr">
        <is>
          <t>60分钟以上</t>
        </is>
      </c>
      <c r="L31" s="187" t="inlineStr">
        <is>
          <t>办公辅助空间</t>
        </is>
      </c>
      <c r="M31" s="187" t="inlineStr">
        <is>
          <t>研究人员</t>
        </is>
      </c>
      <c r="N31" s="186" t="n"/>
      <c r="O31" s="186" t="inlineStr">
        <is>
          <t>12.00岁</t>
        </is>
      </c>
      <c r="P31" s="187" t="inlineStr">
        <is>
          <t>每次1.5小时</t>
        </is>
      </c>
      <c r="Q31" s="187" t="inlineStr">
        <is>
          <t>讲解、演练、现场示范、反馈、强化、自我监控</t>
        </is>
      </c>
      <c r="R31" s="187" t="inlineStr">
        <is>
          <t>同伴儿童 + 动画角色</t>
        </is>
      </c>
      <c r="S31" s="187" t="inlineStr">
        <is>
          <t>电视</t>
        </is>
      </c>
      <c r="T31" s="187" t="inlineStr">
        <is>
          <t>研究人员</t>
        </is>
      </c>
      <c r="U31" s="187" t="inlineStr">
        <is>
          <t>诊所或治疗项目</t>
        </is>
      </c>
      <c r="V31" s="187" t="inlineStr">
        <is>
          <t>加3种及以上</t>
        </is>
      </c>
      <c r="W31" s="186" t="inlineStr">
        <is>
          <t>Generalization BL（干预前）vs INT 期泛化探测</t>
        </is>
      </c>
    </row>
    <row r="32" ht="15" customHeight="1" s="176">
      <c r="A32" s="186" t="inlineStr">
        <is>
          <t>K033</t>
        </is>
      </c>
      <c r="B32" s="186" t="inlineStr">
        <is>
          <t>004-二次</t>
        </is>
      </c>
      <c r="C32" s="186" t="inlineStr">
        <is>
          <t>Nick</t>
        </is>
      </c>
      <c r="D32" s="187" t="inlineStr">
        <is>
          <t>干预</t>
        </is>
      </c>
      <c r="E32" s="186" t="inlineStr">
        <is>
          <t>6–8岁</t>
        </is>
      </c>
      <c r="F32" s="187" t="inlineStr">
        <is>
          <t>男</t>
        </is>
      </c>
      <c r="G32" s="188" t="inlineStr">
        <is>
          <t>不纳入该变量（原文未报告）</t>
        </is>
      </c>
      <c r="H32" s="187" t="inlineStr">
        <is>
          <t>成人</t>
        </is>
      </c>
      <c r="I32" s="187" t="inlineStr">
        <is>
          <t>单独实施</t>
        </is>
      </c>
      <c r="J32" s="187" t="inlineStr">
        <is>
          <t>便携触屏设备</t>
        </is>
      </c>
      <c r="K32" s="188" t="inlineStr">
        <is>
          <t>不纳入该变量（原文未报告）</t>
        </is>
      </c>
      <c r="L32" s="187" t="inlineStr">
        <is>
          <t>专用训练空间</t>
        </is>
      </c>
      <c r="M32" s="187" t="inlineStr">
        <is>
          <t>研究人员</t>
        </is>
      </c>
      <c r="N32" s="187" t="inlineStr">
        <is>
          <t>干预者回原文补齐</t>
        </is>
      </c>
      <c r="O32" s="186" t="inlineStr">
        <is>
          <t>8.25岁</t>
        </is>
      </c>
      <c r="P32" s="187" t="inlineStr">
        <is>
          <t>未报告（每次测试为3个3分钟试次）</t>
        </is>
      </c>
      <c r="Q32" s="187" t="inlineStr">
        <is>
          <t>无</t>
        </is>
      </c>
      <c r="R32" s="187" t="inlineStr">
        <is>
          <t>成人</t>
        </is>
      </c>
      <c r="S32" s="187" t="inlineStr">
        <is>
          <t>手持或便携设备</t>
        </is>
      </c>
      <c r="T32" s="187" t="inlineStr">
        <is>
          <t>缺失</t>
        </is>
      </c>
      <c r="U32" s="187" t="inlineStr">
        <is>
          <t>诊所或治疗项目</t>
        </is>
      </c>
      <c r="V32" s="187" t="inlineStr">
        <is>
          <t>只用视频</t>
        </is>
      </c>
      <c r="W32" s="187" t="inlineStr">
        <is>
          <t>基线期 vs PVMI 干预期（原情境，实心圆）</t>
        </is>
      </c>
    </row>
    <row r="33" ht="15" customHeight="1" s="176">
      <c r="A33" s="186" t="inlineStr">
        <is>
          <t>K034</t>
        </is>
      </c>
      <c r="B33" s="186" t="inlineStr">
        <is>
          <t>004-二次</t>
        </is>
      </c>
      <c r="C33" s="186" t="inlineStr">
        <is>
          <t>Kelly</t>
        </is>
      </c>
      <c r="D33" s="187" t="inlineStr">
        <is>
          <t>干预</t>
        </is>
      </c>
      <c r="E33" s="186" t="inlineStr">
        <is>
          <t>6–8岁</t>
        </is>
      </c>
      <c r="F33" s="187" t="inlineStr">
        <is>
          <t>女</t>
        </is>
      </c>
      <c r="G33" s="188" t="inlineStr">
        <is>
          <t>不纳入该变量（原文未报告）</t>
        </is>
      </c>
      <c r="H33" s="187" t="inlineStr">
        <is>
          <t>成人</t>
        </is>
      </c>
      <c r="I33" s="187" t="inlineStr">
        <is>
          <t>单独实施</t>
        </is>
      </c>
      <c r="J33" s="187" t="inlineStr">
        <is>
          <t>便携触屏设备</t>
        </is>
      </c>
      <c r="K33" s="188" t="inlineStr">
        <is>
          <t>不纳入该变量（原文未报告）</t>
        </is>
      </c>
      <c r="L33" s="187" t="inlineStr">
        <is>
          <t>专用训练空间</t>
        </is>
      </c>
      <c r="M33" s="187" t="inlineStr">
        <is>
          <t>研究人员</t>
        </is>
      </c>
      <c r="N33" s="187" t="inlineStr">
        <is>
          <t>干预者回原文补齐</t>
        </is>
      </c>
      <c r="O33" s="186" t="inlineStr">
        <is>
          <t>7.17岁</t>
        </is>
      </c>
      <c r="P33" s="187" t="inlineStr">
        <is>
          <t>未报告（每次测试为3个3分钟试次）</t>
        </is>
      </c>
      <c r="Q33" s="187" t="inlineStr">
        <is>
          <t>无</t>
        </is>
      </c>
      <c r="R33" s="187" t="inlineStr">
        <is>
          <t>成人</t>
        </is>
      </c>
      <c r="S33" s="187" t="inlineStr">
        <is>
          <t>手持或便携设备</t>
        </is>
      </c>
      <c r="T33" s="187" t="inlineStr">
        <is>
          <t>缺失</t>
        </is>
      </c>
      <c r="U33" s="187" t="inlineStr">
        <is>
          <t>诊所或治疗项目</t>
        </is>
      </c>
      <c r="V33" s="187" t="inlineStr">
        <is>
          <t>只用视频</t>
        </is>
      </c>
      <c r="W33" s="187" t="inlineStr">
        <is>
          <t>基线期 vs PVMI 干预期（原情境，实心圆）</t>
        </is>
      </c>
    </row>
    <row r="34" ht="15" customHeight="1" s="176">
      <c r="A34" s="186" t="inlineStr">
        <is>
          <t>K035</t>
        </is>
      </c>
      <c r="B34" s="186" t="inlineStr">
        <is>
          <t>004-二次</t>
        </is>
      </c>
      <c r="C34" s="186" t="inlineStr">
        <is>
          <t>Mike</t>
        </is>
      </c>
      <c r="D34" s="187" t="inlineStr">
        <is>
          <t>干预</t>
        </is>
      </c>
      <c r="E34" s="186" t="inlineStr">
        <is>
          <t>9–12岁</t>
        </is>
      </c>
      <c r="F34" s="187" t="inlineStr">
        <is>
          <t>男</t>
        </is>
      </c>
      <c r="G34" s="188" t="inlineStr">
        <is>
          <t>不纳入该变量（原文未报告）</t>
        </is>
      </c>
      <c r="H34" s="187" t="inlineStr">
        <is>
          <t>成人</t>
        </is>
      </c>
      <c r="I34" s="187" t="inlineStr">
        <is>
          <t>单独实施</t>
        </is>
      </c>
      <c r="J34" s="187" t="inlineStr">
        <is>
          <t>便携触屏设备</t>
        </is>
      </c>
      <c r="K34" s="188" t="inlineStr">
        <is>
          <t>不纳入该变量（原文未报告）</t>
        </is>
      </c>
      <c r="L34" s="187" t="inlineStr">
        <is>
          <t>专用训练空间</t>
        </is>
      </c>
      <c r="M34" s="187" t="inlineStr">
        <is>
          <t>研究人员</t>
        </is>
      </c>
      <c r="N34" s="187" t="inlineStr">
        <is>
          <t>干预者回原文补齐</t>
        </is>
      </c>
      <c r="O34" s="186" t="inlineStr">
        <is>
          <t>9.25岁</t>
        </is>
      </c>
      <c r="P34" s="187" t="inlineStr">
        <is>
          <t>未报告（每次测试为3个3分钟试次）</t>
        </is>
      </c>
      <c r="Q34" s="187" t="inlineStr">
        <is>
          <t>无</t>
        </is>
      </c>
      <c r="R34" s="187" t="inlineStr">
        <is>
          <t>成人</t>
        </is>
      </c>
      <c r="S34" s="187" t="inlineStr">
        <is>
          <t>手持或便携设备</t>
        </is>
      </c>
      <c r="T34" s="187" t="inlineStr">
        <is>
          <t>缺失</t>
        </is>
      </c>
      <c r="U34" s="187" t="inlineStr">
        <is>
          <t>诊所或治疗项目</t>
        </is>
      </c>
      <c r="V34" s="187" t="inlineStr">
        <is>
          <t>只用视频</t>
        </is>
      </c>
      <c r="W34" s="187" t="inlineStr">
        <is>
          <t>基线期 vs PVMI 干预期（原情境，实心圆）</t>
        </is>
      </c>
    </row>
    <row r="35" ht="15" customHeight="1" s="176">
      <c r="A35" s="186" t="inlineStr">
        <is>
          <t>K036</t>
        </is>
      </c>
      <c r="B35" s="186" t="inlineStr">
        <is>
          <t>004-二次</t>
        </is>
      </c>
      <c r="C35" s="186" t="inlineStr">
        <is>
          <t>Jake</t>
        </is>
      </c>
      <c r="D35" s="187" t="inlineStr">
        <is>
          <t>干预</t>
        </is>
      </c>
      <c r="E35" s="186" t="inlineStr">
        <is>
          <t>6–8岁</t>
        </is>
      </c>
      <c r="F35" s="187" t="inlineStr">
        <is>
          <t>男</t>
        </is>
      </c>
      <c r="G35" s="188" t="inlineStr">
        <is>
          <t>不纳入该变量（原文未报告）</t>
        </is>
      </c>
      <c r="H35" s="187" t="inlineStr">
        <is>
          <t>成人</t>
        </is>
      </c>
      <c r="I35" s="187" t="inlineStr">
        <is>
          <t>单独实施</t>
        </is>
      </c>
      <c r="J35" s="187" t="inlineStr">
        <is>
          <t>便携触屏设备</t>
        </is>
      </c>
      <c r="K35" s="188" t="inlineStr">
        <is>
          <t>不纳入该变量（原文未报告）</t>
        </is>
      </c>
      <c r="L35" s="187" t="inlineStr">
        <is>
          <t>专用训练空间</t>
        </is>
      </c>
      <c r="M35" s="187" t="inlineStr">
        <is>
          <t>研究人员</t>
        </is>
      </c>
      <c r="N35" s="187" t="inlineStr">
        <is>
          <t>干预者回原文补齐</t>
        </is>
      </c>
      <c r="O35" s="186" t="inlineStr">
        <is>
          <t>8.17岁</t>
        </is>
      </c>
      <c r="P35" s="187" t="inlineStr">
        <is>
          <t>未报告（每次测试为3个3分钟试次）</t>
        </is>
      </c>
      <c r="Q35" s="187" t="inlineStr">
        <is>
          <t>无</t>
        </is>
      </c>
      <c r="R35" s="187" t="inlineStr">
        <is>
          <t>成人</t>
        </is>
      </c>
      <c r="S35" s="187" t="inlineStr">
        <is>
          <t>手持或便携设备</t>
        </is>
      </c>
      <c r="T35" s="187" t="inlineStr">
        <is>
          <t>缺失</t>
        </is>
      </c>
      <c r="U35" s="187" t="inlineStr">
        <is>
          <t>诊所或治疗项目</t>
        </is>
      </c>
      <c r="V35" s="187" t="inlineStr">
        <is>
          <t>只用视频</t>
        </is>
      </c>
      <c r="W35" s="187" t="inlineStr">
        <is>
          <t>基线期 vs PVMI 干预期（原情境，实心圆）</t>
        </is>
      </c>
    </row>
    <row r="36" ht="15" customHeight="1" s="176">
      <c r="A36" s="186" t="inlineStr">
        <is>
          <t>K039</t>
        </is>
      </c>
      <c r="B36" s="186" t="inlineStr">
        <is>
          <t>005-二次</t>
        </is>
      </c>
      <c r="C36" s="186" t="inlineStr">
        <is>
          <t>Anna</t>
        </is>
      </c>
      <c r="D36" s="187" t="inlineStr">
        <is>
          <t>干预</t>
        </is>
      </c>
      <c r="E36" s="186" t="inlineStr">
        <is>
          <t>6岁以下</t>
        </is>
      </c>
      <c r="F36" s="187" t="inlineStr">
        <is>
          <t>女</t>
        </is>
      </c>
      <c r="G36" s="188" t="inlineStr">
        <is>
          <t>不纳入该变量（原文未报告）</t>
        </is>
      </c>
      <c r="H36" s="187" t="inlineStr">
        <is>
          <t>成人</t>
        </is>
      </c>
      <c r="I36" s="187" t="inlineStr">
        <is>
          <t>单独实施</t>
        </is>
      </c>
      <c r="J36" s="187" t="inlineStr">
        <is>
          <t>便携触屏设备</t>
        </is>
      </c>
      <c r="K36" s="188" t="inlineStr">
        <is>
          <t>不纳入该变量（原文未报告）</t>
        </is>
      </c>
      <c r="L36" s="187" t="inlineStr">
        <is>
          <t>家庭社区</t>
        </is>
      </c>
      <c r="M36" s="187" t="inlineStr">
        <is>
          <t>治疗师</t>
        </is>
      </c>
      <c r="N36" s="186" t="n"/>
      <c r="O36" s="186" t="inlineStr">
        <is>
          <t>5.00岁</t>
        </is>
      </c>
      <c r="P36" s="187" t="inlineStr">
        <is>
          <t>未报告（按试次计）</t>
        </is>
      </c>
      <c r="Q36" s="187" t="inlineStr">
        <is>
          <t>无</t>
        </is>
      </c>
      <c r="R36" s="187" t="inlineStr">
        <is>
          <t>成人</t>
        </is>
      </c>
      <c r="S36" s="187" t="inlineStr">
        <is>
          <t>手持或便携设备</t>
        </is>
      </c>
      <c r="T36" s="187" t="inlineStr">
        <is>
          <t>治疗师</t>
        </is>
      </c>
      <c r="U36" s="187" t="inlineStr">
        <is>
          <t>诊所或治疗项目</t>
        </is>
      </c>
      <c r="V36" s="187" t="inlineStr">
        <is>
          <t>只用视频</t>
        </is>
      </c>
      <c r="W36" s="187" t="inlineStr">
        <is>
          <t>该任务基线期 vs 视频示范干预期</t>
        </is>
      </c>
    </row>
    <row r="37" ht="15" customHeight="1" s="176">
      <c r="A37" s="186" t="inlineStr">
        <is>
          <t>K040</t>
        </is>
      </c>
      <c r="B37" s="186" t="inlineStr">
        <is>
          <t>005-二次</t>
        </is>
      </c>
      <c r="C37" s="186" t="inlineStr">
        <is>
          <t>Brian</t>
        </is>
      </c>
      <c r="D37" s="187" t="inlineStr">
        <is>
          <t>干预</t>
        </is>
      </c>
      <c r="E37" s="186" t="inlineStr">
        <is>
          <t>6–8岁</t>
        </is>
      </c>
      <c r="F37" s="187" t="inlineStr">
        <is>
          <t>男</t>
        </is>
      </c>
      <c r="G37" s="188" t="inlineStr">
        <is>
          <t>不纳入该变量（原文未报告）</t>
        </is>
      </c>
      <c r="H37" s="187" t="inlineStr">
        <is>
          <t>成人</t>
        </is>
      </c>
      <c r="I37" s="187" t="inlineStr">
        <is>
          <t>单独实施</t>
        </is>
      </c>
      <c r="J37" s="187" t="inlineStr">
        <is>
          <t>便携触屏设备</t>
        </is>
      </c>
      <c r="K37" s="188" t="inlineStr">
        <is>
          <t>不纳入该变量（原文未报告）</t>
        </is>
      </c>
      <c r="L37" s="187" t="inlineStr">
        <is>
          <t>家庭社区</t>
        </is>
      </c>
      <c r="M37" s="187" t="inlineStr">
        <is>
          <t>治疗师</t>
        </is>
      </c>
      <c r="N37" s="186" t="n"/>
      <c r="O37" s="186" t="inlineStr">
        <is>
          <t>8.33岁</t>
        </is>
      </c>
      <c r="P37" s="187" t="inlineStr">
        <is>
          <t>未报告（按试次计）</t>
        </is>
      </c>
      <c r="Q37" s="187" t="inlineStr">
        <is>
          <t>无</t>
        </is>
      </c>
      <c r="R37" s="187" t="inlineStr">
        <is>
          <t>成人</t>
        </is>
      </c>
      <c r="S37" s="187" t="inlineStr">
        <is>
          <t>手持或便携设备</t>
        </is>
      </c>
      <c r="T37" s="187" t="inlineStr">
        <is>
          <t>治疗师</t>
        </is>
      </c>
      <c r="U37" s="187" t="inlineStr">
        <is>
          <t>诊所或治疗项目</t>
        </is>
      </c>
      <c r="V37" s="187" t="inlineStr">
        <is>
          <t>只用视频</t>
        </is>
      </c>
      <c r="W37" s="187" t="inlineStr">
        <is>
          <t>该任务基线期 vs 视频示范干预期</t>
        </is>
      </c>
    </row>
    <row r="38" ht="15" customHeight="1" s="176">
      <c r="A38" s="186" t="inlineStr">
        <is>
          <t>K041</t>
        </is>
      </c>
      <c r="B38" s="186" t="inlineStr">
        <is>
          <t>005-二次</t>
        </is>
      </c>
      <c r="C38" s="186" t="inlineStr">
        <is>
          <t>Brian</t>
        </is>
      </c>
      <c r="D38" s="187" t="inlineStr">
        <is>
          <t>干预</t>
        </is>
      </c>
      <c r="E38" s="186" t="inlineStr">
        <is>
          <t>6–8岁</t>
        </is>
      </c>
      <c r="F38" s="187" t="inlineStr">
        <is>
          <t>男</t>
        </is>
      </c>
      <c r="G38" s="188" t="inlineStr">
        <is>
          <t>不纳入该变量（原文未报告）</t>
        </is>
      </c>
      <c r="H38" s="187" t="inlineStr">
        <is>
          <t>成人</t>
        </is>
      </c>
      <c r="I38" s="187" t="inlineStr">
        <is>
          <t>单独实施</t>
        </is>
      </c>
      <c r="J38" s="187" t="inlineStr">
        <is>
          <t>电视</t>
        </is>
      </c>
      <c r="K38" s="188" t="inlineStr">
        <is>
          <t>不纳入该变量（原文未报告）</t>
        </is>
      </c>
      <c r="L38" s="187" t="inlineStr">
        <is>
          <t>家庭社区</t>
        </is>
      </c>
      <c r="M38" s="187" t="inlineStr">
        <is>
          <t>治疗师</t>
        </is>
      </c>
      <c r="N38" s="186" t="n"/>
      <c r="O38" s="186" t="inlineStr">
        <is>
          <t>8.33岁</t>
        </is>
      </c>
      <c r="P38" s="187" t="inlineStr">
        <is>
          <t>未报告（按试次计）</t>
        </is>
      </c>
      <c r="Q38" s="187" t="inlineStr">
        <is>
          <t>无</t>
        </is>
      </c>
      <c r="R38" s="187" t="inlineStr">
        <is>
          <t>成人</t>
        </is>
      </c>
      <c r="S38" s="187" t="inlineStr">
        <is>
          <t>电视</t>
        </is>
      </c>
      <c r="T38" s="187" t="inlineStr">
        <is>
          <t>治疗师</t>
        </is>
      </c>
      <c r="U38" s="187" t="inlineStr">
        <is>
          <t>诊所或治疗项目</t>
        </is>
      </c>
      <c r="V38" s="187" t="inlineStr">
        <is>
          <t>只用视频</t>
        </is>
      </c>
      <c r="W38" s="187" t="inlineStr">
        <is>
          <t>该任务基线期 vs 视频示范干预期</t>
        </is>
      </c>
    </row>
    <row r="39" ht="15" customHeight="1" s="176">
      <c r="A39" s="186" t="inlineStr">
        <is>
          <t>K042</t>
        </is>
      </c>
      <c r="B39" s="186" t="inlineStr">
        <is>
          <t>005-二次</t>
        </is>
      </c>
      <c r="C39" s="186" t="inlineStr">
        <is>
          <t>Jason</t>
        </is>
      </c>
      <c r="D39" s="187" t="inlineStr">
        <is>
          <t>干预</t>
        </is>
      </c>
      <c r="E39" s="186" t="inlineStr">
        <is>
          <t>9–12岁</t>
        </is>
      </c>
      <c r="F39" s="187" t="inlineStr">
        <is>
          <t>男</t>
        </is>
      </c>
      <c r="G39" s="188" t="inlineStr">
        <is>
          <t>不纳入该变量（原文未报告）</t>
        </is>
      </c>
      <c r="H39" s="187" t="inlineStr">
        <is>
          <t>成人</t>
        </is>
      </c>
      <c r="I39" s="187" t="inlineStr">
        <is>
          <t>单独实施</t>
        </is>
      </c>
      <c r="J39" s="187" t="inlineStr">
        <is>
          <t>便携触屏设备</t>
        </is>
      </c>
      <c r="K39" s="188" t="inlineStr">
        <is>
          <t>不纳入该变量（原文未报告）</t>
        </is>
      </c>
      <c r="L39" s="187" t="inlineStr">
        <is>
          <t>家庭社区</t>
        </is>
      </c>
      <c r="M39" s="187" t="inlineStr">
        <is>
          <t>治疗师</t>
        </is>
      </c>
      <c r="N39" s="186" t="n"/>
      <c r="O39" s="186" t="inlineStr">
        <is>
          <t>12.08岁</t>
        </is>
      </c>
      <c r="P39" s="187" t="inlineStr">
        <is>
          <t>未报告（按试次计）</t>
        </is>
      </c>
      <c r="Q39" s="187" t="inlineStr">
        <is>
          <t>无</t>
        </is>
      </c>
      <c r="R39" s="187" t="inlineStr">
        <is>
          <t>成人</t>
        </is>
      </c>
      <c r="S39" s="187" t="inlineStr">
        <is>
          <t>手持或便携设备</t>
        </is>
      </c>
      <c r="T39" s="187" t="inlineStr">
        <is>
          <t>治疗师</t>
        </is>
      </c>
      <c r="U39" s="187" t="inlineStr">
        <is>
          <t>诊所或治疗项目</t>
        </is>
      </c>
      <c r="V39" s="187" t="inlineStr">
        <is>
          <t>只用视频</t>
        </is>
      </c>
      <c r="W39" s="187" t="inlineStr">
        <is>
          <t>该任务基线期 vs 视频示范干预期</t>
        </is>
      </c>
    </row>
    <row r="40" ht="15" customHeight="1" s="176">
      <c r="A40" s="186" t="inlineStr">
        <is>
          <t>K043</t>
        </is>
      </c>
      <c r="B40" s="186" t="inlineStr">
        <is>
          <t>005-二次</t>
        </is>
      </c>
      <c r="C40" s="186" t="inlineStr">
        <is>
          <t>Jason</t>
        </is>
      </c>
      <c r="D40" s="187" t="inlineStr">
        <is>
          <t>干预</t>
        </is>
      </c>
      <c r="E40" s="186" t="inlineStr">
        <is>
          <t>9–12岁</t>
        </is>
      </c>
      <c r="F40" s="187" t="inlineStr">
        <is>
          <t>男</t>
        </is>
      </c>
      <c r="G40" s="188" t="inlineStr">
        <is>
          <t>不纳入该变量（原文未报告）</t>
        </is>
      </c>
      <c r="H40" s="187" t="inlineStr">
        <is>
          <t>成人</t>
        </is>
      </c>
      <c r="I40" s="187" t="inlineStr">
        <is>
          <t>单独实施</t>
        </is>
      </c>
      <c r="J40" s="187" t="inlineStr">
        <is>
          <t>电视</t>
        </is>
      </c>
      <c r="K40" s="188" t="inlineStr">
        <is>
          <t>不纳入该变量（原文未报告）</t>
        </is>
      </c>
      <c r="L40" s="187" t="inlineStr">
        <is>
          <t>家庭社区</t>
        </is>
      </c>
      <c r="M40" s="187" t="inlineStr">
        <is>
          <t>治疗师</t>
        </is>
      </c>
      <c r="N40" s="186" t="n"/>
      <c r="O40" s="186" t="inlineStr">
        <is>
          <t>12.08岁</t>
        </is>
      </c>
      <c r="P40" s="187" t="inlineStr">
        <is>
          <t>未报告（按试次计）</t>
        </is>
      </c>
      <c r="Q40" s="187" t="inlineStr">
        <is>
          <t>无</t>
        </is>
      </c>
      <c r="R40" s="187" t="inlineStr">
        <is>
          <t>成人</t>
        </is>
      </c>
      <c r="S40" s="187" t="inlineStr">
        <is>
          <t>电视</t>
        </is>
      </c>
      <c r="T40" s="187" t="inlineStr">
        <is>
          <t>治疗师</t>
        </is>
      </c>
      <c r="U40" s="187" t="inlineStr">
        <is>
          <t>诊所或治疗项目</t>
        </is>
      </c>
      <c r="V40" s="187" t="inlineStr">
        <is>
          <t>只用视频</t>
        </is>
      </c>
      <c r="W40" s="187" t="inlineStr">
        <is>
          <t>该任务基线期 vs 视频示范干预期</t>
        </is>
      </c>
    </row>
    <row r="41" ht="15" customHeight="1" s="176">
      <c r="A41" s="186" t="inlineStr">
        <is>
          <t>K044</t>
        </is>
      </c>
      <c r="B41" s="186" t="inlineStr">
        <is>
          <t>005-二次</t>
        </is>
      </c>
      <c r="C41" s="186" t="inlineStr">
        <is>
          <t>Riley</t>
        </is>
      </c>
      <c r="D41" s="187" t="inlineStr">
        <is>
          <t>干预</t>
        </is>
      </c>
      <c r="E41" s="186" t="inlineStr">
        <is>
          <t>6–8岁</t>
        </is>
      </c>
      <c r="F41" s="187" t="inlineStr">
        <is>
          <t>男</t>
        </is>
      </c>
      <c r="G41" s="188" t="inlineStr">
        <is>
          <t>不纳入该变量（原文未报告）</t>
        </is>
      </c>
      <c r="H41" s="187" t="inlineStr">
        <is>
          <t>成人</t>
        </is>
      </c>
      <c r="I41" s="187" t="inlineStr">
        <is>
          <t>单独实施</t>
        </is>
      </c>
      <c r="J41" s="187" t="inlineStr">
        <is>
          <t>便携触屏设备</t>
        </is>
      </c>
      <c r="K41" s="188" t="inlineStr">
        <is>
          <t>不纳入该变量（原文未报告）</t>
        </is>
      </c>
      <c r="L41" s="187" t="inlineStr">
        <is>
          <t>家庭社区</t>
        </is>
      </c>
      <c r="M41" s="187" t="inlineStr">
        <is>
          <t>治疗师</t>
        </is>
      </c>
      <c r="N41" s="186" t="n"/>
      <c r="O41" s="186" t="inlineStr">
        <is>
          <t>7.17岁</t>
        </is>
      </c>
      <c r="P41" s="187" t="inlineStr">
        <is>
          <t>未报告（按试次计）</t>
        </is>
      </c>
      <c r="Q41" s="187" t="inlineStr">
        <is>
          <t>无</t>
        </is>
      </c>
      <c r="R41" s="187" t="inlineStr">
        <is>
          <t>成人</t>
        </is>
      </c>
      <c r="S41" s="187" t="inlineStr">
        <is>
          <t>手持或便携设备</t>
        </is>
      </c>
      <c r="T41" s="187" t="inlineStr">
        <is>
          <t>治疗师</t>
        </is>
      </c>
      <c r="U41" s="187" t="inlineStr">
        <is>
          <t>诊所或治疗项目</t>
        </is>
      </c>
      <c r="V41" s="187" t="inlineStr">
        <is>
          <t>只用视频</t>
        </is>
      </c>
      <c r="W41" s="187" t="inlineStr">
        <is>
          <t>该任务基线期 vs 视频示范干预期</t>
        </is>
      </c>
    </row>
    <row r="42" ht="15" customHeight="1" s="176">
      <c r="A42" s="186" t="inlineStr">
        <is>
          <t>K045</t>
        </is>
      </c>
      <c r="B42" s="186" t="inlineStr">
        <is>
          <t>005-二次</t>
        </is>
      </c>
      <c r="C42" s="186" t="inlineStr">
        <is>
          <t>Riley</t>
        </is>
      </c>
      <c r="D42" s="187" t="inlineStr">
        <is>
          <t>干预</t>
        </is>
      </c>
      <c r="E42" s="186" t="inlineStr">
        <is>
          <t>6–8岁</t>
        </is>
      </c>
      <c r="F42" s="187" t="inlineStr">
        <is>
          <t>男</t>
        </is>
      </c>
      <c r="G42" s="188" t="inlineStr">
        <is>
          <t>不纳入该变量（原文未报告）</t>
        </is>
      </c>
      <c r="H42" s="187" t="inlineStr">
        <is>
          <t>成人</t>
        </is>
      </c>
      <c r="I42" s="187" t="inlineStr">
        <is>
          <t>单独实施</t>
        </is>
      </c>
      <c r="J42" s="187" t="inlineStr">
        <is>
          <t>电视</t>
        </is>
      </c>
      <c r="K42" s="188" t="inlineStr">
        <is>
          <t>不纳入该变量（原文未报告）</t>
        </is>
      </c>
      <c r="L42" s="187" t="inlineStr">
        <is>
          <t>家庭社区</t>
        </is>
      </c>
      <c r="M42" s="187" t="inlineStr">
        <is>
          <t>治疗师</t>
        </is>
      </c>
      <c r="N42" s="186" t="n"/>
      <c r="O42" s="186" t="inlineStr">
        <is>
          <t>7.17岁</t>
        </is>
      </c>
      <c r="P42" s="187" t="inlineStr">
        <is>
          <t>未报告（按试次计）</t>
        </is>
      </c>
      <c r="Q42" s="187" t="inlineStr">
        <is>
          <t>无</t>
        </is>
      </c>
      <c r="R42" s="187" t="inlineStr">
        <is>
          <t>成人</t>
        </is>
      </c>
      <c r="S42" s="187" t="inlineStr">
        <is>
          <t>电视</t>
        </is>
      </c>
      <c r="T42" s="187" t="inlineStr">
        <is>
          <t>治疗师</t>
        </is>
      </c>
      <c r="U42" s="187" t="inlineStr">
        <is>
          <t>诊所或治疗项目</t>
        </is>
      </c>
      <c r="V42" s="187" t="inlineStr">
        <is>
          <t>只用视频</t>
        </is>
      </c>
      <c r="W42" s="187" t="inlineStr">
        <is>
          <t>该任务基线期 vs 视频示范干预期</t>
        </is>
      </c>
    </row>
    <row r="43" ht="15" customHeight="1" s="176">
      <c r="A43" s="186" t="inlineStr">
        <is>
          <t>K083</t>
        </is>
      </c>
      <c r="B43" s="186" t="inlineStr">
        <is>
          <t>011-二次</t>
        </is>
      </c>
      <c r="C43" s="186" t="inlineStr">
        <is>
          <t>Max</t>
        </is>
      </c>
      <c r="D43" s="187" t="inlineStr">
        <is>
          <t>干预</t>
        </is>
      </c>
      <c r="E43" s="186" t="inlineStr">
        <is>
          <t>6–8岁</t>
        </is>
      </c>
      <c r="F43" s="187" t="inlineStr">
        <is>
          <t>男</t>
        </is>
      </c>
      <c r="G43" s="188" t="inlineStr">
        <is>
          <t>不纳入该变量（原文未报告）</t>
        </is>
      </c>
      <c r="H43" s="187" t="inlineStr">
        <is>
          <t>成人</t>
        </is>
      </c>
      <c r="I43" s="187" t="inlineStr">
        <is>
          <t>单独实施</t>
        </is>
      </c>
      <c r="J43" s="187" t="inlineStr">
        <is>
          <t>电脑</t>
        </is>
      </c>
      <c r="K43" s="188" t="inlineStr">
        <is>
          <t>不纳入该变量（原文未报告）</t>
        </is>
      </c>
      <c r="L43" s="187" t="inlineStr">
        <is>
          <t>专用训练空间</t>
        </is>
      </c>
      <c r="M43" s="187" t="inlineStr">
        <is>
          <t>研究人员</t>
        </is>
      </c>
      <c r="N43" s="186" t="n"/>
      <c r="O43" s="186" t="inlineStr">
        <is>
          <t>8.75岁</t>
        </is>
      </c>
      <c r="P43" s="187" t="inlineStr">
        <is>
          <t>未报告（每周到诊所1次、每次2小时，干预只占其中一部分）</t>
        </is>
      </c>
      <c r="Q43" s="187" t="inlineStr">
        <is>
          <t>无</t>
        </is>
      </c>
      <c r="R43" s="187" t="inlineStr">
        <is>
          <t>成人</t>
        </is>
      </c>
      <c r="S43" s="187" t="inlineStr">
        <is>
          <t>电脑</t>
        </is>
      </c>
      <c r="T43" s="187" t="inlineStr">
        <is>
          <t>研究人员</t>
        </is>
      </c>
      <c r="U43" s="187" t="inlineStr">
        <is>
          <t>诊所或治疗项目</t>
        </is>
      </c>
      <c r="V43" s="187" t="inlineStr">
        <is>
          <t>只用视频</t>
        </is>
      </c>
      <c r="W43" s="186" t="inlineStr">
        <is>
          <t>Baseline vs Video Modeling</t>
        </is>
      </c>
    </row>
    <row r="44" ht="15" customHeight="1" s="176">
      <c r="A44" s="186" t="inlineStr">
        <is>
          <t>K084</t>
        </is>
      </c>
      <c r="B44" s="186" t="inlineStr">
        <is>
          <t>011-二次</t>
        </is>
      </c>
      <c r="C44" s="186" t="inlineStr">
        <is>
          <t>Mike</t>
        </is>
      </c>
      <c r="D44" s="187" t="inlineStr">
        <is>
          <t>干预</t>
        </is>
      </c>
      <c r="E44" s="186" t="inlineStr">
        <is>
          <t>6–8岁</t>
        </is>
      </c>
      <c r="F44" s="187" t="inlineStr">
        <is>
          <t>男</t>
        </is>
      </c>
      <c r="G44" s="188" t="inlineStr">
        <is>
          <t>不纳入该变量（原文未报告）</t>
        </is>
      </c>
      <c r="H44" s="187" t="inlineStr">
        <is>
          <t>成人</t>
        </is>
      </c>
      <c r="I44" s="187" t="inlineStr">
        <is>
          <t>单独实施</t>
        </is>
      </c>
      <c r="J44" s="187" t="inlineStr">
        <is>
          <t>电脑</t>
        </is>
      </c>
      <c r="K44" s="188" t="inlineStr">
        <is>
          <t>不纳入该变量（原文未报告）</t>
        </is>
      </c>
      <c r="L44" s="187" t="inlineStr">
        <is>
          <t>专用训练空间</t>
        </is>
      </c>
      <c r="M44" s="187" t="inlineStr">
        <is>
          <t>研究人员</t>
        </is>
      </c>
      <c r="N44" s="186" t="n"/>
      <c r="O44" s="186" t="inlineStr">
        <is>
          <t>6.33岁</t>
        </is>
      </c>
      <c r="P44" s="187" t="inlineStr">
        <is>
          <t>未报告（每周到诊所1次、每次2小时，干预只占其中一部分）</t>
        </is>
      </c>
      <c r="Q44" s="187" t="inlineStr">
        <is>
          <t>无</t>
        </is>
      </c>
      <c r="R44" s="187" t="inlineStr">
        <is>
          <t>成人</t>
        </is>
      </c>
      <c r="S44" s="187" t="inlineStr">
        <is>
          <t>电脑</t>
        </is>
      </c>
      <c r="T44" s="187" t="inlineStr">
        <is>
          <t>研究人员</t>
        </is>
      </c>
      <c r="U44" s="187" t="inlineStr">
        <is>
          <t>诊所或治疗项目</t>
        </is>
      </c>
      <c r="V44" s="187" t="inlineStr">
        <is>
          <t>只用视频</t>
        </is>
      </c>
      <c r="W44" s="186" t="inlineStr">
        <is>
          <t>Baseline vs Video Modeling</t>
        </is>
      </c>
    </row>
    <row r="45" ht="15" customHeight="1" s="176">
      <c r="A45" s="186" t="inlineStr">
        <is>
          <t>K085</t>
        </is>
      </c>
      <c r="B45" s="186" t="inlineStr">
        <is>
          <t>011-二次</t>
        </is>
      </c>
      <c r="C45" s="186" t="inlineStr">
        <is>
          <t>Kendra</t>
        </is>
      </c>
      <c r="D45" s="187" t="inlineStr">
        <is>
          <t>干预</t>
        </is>
      </c>
      <c r="E45" s="186" t="inlineStr">
        <is>
          <t>6–8岁</t>
        </is>
      </c>
      <c r="F45" s="187" t="inlineStr">
        <is>
          <t>女</t>
        </is>
      </c>
      <c r="G45" s="188" t="inlineStr">
        <is>
          <t>不纳入该变量（原文未报告）</t>
        </is>
      </c>
      <c r="H45" s="187" t="inlineStr">
        <is>
          <t>成人</t>
        </is>
      </c>
      <c r="I45" s="187" t="inlineStr">
        <is>
          <t>单独实施</t>
        </is>
      </c>
      <c r="J45" s="187" t="inlineStr">
        <is>
          <t>电脑</t>
        </is>
      </c>
      <c r="K45" s="188" t="inlineStr">
        <is>
          <t>不纳入该变量（原文未报告）</t>
        </is>
      </c>
      <c r="L45" s="187" t="inlineStr">
        <is>
          <t>专用训练空间</t>
        </is>
      </c>
      <c r="M45" s="187" t="inlineStr">
        <is>
          <t>研究人员</t>
        </is>
      </c>
      <c r="N45" s="186" t="n"/>
      <c r="O45" s="186" t="inlineStr">
        <is>
          <t>6.83岁</t>
        </is>
      </c>
      <c r="P45" s="187" t="inlineStr">
        <is>
          <t>未报告（每周到诊所1次、每次2小时，干预只占其中一部分）</t>
        </is>
      </c>
      <c r="Q45" s="187" t="inlineStr">
        <is>
          <t>无</t>
        </is>
      </c>
      <c r="R45" s="187" t="inlineStr">
        <is>
          <t>成人</t>
        </is>
      </c>
      <c r="S45" s="187" t="inlineStr">
        <is>
          <t>电脑</t>
        </is>
      </c>
      <c r="T45" s="187" t="inlineStr">
        <is>
          <t>研究人员</t>
        </is>
      </c>
      <c r="U45" s="187" t="inlineStr">
        <is>
          <t>诊所或治疗项目</t>
        </is>
      </c>
      <c r="V45" s="187" t="inlineStr">
        <is>
          <t>只用视频</t>
        </is>
      </c>
      <c r="W45" s="186" t="inlineStr">
        <is>
          <t>Baseline vs Video Modeling</t>
        </is>
      </c>
    </row>
    <row r="46" ht="15" customHeight="1" s="176">
      <c r="A46" s="186" t="inlineStr">
        <is>
          <t>K098</t>
        </is>
      </c>
      <c r="B46" s="186" t="inlineStr">
        <is>
          <t>013-滚雪球</t>
        </is>
      </c>
      <c r="C46" s="186" t="inlineStr">
        <is>
          <t>Clay</t>
        </is>
      </c>
      <c r="D46" s="187" t="inlineStr">
        <is>
          <t>干预</t>
        </is>
      </c>
      <c r="E46" s="186" t="inlineStr">
        <is>
          <t>6岁以下</t>
        </is>
      </c>
      <c r="F46" s="187" t="inlineStr">
        <is>
          <t>男</t>
        </is>
      </c>
      <c r="G46" s="188" t="inlineStr">
        <is>
          <t>不纳入该变量（原文未报告）</t>
        </is>
      </c>
      <c r="H46" s="187" t="inlineStr">
        <is>
          <t>同伴儿童+动画角色</t>
        </is>
      </c>
      <c r="I46" s="187" t="inlineStr">
        <is>
          <t>嵌入综合干预方案</t>
        </is>
      </c>
      <c r="J46" s="187" t="inlineStr">
        <is>
          <t>电脑</t>
        </is>
      </c>
      <c r="K46" s="186" t="inlineStr">
        <is>
          <t>11～60分钟</t>
        </is>
      </c>
      <c r="L46" s="187" t="inlineStr">
        <is>
          <t>办公辅助空间</t>
        </is>
      </c>
      <c r="M46" s="187" t="inlineStr">
        <is>
          <t>学校人员</t>
        </is>
      </c>
      <c r="N46" s="186" t="n"/>
      <c r="O46" s="186" t="inlineStr">
        <is>
          <t>4.42岁</t>
        </is>
      </c>
      <c r="P46" s="187" t="inlineStr">
        <is>
          <t>每次1小时</t>
        </is>
      </c>
      <c r="Q46" s="187" t="inlineStr">
        <is>
          <t>讲解、演练、现场示范、反馈、强化、自我监控</t>
        </is>
      </c>
      <c r="R46" s="187" t="inlineStr">
        <is>
          <t>同伴儿童 + 动画角色</t>
        </is>
      </c>
      <c r="S46" s="187" t="inlineStr">
        <is>
          <t>电脑</t>
        </is>
      </c>
      <c r="T46" s="187" t="inlineStr">
        <is>
          <t>学校人员</t>
        </is>
      </c>
      <c r="U46" s="187" t="inlineStr">
        <is>
          <t>学校</t>
        </is>
      </c>
      <c r="V46" s="187" t="inlineStr">
        <is>
          <t>加3种及以上</t>
        </is>
      </c>
      <c r="W46" s="186" t="inlineStr">
        <is>
          <t>BL vs INT</t>
        </is>
      </c>
    </row>
    <row r="47" ht="15" customHeight="1" s="176">
      <c r="A47" s="186" t="inlineStr">
        <is>
          <t>K099</t>
        </is>
      </c>
      <c r="B47" s="186" t="inlineStr">
        <is>
          <t>013-滚雪球</t>
        </is>
      </c>
      <c r="C47" s="186" t="inlineStr">
        <is>
          <t>Clay</t>
        </is>
      </c>
      <c r="D47" s="187" t="inlineStr">
        <is>
          <t>维持</t>
        </is>
      </c>
      <c r="E47" s="186" t="inlineStr">
        <is>
          <t>6岁以下</t>
        </is>
      </c>
      <c r="F47" s="187" t="inlineStr">
        <is>
          <t>男</t>
        </is>
      </c>
      <c r="G47" s="188" t="inlineStr">
        <is>
          <t>不纳入该变量（原文未报告）</t>
        </is>
      </c>
      <c r="H47" s="187" t="inlineStr">
        <is>
          <t>同伴儿童+动画角色</t>
        </is>
      </c>
      <c r="I47" s="187" t="inlineStr">
        <is>
          <t>嵌入综合干预方案</t>
        </is>
      </c>
      <c r="J47" s="187" t="inlineStr">
        <is>
          <t>电脑</t>
        </is>
      </c>
      <c r="K47" s="186" t="inlineStr">
        <is>
          <t>11～60分钟</t>
        </is>
      </c>
      <c r="L47" s="187" t="inlineStr">
        <is>
          <t>办公辅助空间</t>
        </is>
      </c>
      <c r="M47" s="187" t="inlineStr">
        <is>
          <t>学校人员</t>
        </is>
      </c>
      <c r="N47" s="186" t="n"/>
      <c r="O47" s="186" t="inlineStr">
        <is>
          <t>4.42岁</t>
        </is>
      </c>
      <c r="P47" s="187" t="inlineStr">
        <is>
          <t>每次1小时</t>
        </is>
      </c>
      <c r="Q47" s="187" t="inlineStr">
        <is>
          <t>讲解、演练、现场示范、反馈、强化、自我监控</t>
        </is>
      </c>
      <c r="R47" s="187" t="inlineStr">
        <is>
          <t>同伴儿童 + 动画角色</t>
        </is>
      </c>
      <c r="S47" s="187" t="inlineStr">
        <is>
          <t>电脑</t>
        </is>
      </c>
      <c r="T47" s="187" t="inlineStr">
        <is>
          <t>学校人员</t>
        </is>
      </c>
      <c r="U47" s="187" t="inlineStr">
        <is>
          <t>学校</t>
        </is>
      </c>
      <c r="V47" s="187" t="inlineStr">
        <is>
          <t>加3种及以上</t>
        </is>
      </c>
      <c r="W47" s="186" t="inlineStr">
        <is>
          <t>BL vs MAIN＋6WK FU（合并）</t>
        </is>
      </c>
    </row>
    <row r="48" ht="15" customHeight="1" s="176">
      <c r="A48" s="186" t="inlineStr">
        <is>
          <t>K102</t>
        </is>
      </c>
      <c r="B48" s="186" t="inlineStr">
        <is>
          <t>013-滚雪球</t>
        </is>
      </c>
      <c r="C48" s="186" t="inlineStr">
        <is>
          <t>Clay</t>
        </is>
      </c>
      <c r="D48" s="187" t="inlineStr">
        <is>
          <t>干预</t>
        </is>
      </c>
      <c r="E48" s="186" t="inlineStr">
        <is>
          <t>6岁以下</t>
        </is>
      </c>
      <c r="F48" s="187" t="inlineStr">
        <is>
          <t>男</t>
        </is>
      </c>
      <c r="G48" s="188" t="inlineStr">
        <is>
          <t>不纳入该变量（原文未报告）</t>
        </is>
      </c>
      <c r="H48" s="187" t="inlineStr">
        <is>
          <t>同伴儿童+动画角色</t>
        </is>
      </c>
      <c r="I48" s="187" t="inlineStr">
        <is>
          <t>嵌入综合干预方案</t>
        </is>
      </c>
      <c r="J48" s="187" t="inlineStr">
        <is>
          <t>电脑</t>
        </is>
      </c>
      <c r="K48" s="186" t="inlineStr">
        <is>
          <t>11～60分钟</t>
        </is>
      </c>
      <c r="L48" s="187" t="inlineStr">
        <is>
          <t>办公辅助空间</t>
        </is>
      </c>
      <c r="M48" s="187" t="inlineStr">
        <is>
          <t>学校人员</t>
        </is>
      </c>
      <c r="N48" s="186" t="n"/>
      <c r="O48" s="186" t="inlineStr">
        <is>
          <t>4.42岁</t>
        </is>
      </c>
      <c r="P48" s="187" t="inlineStr">
        <is>
          <t>每次1小时</t>
        </is>
      </c>
      <c r="Q48" s="187" t="inlineStr">
        <is>
          <t>讲解、演练、现场示范、反馈、强化、自我监控</t>
        </is>
      </c>
      <c r="R48" s="187" t="inlineStr">
        <is>
          <t>同伴儿童 + 动画角色</t>
        </is>
      </c>
      <c r="S48" s="187" t="inlineStr">
        <is>
          <t>电脑</t>
        </is>
      </c>
      <c r="T48" s="187" t="inlineStr">
        <is>
          <t>学校人员</t>
        </is>
      </c>
      <c r="U48" s="187" t="inlineStr">
        <is>
          <t>学校</t>
        </is>
      </c>
      <c r="V48" s="187" t="inlineStr">
        <is>
          <t>加3种及以上</t>
        </is>
      </c>
      <c r="W48" s="186" t="inlineStr">
        <is>
          <t>BL vs INT</t>
        </is>
      </c>
    </row>
    <row r="49" ht="15" customHeight="1" s="176">
      <c r="A49" s="186" t="inlineStr">
        <is>
          <t>K103</t>
        </is>
      </c>
      <c r="B49" s="186" t="inlineStr">
        <is>
          <t>013-滚雪球</t>
        </is>
      </c>
      <c r="C49" s="186" t="inlineStr">
        <is>
          <t>Clay</t>
        </is>
      </c>
      <c r="D49" s="187" t="inlineStr">
        <is>
          <t>维持</t>
        </is>
      </c>
      <c r="E49" s="186" t="inlineStr">
        <is>
          <t>6岁以下</t>
        </is>
      </c>
      <c r="F49" s="187" t="inlineStr">
        <is>
          <t>男</t>
        </is>
      </c>
      <c r="G49" s="188" t="inlineStr">
        <is>
          <t>不纳入该变量（原文未报告）</t>
        </is>
      </c>
      <c r="H49" s="187" t="inlineStr">
        <is>
          <t>同伴儿童+动画角色</t>
        </is>
      </c>
      <c r="I49" s="187" t="inlineStr">
        <is>
          <t>嵌入综合干预方案</t>
        </is>
      </c>
      <c r="J49" s="187" t="inlineStr">
        <is>
          <t>电脑</t>
        </is>
      </c>
      <c r="K49" s="186" t="inlineStr">
        <is>
          <t>11～60分钟</t>
        </is>
      </c>
      <c r="L49" s="187" t="inlineStr">
        <is>
          <t>办公辅助空间</t>
        </is>
      </c>
      <c r="M49" s="187" t="inlineStr">
        <is>
          <t>学校人员</t>
        </is>
      </c>
      <c r="N49" s="186" t="n"/>
      <c r="O49" s="186" t="inlineStr">
        <is>
          <t>4.42岁</t>
        </is>
      </c>
      <c r="P49" s="187" t="inlineStr">
        <is>
          <t>每次1小时</t>
        </is>
      </c>
      <c r="Q49" s="187" t="inlineStr">
        <is>
          <t>讲解、演练、现场示范、反馈、强化、自我监控</t>
        </is>
      </c>
      <c r="R49" s="187" t="inlineStr">
        <is>
          <t>同伴儿童 + 动画角色</t>
        </is>
      </c>
      <c r="S49" s="187" t="inlineStr">
        <is>
          <t>电脑</t>
        </is>
      </c>
      <c r="T49" s="187" t="inlineStr">
        <is>
          <t>学校人员</t>
        </is>
      </c>
      <c r="U49" s="187" t="inlineStr">
        <is>
          <t>学校</t>
        </is>
      </c>
      <c r="V49" s="187" t="inlineStr">
        <is>
          <t>加3种及以上</t>
        </is>
      </c>
      <c r="W49" s="186" t="inlineStr">
        <is>
          <t>BL vs MAIN＋6WK FU（合并）</t>
        </is>
      </c>
    </row>
    <row r="50" ht="15" customHeight="1" s="176">
      <c r="A50" s="186" t="inlineStr">
        <is>
          <t>K104</t>
        </is>
      </c>
      <c r="B50" s="186" t="inlineStr">
        <is>
          <t>013-滚雪球</t>
        </is>
      </c>
      <c r="C50" s="186" t="inlineStr">
        <is>
          <t>Clay</t>
        </is>
      </c>
      <c r="D50" s="187" t="inlineStr">
        <is>
          <t>干预</t>
        </is>
      </c>
      <c r="E50" s="186" t="inlineStr">
        <is>
          <t>6岁以下</t>
        </is>
      </c>
      <c r="F50" s="187" t="inlineStr">
        <is>
          <t>男</t>
        </is>
      </c>
      <c r="G50" s="188" t="inlineStr">
        <is>
          <t>不纳入该变量（原文未报告）</t>
        </is>
      </c>
      <c r="H50" s="187" t="inlineStr">
        <is>
          <t>同伴儿童+动画角色</t>
        </is>
      </c>
      <c r="I50" s="187" t="inlineStr">
        <is>
          <t>嵌入综合干预方案</t>
        </is>
      </c>
      <c r="J50" s="187" t="inlineStr">
        <is>
          <t>电脑</t>
        </is>
      </c>
      <c r="K50" s="186" t="inlineStr">
        <is>
          <t>11～60分钟</t>
        </is>
      </c>
      <c r="L50" s="187" t="inlineStr">
        <is>
          <t>办公辅助空间</t>
        </is>
      </c>
      <c r="M50" s="187" t="inlineStr">
        <is>
          <t>学校人员</t>
        </is>
      </c>
      <c r="N50" s="186" t="n"/>
      <c r="O50" s="186" t="inlineStr">
        <is>
          <t>4.42岁</t>
        </is>
      </c>
      <c r="P50" s="187" t="inlineStr">
        <is>
          <t>每次1小时</t>
        </is>
      </c>
      <c r="Q50" s="187" t="inlineStr">
        <is>
          <t>讲解、演练、现场示范、反馈、强化、自我监控</t>
        </is>
      </c>
      <c r="R50" s="187" t="inlineStr">
        <is>
          <t>同伴儿童 + 动画角色</t>
        </is>
      </c>
      <c r="S50" s="187" t="inlineStr">
        <is>
          <t>电脑</t>
        </is>
      </c>
      <c r="T50" s="187" t="inlineStr">
        <is>
          <t>学校人员</t>
        </is>
      </c>
      <c r="U50" s="187" t="inlineStr">
        <is>
          <t>学校</t>
        </is>
      </c>
      <c r="V50" s="187" t="inlineStr">
        <is>
          <t>加3种及以上</t>
        </is>
      </c>
      <c r="W50" s="186" t="inlineStr">
        <is>
          <t>BL vs INT</t>
        </is>
      </c>
    </row>
    <row r="51" ht="15" customHeight="1" s="176">
      <c r="A51" s="186" t="inlineStr">
        <is>
          <t>K105</t>
        </is>
      </c>
      <c r="B51" s="186" t="inlineStr">
        <is>
          <t>013-滚雪球</t>
        </is>
      </c>
      <c r="C51" s="186" t="inlineStr">
        <is>
          <t>Clay</t>
        </is>
      </c>
      <c r="D51" s="187" t="inlineStr">
        <is>
          <t>维持</t>
        </is>
      </c>
      <c r="E51" s="186" t="inlineStr">
        <is>
          <t>6岁以下</t>
        </is>
      </c>
      <c r="F51" s="187" t="inlineStr">
        <is>
          <t>男</t>
        </is>
      </c>
      <c r="G51" s="188" t="inlineStr">
        <is>
          <t>不纳入该变量（原文未报告）</t>
        </is>
      </c>
      <c r="H51" s="187" t="inlineStr">
        <is>
          <t>同伴儿童+动画角色</t>
        </is>
      </c>
      <c r="I51" s="187" t="inlineStr">
        <is>
          <t>嵌入综合干预方案</t>
        </is>
      </c>
      <c r="J51" s="187" t="inlineStr">
        <is>
          <t>电脑</t>
        </is>
      </c>
      <c r="K51" s="186" t="inlineStr">
        <is>
          <t>11～60分钟</t>
        </is>
      </c>
      <c r="L51" s="187" t="inlineStr">
        <is>
          <t>办公辅助空间</t>
        </is>
      </c>
      <c r="M51" s="187" t="inlineStr">
        <is>
          <t>学校人员</t>
        </is>
      </c>
      <c r="N51" s="186" t="n"/>
      <c r="O51" s="186" t="inlineStr">
        <is>
          <t>4.42岁</t>
        </is>
      </c>
      <c r="P51" s="187" t="inlineStr">
        <is>
          <t>每次1小时</t>
        </is>
      </c>
      <c r="Q51" s="187" t="inlineStr">
        <is>
          <t>讲解、演练、现场示范、反馈、强化、自我监控</t>
        </is>
      </c>
      <c r="R51" s="187" t="inlineStr">
        <is>
          <t>同伴儿童 + 动画角色</t>
        </is>
      </c>
      <c r="S51" s="187" t="inlineStr">
        <is>
          <t>电脑</t>
        </is>
      </c>
      <c r="T51" s="187" t="inlineStr">
        <is>
          <t>学校人员</t>
        </is>
      </c>
      <c r="U51" s="187" t="inlineStr">
        <is>
          <t>学校</t>
        </is>
      </c>
      <c r="V51" s="187" t="inlineStr">
        <is>
          <t>加3种及以上</t>
        </is>
      </c>
      <c r="W51" s="186" t="inlineStr">
        <is>
          <t>BL vs 6WK FU</t>
        </is>
      </c>
    </row>
    <row r="52" ht="15" customHeight="1" s="176">
      <c r="A52" s="186" t="inlineStr">
        <is>
          <t>K106</t>
        </is>
      </c>
      <c r="B52" s="186" t="inlineStr">
        <is>
          <t>013-滚雪球</t>
        </is>
      </c>
      <c r="C52" s="186" t="inlineStr">
        <is>
          <t>Jack</t>
        </is>
      </c>
      <c r="D52" s="187" t="inlineStr">
        <is>
          <t>干预</t>
        </is>
      </c>
      <c r="E52" s="186" t="inlineStr">
        <is>
          <t>6岁以下</t>
        </is>
      </c>
      <c r="F52" s="187" t="inlineStr">
        <is>
          <t>男</t>
        </is>
      </c>
      <c r="G52" s="188" t="inlineStr">
        <is>
          <t>不纳入该变量（原文未报告）</t>
        </is>
      </c>
      <c r="H52" s="187" t="inlineStr">
        <is>
          <t>同伴儿童+动画角色</t>
        </is>
      </c>
      <c r="I52" s="187" t="inlineStr">
        <is>
          <t>嵌入综合干预方案</t>
        </is>
      </c>
      <c r="J52" s="187" t="inlineStr">
        <is>
          <t>电脑</t>
        </is>
      </c>
      <c r="K52" s="186" t="inlineStr">
        <is>
          <t>11～60分钟</t>
        </is>
      </c>
      <c r="L52" s="187" t="inlineStr">
        <is>
          <t>办公辅助空间</t>
        </is>
      </c>
      <c r="M52" s="187" t="inlineStr">
        <is>
          <t>学校人员</t>
        </is>
      </c>
      <c r="N52" s="186" t="n"/>
      <c r="O52" s="186" t="inlineStr">
        <is>
          <t>4.25岁</t>
        </is>
      </c>
      <c r="P52" s="187" t="inlineStr">
        <is>
          <t>每次1小时</t>
        </is>
      </c>
      <c r="Q52" s="187" t="inlineStr">
        <is>
          <t>讲解、演练、现场示范、反馈、强化、自我监控</t>
        </is>
      </c>
      <c r="R52" s="187" t="inlineStr">
        <is>
          <t>同伴儿童 + 动画角色</t>
        </is>
      </c>
      <c r="S52" s="187" t="inlineStr">
        <is>
          <t>电脑</t>
        </is>
      </c>
      <c r="T52" s="187" t="inlineStr">
        <is>
          <t>学校人员</t>
        </is>
      </c>
      <c r="U52" s="187" t="inlineStr">
        <is>
          <t>学校</t>
        </is>
      </c>
      <c r="V52" s="187" t="inlineStr">
        <is>
          <t>加3种及以上</t>
        </is>
      </c>
      <c r="W52" s="186" t="inlineStr">
        <is>
          <t>BL vs INT</t>
        </is>
      </c>
    </row>
    <row r="53" ht="15" customHeight="1" s="176">
      <c r="A53" s="186" t="inlineStr">
        <is>
          <t>K107</t>
        </is>
      </c>
      <c r="B53" s="186" t="inlineStr">
        <is>
          <t>013-滚雪球</t>
        </is>
      </c>
      <c r="C53" s="186" t="inlineStr">
        <is>
          <t>Jack</t>
        </is>
      </c>
      <c r="D53" s="187" t="inlineStr">
        <is>
          <t>维持</t>
        </is>
      </c>
      <c r="E53" s="186" t="inlineStr">
        <is>
          <t>6岁以下</t>
        </is>
      </c>
      <c r="F53" s="187" t="inlineStr">
        <is>
          <t>男</t>
        </is>
      </c>
      <c r="G53" s="188" t="inlineStr">
        <is>
          <t>不纳入该变量（原文未报告）</t>
        </is>
      </c>
      <c r="H53" s="187" t="inlineStr">
        <is>
          <t>同伴儿童+动画角色</t>
        </is>
      </c>
      <c r="I53" s="187" t="inlineStr">
        <is>
          <t>嵌入综合干预方案</t>
        </is>
      </c>
      <c r="J53" s="187" t="inlineStr">
        <is>
          <t>电脑</t>
        </is>
      </c>
      <c r="K53" s="186" t="inlineStr">
        <is>
          <t>11～60分钟</t>
        </is>
      </c>
      <c r="L53" s="187" t="inlineStr">
        <is>
          <t>办公辅助空间</t>
        </is>
      </c>
      <c r="M53" s="187" t="inlineStr">
        <is>
          <t>学校人员</t>
        </is>
      </c>
      <c r="N53" s="186" t="n"/>
      <c r="O53" s="186" t="inlineStr">
        <is>
          <t>4.25岁</t>
        </is>
      </c>
      <c r="P53" s="187" t="inlineStr">
        <is>
          <t>每次1小时</t>
        </is>
      </c>
      <c r="Q53" s="187" t="inlineStr">
        <is>
          <t>讲解、演练、现场示范、反馈、强化、自我监控</t>
        </is>
      </c>
      <c r="R53" s="187" t="inlineStr">
        <is>
          <t>同伴儿童 + 动画角色</t>
        </is>
      </c>
      <c r="S53" s="187" t="inlineStr">
        <is>
          <t>电脑</t>
        </is>
      </c>
      <c r="T53" s="187" t="inlineStr">
        <is>
          <t>学校人员</t>
        </is>
      </c>
      <c r="U53" s="187" t="inlineStr">
        <is>
          <t>学校</t>
        </is>
      </c>
      <c r="V53" s="187" t="inlineStr">
        <is>
          <t>加3种及以上</t>
        </is>
      </c>
      <c r="W53" s="186" t="inlineStr">
        <is>
          <t>BL vs MAIN＋6WK FU（合并）</t>
        </is>
      </c>
    </row>
    <row r="54" ht="15" customHeight="1" s="176">
      <c r="A54" s="186" t="inlineStr">
        <is>
          <t>K110</t>
        </is>
      </c>
      <c r="B54" s="186" t="inlineStr">
        <is>
          <t>013-滚雪球</t>
        </is>
      </c>
      <c r="C54" s="186" t="inlineStr">
        <is>
          <t>Jack</t>
        </is>
      </c>
      <c r="D54" s="187" t="inlineStr">
        <is>
          <t>干预</t>
        </is>
      </c>
      <c r="E54" s="186" t="inlineStr">
        <is>
          <t>6岁以下</t>
        </is>
      </c>
      <c r="F54" s="187" t="inlineStr">
        <is>
          <t>男</t>
        </is>
      </c>
      <c r="G54" s="188" t="inlineStr">
        <is>
          <t>不纳入该变量（原文未报告）</t>
        </is>
      </c>
      <c r="H54" s="187" t="inlineStr">
        <is>
          <t>同伴儿童+动画角色</t>
        </is>
      </c>
      <c r="I54" s="187" t="inlineStr">
        <is>
          <t>嵌入综合干预方案</t>
        </is>
      </c>
      <c r="J54" s="187" t="inlineStr">
        <is>
          <t>电脑</t>
        </is>
      </c>
      <c r="K54" s="186" t="inlineStr">
        <is>
          <t>11～60分钟</t>
        </is>
      </c>
      <c r="L54" s="187" t="inlineStr">
        <is>
          <t>办公辅助空间</t>
        </is>
      </c>
      <c r="M54" s="187" t="inlineStr">
        <is>
          <t>学校人员</t>
        </is>
      </c>
      <c r="N54" s="186" t="n"/>
      <c r="O54" s="186" t="inlineStr">
        <is>
          <t>4.25岁</t>
        </is>
      </c>
      <c r="P54" s="187" t="inlineStr">
        <is>
          <t>每次1小时</t>
        </is>
      </c>
      <c r="Q54" s="187" t="inlineStr">
        <is>
          <t>讲解、演练、现场示范、反馈、强化、自我监控</t>
        </is>
      </c>
      <c r="R54" s="187" t="inlineStr">
        <is>
          <t>同伴儿童 + 动画角色</t>
        </is>
      </c>
      <c r="S54" s="187" t="inlineStr">
        <is>
          <t>电脑</t>
        </is>
      </c>
      <c r="T54" s="187" t="inlineStr">
        <is>
          <t>学校人员</t>
        </is>
      </c>
      <c r="U54" s="187" t="inlineStr">
        <is>
          <t>学校</t>
        </is>
      </c>
      <c r="V54" s="187" t="inlineStr">
        <is>
          <t>加3种及以上</t>
        </is>
      </c>
      <c r="W54" s="186" t="inlineStr">
        <is>
          <t>BL vs INT</t>
        </is>
      </c>
    </row>
    <row r="55" ht="15" customHeight="1" s="176">
      <c r="A55" s="186" t="inlineStr">
        <is>
          <t>K111</t>
        </is>
      </c>
      <c r="B55" s="186" t="inlineStr">
        <is>
          <t>013-滚雪球</t>
        </is>
      </c>
      <c r="C55" s="186" t="inlineStr">
        <is>
          <t>Jack</t>
        </is>
      </c>
      <c r="D55" s="187" t="inlineStr">
        <is>
          <t>维持</t>
        </is>
      </c>
      <c r="E55" s="186" t="inlineStr">
        <is>
          <t>6岁以下</t>
        </is>
      </c>
      <c r="F55" s="187" t="inlineStr">
        <is>
          <t>男</t>
        </is>
      </c>
      <c r="G55" s="188" t="inlineStr">
        <is>
          <t>不纳入该变量（原文未报告）</t>
        </is>
      </c>
      <c r="H55" s="187" t="inlineStr">
        <is>
          <t>同伴儿童+动画角色</t>
        </is>
      </c>
      <c r="I55" s="187" t="inlineStr">
        <is>
          <t>嵌入综合干预方案</t>
        </is>
      </c>
      <c r="J55" s="187" t="inlineStr">
        <is>
          <t>电脑</t>
        </is>
      </c>
      <c r="K55" s="186" t="inlineStr">
        <is>
          <t>11～60分钟</t>
        </is>
      </c>
      <c r="L55" s="187" t="inlineStr">
        <is>
          <t>办公辅助空间</t>
        </is>
      </c>
      <c r="M55" s="187" t="inlineStr">
        <is>
          <t>学校人员</t>
        </is>
      </c>
      <c r="N55" s="186" t="n"/>
      <c r="O55" s="186" t="inlineStr">
        <is>
          <t>4.25岁</t>
        </is>
      </c>
      <c r="P55" s="187" t="inlineStr">
        <is>
          <t>每次1小时</t>
        </is>
      </c>
      <c r="Q55" s="187" t="inlineStr">
        <is>
          <t>讲解、演练、现场示范、反馈、强化、自我监控</t>
        </is>
      </c>
      <c r="R55" s="187" t="inlineStr">
        <is>
          <t>同伴儿童 + 动画角色</t>
        </is>
      </c>
      <c r="S55" s="187" t="inlineStr">
        <is>
          <t>电脑</t>
        </is>
      </c>
      <c r="T55" s="187" t="inlineStr">
        <is>
          <t>学校人员</t>
        </is>
      </c>
      <c r="U55" s="187" t="inlineStr">
        <is>
          <t>学校</t>
        </is>
      </c>
      <c r="V55" s="187" t="inlineStr">
        <is>
          <t>加3种及以上</t>
        </is>
      </c>
      <c r="W55" s="186" t="inlineStr">
        <is>
          <t>BL vs MAIN＋6WK FU（合并）</t>
        </is>
      </c>
    </row>
    <row r="56" ht="15" customHeight="1" s="176">
      <c r="A56" s="186" t="inlineStr">
        <is>
          <t>K112</t>
        </is>
      </c>
      <c r="B56" s="186" t="inlineStr">
        <is>
          <t>013-滚雪球</t>
        </is>
      </c>
      <c r="C56" s="186" t="inlineStr">
        <is>
          <t>Jack</t>
        </is>
      </c>
      <c r="D56" s="187" t="inlineStr">
        <is>
          <t>干预</t>
        </is>
      </c>
      <c r="E56" s="186" t="inlineStr">
        <is>
          <t>6岁以下</t>
        </is>
      </c>
      <c r="F56" s="187" t="inlineStr">
        <is>
          <t>男</t>
        </is>
      </c>
      <c r="G56" s="188" t="inlineStr">
        <is>
          <t>不纳入该变量（原文未报告）</t>
        </is>
      </c>
      <c r="H56" s="187" t="inlineStr">
        <is>
          <t>同伴儿童+动画角色</t>
        </is>
      </c>
      <c r="I56" s="187" t="inlineStr">
        <is>
          <t>嵌入综合干预方案</t>
        </is>
      </c>
      <c r="J56" s="187" t="inlineStr">
        <is>
          <t>电脑</t>
        </is>
      </c>
      <c r="K56" s="186" t="inlineStr">
        <is>
          <t>11～60分钟</t>
        </is>
      </c>
      <c r="L56" s="187" t="inlineStr">
        <is>
          <t>办公辅助空间</t>
        </is>
      </c>
      <c r="M56" s="187" t="inlineStr">
        <is>
          <t>学校人员</t>
        </is>
      </c>
      <c r="N56" s="186" t="n"/>
      <c r="O56" s="186" t="inlineStr">
        <is>
          <t>4.25岁</t>
        </is>
      </c>
      <c r="P56" s="187" t="inlineStr">
        <is>
          <t>每次1小时</t>
        </is>
      </c>
      <c r="Q56" s="187" t="inlineStr">
        <is>
          <t>讲解、演练、现场示范、反馈、强化、自我监控</t>
        </is>
      </c>
      <c r="R56" s="187" t="inlineStr">
        <is>
          <t>同伴儿童 + 动画角色</t>
        </is>
      </c>
      <c r="S56" s="187" t="inlineStr">
        <is>
          <t>电脑</t>
        </is>
      </c>
      <c r="T56" s="187" t="inlineStr">
        <is>
          <t>学校人员</t>
        </is>
      </c>
      <c r="U56" s="187" t="inlineStr">
        <is>
          <t>学校</t>
        </is>
      </c>
      <c r="V56" s="187" t="inlineStr">
        <is>
          <t>加3种及以上</t>
        </is>
      </c>
      <c r="W56" s="186" t="inlineStr">
        <is>
          <t>BL vs INT</t>
        </is>
      </c>
    </row>
    <row r="57" ht="15" customHeight="1" s="176">
      <c r="A57" s="186" t="inlineStr">
        <is>
          <t>K113</t>
        </is>
      </c>
      <c r="B57" s="186" t="inlineStr">
        <is>
          <t>013-滚雪球</t>
        </is>
      </c>
      <c r="C57" s="186" t="inlineStr">
        <is>
          <t>Jack</t>
        </is>
      </c>
      <c r="D57" s="187" t="inlineStr">
        <is>
          <t>维持</t>
        </is>
      </c>
      <c r="E57" s="186" t="inlineStr">
        <is>
          <t>6岁以下</t>
        </is>
      </c>
      <c r="F57" s="187" t="inlineStr">
        <is>
          <t>男</t>
        </is>
      </c>
      <c r="G57" s="188" t="inlineStr">
        <is>
          <t>不纳入该变量（原文未报告）</t>
        </is>
      </c>
      <c r="H57" s="187" t="inlineStr">
        <is>
          <t>同伴儿童+动画角色</t>
        </is>
      </c>
      <c r="I57" s="187" t="inlineStr">
        <is>
          <t>嵌入综合干预方案</t>
        </is>
      </c>
      <c r="J57" s="187" t="inlineStr">
        <is>
          <t>电脑</t>
        </is>
      </c>
      <c r="K57" s="186" t="inlineStr">
        <is>
          <t>11～60分钟</t>
        </is>
      </c>
      <c r="L57" s="187" t="inlineStr">
        <is>
          <t>办公辅助空间</t>
        </is>
      </c>
      <c r="M57" s="187" t="inlineStr">
        <is>
          <t>学校人员</t>
        </is>
      </c>
      <c r="N57" s="186" t="n"/>
      <c r="O57" s="186" t="inlineStr">
        <is>
          <t>4.25岁</t>
        </is>
      </c>
      <c r="P57" s="187" t="inlineStr">
        <is>
          <t>每次1小时</t>
        </is>
      </c>
      <c r="Q57" s="187" t="inlineStr">
        <is>
          <t>讲解、演练、现场示范、反馈、强化、自我监控</t>
        </is>
      </c>
      <c r="R57" s="187" t="inlineStr">
        <is>
          <t>同伴儿童 + 动画角色</t>
        </is>
      </c>
      <c r="S57" s="187" t="inlineStr">
        <is>
          <t>电脑</t>
        </is>
      </c>
      <c r="T57" s="187" t="inlineStr">
        <is>
          <t>学校人员</t>
        </is>
      </c>
      <c r="U57" s="187" t="inlineStr">
        <is>
          <t>学校</t>
        </is>
      </c>
      <c r="V57" s="187" t="inlineStr">
        <is>
          <t>加3种及以上</t>
        </is>
      </c>
      <c r="W57" s="186" t="inlineStr">
        <is>
          <t>BL vs 6WK FU</t>
        </is>
      </c>
    </row>
    <row r="58" ht="15" customHeight="1" s="176">
      <c r="A58" s="186" t="inlineStr">
        <is>
          <t>K125</t>
        </is>
      </c>
      <c r="B58" s="186" t="inlineStr">
        <is>
          <t>017-二次</t>
        </is>
      </c>
      <c r="C58" s="186" t="inlineStr">
        <is>
          <t>Vito</t>
        </is>
      </c>
      <c r="D58" s="187" t="inlineStr">
        <is>
          <t>干预</t>
        </is>
      </c>
      <c r="E58" s="186" t="inlineStr">
        <is>
          <t>6–8岁</t>
        </is>
      </c>
      <c r="F58" s="187" t="inlineStr">
        <is>
          <t>男</t>
        </is>
      </c>
      <c r="G58" s="188" t="inlineStr">
        <is>
          <t>不纳入该变量（原文未报告）</t>
        </is>
      </c>
      <c r="H58" s="187" t="inlineStr">
        <is>
          <t>同伴儿童（含兄弟姐妹）</t>
        </is>
      </c>
      <c r="I58" s="187" t="inlineStr">
        <is>
          <t>嵌入综合干预方案</t>
        </is>
      </c>
      <c r="J58" s="187" t="inlineStr">
        <is>
          <t>电脑</t>
        </is>
      </c>
      <c r="K58" s="186" t="inlineStr">
        <is>
          <t>10分钟及以下</t>
        </is>
      </c>
      <c r="L58" s="187" t="inlineStr">
        <is>
          <t>教室</t>
        </is>
      </c>
      <c r="M58" s="187" t="inlineStr">
        <is>
          <t>学校人员</t>
        </is>
      </c>
      <c r="N58" s="187" t="inlineStr">
        <is>
          <t>干预地点回原文补齐</t>
        </is>
      </c>
      <c r="O58" s="186" t="inlineStr">
        <is>
          <t>6.50岁</t>
        </is>
      </c>
      <c r="P58" s="187" t="inlineStr">
        <is>
          <t>约1分钟（干预只是看视频，按视频时长计）</t>
        </is>
      </c>
      <c r="Q58" s="187" t="inlineStr">
        <is>
          <t>社会故事</t>
        </is>
      </c>
      <c r="R58" s="187" t="inlineStr">
        <is>
          <t>同伴儿童</t>
        </is>
      </c>
      <c r="S58" s="187" t="inlineStr">
        <is>
          <t>电脑</t>
        </is>
      </c>
      <c r="T58" s="187" t="inlineStr">
        <is>
          <t>学校人员</t>
        </is>
      </c>
      <c r="U58" s="187" t="inlineStr">
        <is>
          <t>缺失</t>
        </is>
      </c>
      <c r="V58" s="187" t="inlineStr">
        <is>
          <t>加1–2种</t>
        </is>
      </c>
      <c r="W58" s="186" t="inlineStr">
        <is>
          <t>Baseline vs Intervention（Intervention + Prompts 段不用）</t>
        </is>
      </c>
    </row>
    <row r="59" ht="15" customHeight="1" s="176">
      <c r="A59" s="186" t="inlineStr">
        <is>
          <t>K126</t>
        </is>
      </c>
      <c r="B59" s="186" t="inlineStr">
        <is>
          <t>017-二次</t>
        </is>
      </c>
      <c r="C59" s="186" t="inlineStr">
        <is>
          <t>Vito</t>
        </is>
      </c>
      <c r="D59" s="187" t="inlineStr">
        <is>
          <t>维持</t>
        </is>
      </c>
      <c r="E59" s="186" t="inlineStr">
        <is>
          <t>6–8岁</t>
        </is>
      </c>
      <c r="F59" s="187" t="inlineStr">
        <is>
          <t>男</t>
        </is>
      </c>
      <c r="G59" s="188" t="inlineStr">
        <is>
          <t>不纳入该变量（原文未报告）</t>
        </is>
      </c>
      <c r="H59" s="187" t="inlineStr">
        <is>
          <t>同伴儿童（含兄弟姐妹）</t>
        </is>
      </c>
      <c r="I59" s="187" t="inlineStr">
        <is>
          <t>嵌入综合干预方案</t>
        </is>
      </c>
      <c r="J59" s="187" t="inlineStr">
        <is>
          <t>电脑</t>
        </is>
      </c>
      <c r="K59" s="186" t="inlineStr">
        <is>
          <t>10分钟及以下</t>
        </is>
      </c>
      <c r="L59" s="187" t="inlineStr">
        <is>
          <t>教室</t>
        </is>
      </c>
      <c r="M59" s="187" t="inlineStr">
        <is>
          <t>学校人员</t>
        </is>
      </c>
      <c r="N59" s="187" t="inlineStr">
        <is>
          <t>干预地点回原文补齐</t>
        </is>
      </c>
      <c r="O59" s="186" t="inlineStr">
        <is>
          <t>6.50岁</t>
        </is>
      </c>
      <c r="P59" s="187" t="inlineStr">
        <is>
          <t>约1分钟（干预只是看视频，按视频时长计）</t>
        </is>
      </c>
      <c r="Q59" s="187" t="inlineStr">
        <is>
          <t>社会故事、提示</t>
        </is>
      </c>
      <c r="R59" s="187" t="inlineStr">
        <is>
          <t>同伴儿童</t>
        </is>
      </c>
      <c r="S59" s="187" t="inlineStr">
        <is>
          <t>电脑</t>
        </is>
      </c>
      <c r="T59" s="187" t="inlineStr">
        <is>
          <t>学校人员</t>
        </is>
      </c>
      <c r="U59" s="187" t="inlineStr">
        <is>
          <t>缺失</t>
        </is>
      </c>
      <c r="V59" s="187" t="inlineStr">
        <is>
          <t>加1–2种</t>
        </is>
      </c>
      <c r="W59" s="186" t="inlineStr">
        <is>
          <t>Baseline vs Follow-Up</t>
        </is>
      </c>
    </row>
    <row r="60" ht="15" customHeight="1" s="176">
      <c r="A60" s="186" t="inlineStr">
        <is>
          <t>K127</t>
        </is>
      </c>
      <c r="B60" s="186" t="inlineStr">
        <is>
          <t>017-二次</t>
        </is>
      </c>
      <c r="C60" s="186" t="inlineStr">
        <is>
          <t>Vito</t>
        </is>
      </c>
      <c r="D60" s="187" t="inlineStr">
        <is>
          <t>泛化</t>
        </is>
      </c>
      <c r="E60" s="186" t="inlineStr">
        <is>
          <t>6–8岁</t>
        </is>
      </c>
      <c r="F60" s="187" t="inlineStr">
        <is>
          <t>男</t>
        </is>
      </c>
      <c r="G60" s="188" t="inlineStr">
        <is>
          <t>不纳入该变量（原文未报告）</t>
        </is>
      </c>
      <c r="H60" s="187" t="inlineStr">
        <is>
          <t>同伴儿童（含兄弟姐妹）</t>
        </is>
      </c>
      <c r="I60" s="187" t="inlineStr">
        <is>
          <t>嵌入综合干预方案</t>
        </is>
      </c>
      <c r="J60" s="187" t="inlineStr">
        <is>
          <t>电脑</t>
        </is>
      </c>
      <c r="K60" s="186" t="inlineStr">
        <is>
          <t>10分钟及以下</t>
        </is>
      </c>
      <c r="L60" s="187" t="inlineStr">
        <is>
          <t>教室</t>
        </is>
      </c>
      <c r="M60" s="187" t="inlineStr">
        <is>
          <t>学校人员</t>
        </is>
      </c>
      <c r="N60" s="187" t="inlineStr">
        <is>
          <t>干预地点回原文补齐</t>
        </is>
      </c>
      <c r="O60" s="186" t="inlineStr">
        <is>
          <t>6.50岁</t>
        </is>
      </c>
      <c r="P60" s="187" t="inlineStr">
        <is>
          <t>约1分钟（干预只是看视频，按视频时长计）</t>
        </is>
      </c>
      <c r="Q60" s="187" t="inlineStr">
        <is>
          <t>社会故事</t>
        </is>
      </c>
      <c r="R60" s="187" t="inlineStr">
        <is>
          <t>同伴儿童</t>
        </is>
      </c>
      <c r="S60" s="187" t="inlineStr">
        <is>
          <t>电脑</t>
        </is>
      </c>
      <c r="T60" s="187" t="inlineStr">
        <is>
          <t>学校人员</t>
        </is>
      </c>
      <c r="U60" s="187" t="inlineStr">
        <is>
          <t>缺失</t>
        </is>
      </c>
      <c r="V60" s="187" t="inlineStr">
        <is>
          <t>加1–2种</t>
        </is>
      </c>
      <c r="W60" s="187" t="inlineStr">
        <is>
          <t>泛化 Baseline vs Intervention 段泛化探测（空心圆）</t>
        </is>
      </c>
    </row>
    <row r="61" ht="15" customHeight="1" s="176">
      <c r="A61" s="186" t="inlineStr">
        <is>
          <t>K128</t>
        </is>
      </c>
      <c r="B61" s="186" t="inlineStr">
        <is>
          <t>017-二次</t>
        </is>
      </c>
      <c r="C61" s="186" t="inlineStr">
        <is>
          <t>Michael</t>
        </is>
      </c>
      <c r="D61" s="187" t="inlineStr">
        <is>
          <t>干预</t>
        </is>
      </c>
      <c r="E61" s="186" t="inlineStr">
        <is>
          <t>9–12岁</t>
        </is>
      </c>
      <c r="F61" s="187" t="inlineStr">
        <is>
          <t>男</t>
        </is>
      </c>
      <c r="G61" s="188" t="inlineStr">
        <is>
          <t>不纳入该变量（原文未报告）</t>
        </is>
      </c>
      <c r="H61" s="187" t="inlineStr">
        <is>
          <t>同伴儿童（含兄弟姐妹）</t>
        </is>
      </c>
      <c r="I61" s="187" t="inlineStr">
        <is>
          <t>嵌入综合干预方案</t>
        </is>
      </c>
      <c r="J61" s="187" t="inlineStr">
        <is>
          <t>电脑</t>
        </is>
      </c>
      <c r="K61" s="186" t="inlineStr">
        <is>
          <t>10分钟及以下</t>
        </is>
      </c>
      <c r="L61" s="187" t="inlineStr">
        <is>
          <t>教室</t>
        </is>
      </c>
      <c r="M61" s="187" t="inlineStr">
        <is>
          <t>学校人员</t>
        </is>
      </c>
      <c r="N61" s="187" t="inlineStr">
        <is>
          <t>干预地点回原文补齐</t>
        </is>
      </c>
      <c r="O61" s="186" t="inlineStr">
        <is>
          <t>9.25岁</t>
        </is>
      </c>
      <c r="P61" s="187" t="inlineStr">
        <is>
          <t>约1分钟（干预只是看视频，按视频时长计）</t>
        </is>
      </c>
      <c r="Q61" s="187" t="inlineStr">
        <is>
          <t>社会故事</t>
        </is>
      </c>
      <c r="R61" s="187" t="inlineStr">
        <is>
          <t>同伴儿童</t>
        </is>
      </c>
      <c r="S61" s="187" t="inlineStr">
        <is>
          <t>电脑</t>
        </is>
      </c>
      <c r="T61" s="187" t="inlineStr">
        <is>
          <t>学校人员</t>
        </is>
      </c>
      <c r="U61" s="187" t="inlineStr">
        <is>
          <t>缺失</t>
        </is>
      </c>
      <c r="V61" s="187" t="inlineStr">
        <is>
          <t>加1–2种</t>
        </is>
      </c>
      <c r="W61" s="186" t="inlineStr">
        <is>
          <t>Baseline vs Intervention（Intervention + Prompts 段不用）</t>
        </is>
      </c>
    </row>
    <row r="62" ht="15" customHeight="1" s="176">
      <c r="A62" s="186" t="inlineStr">
        <is>
          <t>K129</t>
        </is>
      </c>
      <c r="B62" s="186" t="inlineStr">
        <is>
          <t>017-二次</t>
        </is>
      </c>
      <c r="C62" s="186" t="inlineStr">
        <is>
          <t>Michael</t>
        </is>
      </c>
      <c r="D62" s="187" t="inlineStr">
        <is>
          <t>维持</t>
        </is>
      </c>
      <c r="E62" s="186" t="inlineStr">
        <is>
          <t>9–12岁</t>
        </is>
      </c>
      <c r="F62" s="187" t="inlineStr">
        <is>
          <t>男</t>
        </is>
      </c>
      <c r="G62" s="188" t="inlineStr">
        <is>
          <t>不纳入该变量（原文未报告）</t>
        </is>
      </c>
      <c r="H62" s="187" t="inlineStr">
        <is>
          <t>同伴儿童（含兄弟姐妹）</t>
        </is>
      </c>
      <c r="I62" s="187" t="inlineStr">
        <is>
          <t>嵌入综合干预方案</t>
        </is>
      </c>
      <c r="J62" s="187" t="inlineStr">
        <is>
          <t>电脑</t>
        </is>
      </c>
      <c r="K62" s="186" t="inlineStr">
        <is>
          <t>10分钟及以下</t>
        </is>
      </c>
      <c r="L62" s="187" t="inlineStr">
        <is>
          <t>教室</t>
        </is>
      </c>
      <c r="M62" s="187" t="inlineStr">
        <is>
          <t>学校人员</t>
        </is>
      </c>
      <c r="N62" s="187" t="inlineStr">
        <is>
          <t>干预地点回原文补齐</t>
        </is>
      </c>
      <c r="O62" s="186" t="inlineStr">
        <is>
          <t>9.25岁</t>
        </is>
      </c>
      <c r="P62" s="187" t="inlineStr">
        <is>
          <t>约1分钟（干预只是看视频，按视频时长计）</t>
        </is>
      </c>
      <c r="Q62" s="187" t="inlineStr">
        <is>
          <t>社会故事、提示</t>
        </is>
      </c>
      <c r="R62" s="187" t="inlineStr">
        <is>
          <t>同伴儿童</t>
        </is>
      </c>
      <c r="S62" s="187" t="inlineStr">
        <is>
          <t>电脑</t>
        </is>
      </c>
      <c r="T62" s="187" t="inlineStr">
        <is>
          <t>学校人员</t>
        </is>
      </c>
      <c r="U62" s="187" t="inlineStr">
        <is>
          <t>缺失</t>
        </is>
      </c>
      <c r="V62" s="187" t="inlineStr">
        <is>
          <t>加1–2种</t>
        </is>
      </c>
      <c r="W62" s="186" t="inlineStr">
        <is>
          <t>Baseline vs Follow-Up</t>
        </is>
      </c>
    </row>
    <row r="63" ht="15" customHeight="1" s="176">
      <c r="A63" s="186" t="inlineStr">
        <is>
          <t>K130</t>
        </is>
      </c>
      <c r="B63" s="186" t="inlineStr">
        <is>
          <t>017-二次</t>
        </is>
      </c>
      <c r="C63" s="186" t="inlineStr">
        <is>
          <t>Michael</t>
        </is>
      </c>
      <c r="D63" s="187" t="inlineStr">
        <is>
          <t>泛化</t>
        </is>
      </c>
      <c r="E63" s="186" t="inlineStr">
        <is>
          <t>9–12岁</t>
        </is>
      </c>
      <c r="F63" s="187" t="inlineStr">
        <is>
          <t>男</t>
        </is>
      </c>
      <c r="G63" s="188" t="inlineStr">
        <is>
          <t>不纳入该变量（原文未报告）</t>
        </is>
      </c>
      <c r="H63" s="187" t="inlineStr">
        <is>
          <t>同伴儿童（含兄弟姐妹）</t>
        </is>
      </c>
      <c r="I63" s="187" t="inlineStr">
        <is>
          <t>嵌入综合干预方案</t>
        </is>
      </c>
      <c r="J63" s="187" t="inlineStr">
        <is>
          <t>电脑</t>
        </is>
      </c>
      <c r="K63" s="186" t="inlineStr">
        <is>
          <t>10分钟及以下</t>
        </is>
      </c>
      <c r="L63" s="187" t="inlineStr">
        <is>
          <t>教室</t>
        </is>
      </c>
      <c r="M63" s="187" t="inlineStr">
        <is>
          <t>学校人员</t>
        </is>
      </c>
      <c r="N63" s="187" t="inlineStr">
        <is>
          <t>干预地点回原文补齐</t>
        </is>
      </c>
      <c r="O63" s="186" t="inlineStr">
        <is>
          <t>9.25岁</t>
        </is>
      </c>
      <c r="P63" s="187" t="inlineStr">
        <is>
          <t>约1分钟（干预只是看视频，按视频时长计）</t>
        </is>
      </c>
      <c r="Q63" s="187" t="inlineStr">
        <is>
          <t>社会故事</t>
        </is>
      </c>
      <c r="R63" s="187" t="inlineStr">
        <is>
          <t>同伴儿童</t>
        </is>
      </c>
      <c r="S63" s="187" t="inlineStr">
        <is>
          <t>电脑</t>
        </is>
      </c>
      <c r="T63" s="187" t="inlineStr">
        <is>
          <t>学校人员</t>
        </is>
      </c>
      <c r="U63" s="187" t="inlineStr">
        <is>
          <t>缺失</t>
        </is>
      </c>
      <c r="V63" s="187" t="inlineStr">
        <is>
          <t>加1–2种</t>
        </is>
      </c>
      <c r="W63" s="187" t="inlineStr">
        <is>
          <t>泛化 Baseline vs Intervention 段泛化探测（空心圆）</t>
        </is>
      </c>
    </row>
    <row r="64" ht="15" customHeight="1" s="176">
      <c r="A64" s="186" t="inlineStr">
        <is>
          <t>K131</t>
        </is>
      </c>
      <c r="B64" s="186" t="inlineStr">
        <is>
          <t>017-二次</t>
        </is>
      </c>
      <c r="C64" s="186" t="inlineStr">
        <is>
          <t>Santino</t>
        </is>
      </c>
      <c r="D64" s="187" t="inlineStr">
        <is>
          <t>干预</t>
        </is>
      </c>
      <c r="E64" s="186" t="inlineStr">
        <is>
          <t>6–8岁</t>
        </is>
      </c>
      <c r="F64" s="187" t="inlineStr">
        <is>
          <t>男</t>
        </is>
      </c>
      <c r="G64" s="188" t="inlineStr">
        <is>
          <t>不纳入该变量（原文未报告）</t>
        </is>
      </c>
      <c r="H64" s="187" t="inlineStr">
        <is>
          <t>同伴儿童（含兄弟姐妹）</t>
        </is>
      </c>
      <c r="I64" s="187" t="inlineStr">
        <is>
          <t>嵌入综合干预方案</t>
        </is>
      </c>
      <c r="J64" s="187" t="inlineStr">
        <is>
          <t>电脑</t>
        </is>
      </c>
      <c r="K64" s="186" t="inlineStr">
        <is>
          <t>10分钟及以下</t>
        </is>
      </c>
      <c r="L64" s="187" t="inlineStr">
        <is>
          <t>教室</t>
        </is>
      </c>
      <c r="M64" s="187" t="inlineStr">
        <is>
          <t>学校人员</t>
        </is>
      </c>
      <c r="N64" s="187" t="inlineStr">
        <is>
          <t>干预地点回原文补齐</t>
        </is>
      </c>
      <c r="O64" s="186" t="inlineStr">
        <is>
          <t>8.83岁</t>
        </is>
      </c>
      <c r="P64" s="187" t="inlineStr">
        <is>
          <t>约1分钟（干预只是看视频，按视频时长计）</t>
        </is>
      </c>
      <c r="Q64" s="187" t="inlineStr">
        <is>
          <t>社会故事</t>
        </is>
      </c>
      <c r="R64" s="187" t="inlineStr">
        <is>
          <t>同伴儿童</t>
        </is>
      </c>
      <c r="S64" s="187" t="inlineStr">
        <is>
          <t>电脑</t>
        </is>
      </c>
      <c r="T64" s="187" t="inlineStr">
        <is>
          <t>学校人员</t>
        </is>
      </c>
      <c r="U64" s="187" t="inlineStr">
        <is>
          <t>缺失</t>
        </is>
      </c>
      <c r="V64" s="187" t="inlineStr">
        <is>
          <t>加1–2种</t>
        </is>
      </c>
      <c r="W64" s="186" t="inlineStr">
        <is>
          <t>Baseline vs Intervention</t>
        </is>
      </c>
    </row>
    <row r="65" ht="15" customHeight="1" s="176">
      <c r="A65" s="186" t="inlineStr">
        <is>
          <t>K132</t>
        </is>
      </c>
      <c r="B65" s="186" t="inlineStr">
        <is>
          <t>017-二次</t>
        </is>
      </c>
      <c r="C65" s="186" t="inlineStr">
        <is>
          <t>Santino</t>
        </is>
      </c>
      <c r="D65" s="187" t="inlineStr">
        <is>
          <t>维持</t>
        </is>
      </c>
      <c r="E65" s="186" t="inlineStr">
        <is>
          <t>6–8岁</t>
        </is>
      </c>
      <c r="F65" s="187" t="inlineStr">
        <is>
          <t>男</t>
        </is>
      </c>
      <c r="G65" s="188" t="inlineStr">
        <is>
          <t>不纳入该变量（原文未报告）</t>
        </is>
      </c>
      <c r="H65" s="187" t="inlineStr">
        <is>
          <t>同伴儿童（含兄弟姐妹）</t>
        </is>
      </c>
      <c r="I65" s="187" t="inlineStr">
        <is>
          <t>嵌入综合干预方案</t>
        </is>
      </c>
      <c r="J65" s="187" t="inlineStr">
        <is>
          <t>电脑</t>
        </is>
      </c>
      <c r="K65" s="186" t="inlineStr">
        <is>
          <t>10分钟及以下</t>
        </is>
      </c>
      <c r="L65" s="187" t="inlineStr">
        <is>
          <t>教室</t>
        </is>
      </c>
      <c r="M65" s="187" t="inlineStr">
        <is>
          <t>学校人员</t>
        </is>
      </c>
      <c r="N65" s="187" t="inlineStr">
        <is>
          <t>干预地点回原文补齐</t>
        </is>
      </c>
      <c r="O65" s="186" t="inlineStr">
        <is>
          <t>8.83岁</t>
        </is>
      </c>
      <c r="P65" s="187" t="inlineStr">
        <is>
          <t>约1分钟（干预只是看视频，按视频时长计）</t>
        </is>
      </c>
      <c r="Q65" s="187" t="inlineStr">
        <is>
          <t>社会故事、提示</t>
        </is>
      </c>
      <c r="R65" s="187" t="inlineStr">
        <is>
          <t>同伴儿童</t>
        </is>
      </c>
      <c r="S65" s="187" t="inlineStr">
        <is>
          <t>电脑</t>
        </is>
      </c>
      <c r="T65" s="187" t="inlineStr">
        <is>
          <t>学校人员</t>
        </is>
      </c>
      <c r="U65" s="187" t="inlineStr">
        <is>
          <t>缺失</t>
        </is>
      </c>
      <c r="V65" s="187" t="inlineStr">
        <is>
          <t>加1–2种</t>
        </is>
      </c>
      <c r="W65" s="186" t="inlineStr">
        <is>
          <t>Baseline vs Follow-Up</t>
        </is>
      </c>
    </row>
    <row r="66" ht="15" customHeight="1" s="176">
      <c r="A66" s="186" t="inlineStr">
        <is>
          <t>K133</t>
        </is>
      </c>
      <c r="B66" s="186" t="inlineStr">
        <is>
          <t>017-二次</t>
        </is>
      </c>
      <c r="C66" s="186" t="inlineStr">
        <is>
          <t>Santino</t>
        </is>
      </c>
      <c r="D66" s="187" t="inlineStr">
        <is>
          <t>泛化</t>
        </is>
      </c>
      <c r="E66" s="186" t="inlineStr">
        <is>
          <t>6–8岁</t>
        </is>
      </c>
      <c r="F66" s="187" t="inlineStr">
        <is>
          <t>男</t>
        </is>
      </c>
      <c r="G66" s="188" t="inlineStr">
        <is>
          <t>不纳入该变量（原文未报告）</t>
        </is>
      </c>
      <c r="H66" s="187" t="inlineStr">
        <is>
          <t>同伴儿童（含兄弟姐妹）</t>
        </is>
      </c>
      <c r="I66" s="187" t="inlineStr">
        <is>
          <t>嵌入综合干预方案</t>
        </is>
      </c>
      <c r="J66" s="187" t="inlineStr">
        <is>
          <t>电脑</t>
        </is>
      </c>
      <c r="K66" s="186" t="inlineStr">
        <is>
          <t>10分钟及以下</t>
        </is>
      </c>
      <c r="L66" s="187" t="inlineStr">
        <is>
          <t>教室</t>
        </is>
      </c>
      <c r="M66" s="187" t="inlineStr">
        <is>
          <t>学校人员</t>
        </is>
      </c>
      <c r="N66" s="187" t="inlineStr">
        <is>
          <t>干预地点回原文补齐</t>
        </is>
      </c>
      <c r="O66" s="186" t="inlineStr">
        <is>
          <t>8.83岁</t>
        </is>
      </c>
      <c r="P66" s="187" t="inlineStr">
        <is>
          <t>约1分钟（干预只是看视频，按视频时长计）</t>
        </is>
      </c>
      <c r="Q66" s="187" t="inlineStr">
        <is>
          <t>社会故事</t>
        </is>
      </c>
      <c r="R66" s="187" t="inlineStr">
        <is>
          <t>同伴儿童</t>
        </is>
      </c>
      <c r="S66" s="187" t="inlineStr">
        <is>
          <t>电脑</t>
        </is>
      </c>
      <c r="T66" s="187" t="inlineStr">
        <is>
          <t>学校人员</t>
        </is>
      </c>
      <c r="U66" s="187" t="inlineStr">
        <is>
          <t>缺失</t>
        </is>
      </c>
      <c r="V66" s="187" t="inlineStr">
        <is>
          <t>加1–2种</t>
        </is>
      </c>
      <c r="W66" s="187" t="inlineStr">
        <is>
          <t>泛化 Baseline vs Intervention 段泛化探测（空心圆）</t>
        </is>
      </c>
    </row>
    <row r="67" ht="120" customHeight="1" s="176">
      <c r="A67" s="186" t="inlineStr">
        <is>
          <t>K134</t>
        </is>
      </c>
      <c r="B67" s="186" t="inlineStr">
        <is>
          <t>018-二次</t>
        </is>
      </c>
      <c r="C67" s="186" t="inlineStr">
        <is>
          <t>Luke</t>
        </is>
      </c>
      <c r="D67" s="187" t="inlineStr">
        <is>
          <t>干预</t>
        </is>
      </c>
      <c r="E67" s="186" t="inlineStr">
        <is>
          <t>6岁以下</t>
        </is>
      </c>
      <c r="F67" s="187" t="inlineStr">
        <is>
          <t>男</t>
        </is>
      </c>
      <c r="G67" s="187" t="inlineStr">
        <is>
          <t>重度</t>
        </is>
      </c>
      <c r="H67" s="187" t="inlineStr">
        <is>
          <t>儿童本人</t>
        </is>
      </c>
      <c r="I67" s="187" t="inlineStr">
        <is>
          <t>单独实施</t>
        </is>
      </c>
      <c r="J67" s="188" t="inlineStr">
        <is>
          <t>电视</t>
        </is>
      </c>
      <c r="K67" s="188" t="inlineStr">
        <is>
          <t>不纳入该变量（原文未报告）</t>
        </is>
      </c>
      <c r="L67" s="187" t="inlineStr">
        <is>
          <t>家庭社区</t>
        </is>
      </c>
      <c r="M67" s="187" t="inlineStr">
        <is>
          <t>家长</t>
        </is>
      </c>
      <c r="N67" s="186" t="inlineStr">
        <is>
          <t>2026-10-18恢复。视频在家中每晚睡前播放3遍（原文PDF7、9）；电视按用户此前认可的发表年份规则推定，原文未明确播放设备，不作原文明示。</t>
        </is>
      </c>
      <c r="O67" s="186" t="inlineStr">
        <is>
          <t>5.83岁</t>
        </is>
      </c>
      <c r="P67" s="187" t="inlineStr">
        <is>
          <t>未报告（每晚睡前看3遍，录像时长未报告）</t>
        </is>
      </c>
      <c r="Q67" s="187" t="inlineStr">
        <is>
          <t>无</t>
        </is>
      </c>
      <c r="R67" s="187" t="inlineStr">
        <is>
          <t>儿童本人</t>
        </is>
      </c>
      <c r="S67" s="187" t="inlineStr">
        <is>
          <t>缺失</t>
        </is>
      </c>
      <c r="T67" s="187" t="inlineStr">
        <is>
          <t>家长</t>
        </is>
      </c>
      <c r="U67" s="187" t="inlineStr">
        <is>
          <t>家庭</t>
        </is>
      </c>
      <c r="V67" s="187" t="inlineStr">
        <is>
          <t>只用视频</t>
        </is>
      </c>
      <c r="W67" s="186" t="inlineStr">
        <is>
          <t>Baseline vs Video Treatment</t>
        </is>
      </c>
    </row>
    <row r="68" ht="120" customHeight="1" s="176">
      <c r="A68" s="186" t="inlineStr">
        <is>
          <t>K135</t>
        </is>
      </c>
      <c r="B68" s="186" t="inlineStr">
        <is>
          <t>018-二次</t>
        </is>
      </c>
      <c r="C68" s="186" t="inlineStr">
        <is>
          <t>Luke</t>
        </is>
      </c>
      <c r="D68" s="187" t="inlineStr">
        <is>
          <t>干预</t>
        </is>
      </c>
      <c r="E68" s="186" t="inlineStr">
        <is>
          <t>6岁以下</t>
        </is>
      </c>
      <c r="F68" s="187" t="inlineStr">
        <is>
          <t>男</t>
        </is>
      </c>
      <c r="G68" s="187" t="inlineStr">
        <is>
          <t>重度</t>
        </is>
      </c>
      <c r="H68" s="187" t="inlineStr">
        <is>
          <t>同伴儿童（含兄弟姐妹）</t>
        </is>
      </c>
      <c r="I68" s="187" t="inlineStr">
        <is>
          <t>单独实施</t>
        </is>
      </c>
      <c r="J68" s="188" t="inlineStr">
        <is>
          <t>电视</t>
        </is>
      </c>
      <c r="K68" s="188" t="inlineStr">
        <is>
          <t>不纳入该变量（原文未报告）</t>
        </is>
      </c>
      <c r="L68" s="187" t="inlineStr">
        <is>
          <t>家庭社区</t>
        </is>
      </c>
      <c r="M68" s="187" t="inlineStr">
        <is>
          <t>家长</t>
        </is>
      </c>
      <c r="N68" s="186" t="inlineStr">
        <is>
          <t>2026-10-18恢复。视频在家中每晚睡前播放3遍（原文PDF7、9）；电视按用户此前认可的发表年份规则推定，原文未明确播放设备，不作原文明示。</t>
        </is>
      </c>
      <c r="O68" s="186" t="inlineStr">
        <is>
          <t>5.83岁</t>
        </is>
      </c>
      <c r="P68" s="187" t="inlineStr">
        <is>
          <t>未报告（每晚睡前看3遍，录像时长未报告）</t>
        </is>
      </c>
      <c r="Q68" s="187" t="inlineStr">
        <is>
          <t>无</t>
        </is>
      </c>
      <c r="R68" s="187" t="inlineStr">
        <is>
          <t>同伴儿童</t>
        </is>
      </c>
      <c r="S68" s="187" t="inlineStr">
        <is>
          <t>缺失</t>
        </is>
      </c>
      <c r="T68" s="187" t="inlineStr">
        <is>
          <t>家长</t>
        </is>
      </c>
      <c r="U68" s="187" t="inlineStr">
        <is>
          <t>家庭</t>
        </is>
      </c>
      <c r="V68" s="187" t="inlineStr">
        <is>
          <t>只用视频</t>
        </is>
      </c>
      <c r="W68" s="186" t="inlineStr">
        <is>
          <t>Baseline vs Video Treatment</t>
        </is>
      </c>
    </row>
    <row r="69" ht="120" customHeight="1" s="176">
      <c r="A69" s="186" t="inlineStr">
        <is>
          <t>K136</t>
        </is>
      </c>
      <c r="B69" s="186" t="inlineStr">
        <is>
          <t>018-二次</t>
        </is>
      </c>
      <c r="C69" s="186" t="inlineStr">
        <is>
          <t>Sam</t>
        </is>
      </c>
      <c r="D69" s="187" t="inlineStr">
        <is>
          <t>干预</t>
        </is>
      </c>
      <c r="E69" s="186" t="inlineStr">
        <is>
          <t>6–8岁</t>
        </is>
      </c>
      <c r="F69" s="187" t="inlineStr">
        <is>
          <t>男</t>
        </is>
      </c>
      <c r="G69" s="187" t="inlineStr">
        <is>
          <t>重度</t>
        </is>
      </c>
      <c r="H69" s="187" t="inlineStr">
        <is>
          <t>儿童本人</t>
        </is>
      </c>
      <c r="I69" s="187" t="inlineStr">
        <is>
          <t>单独实施</t>
        </is>
      </c>
      <c r="J69" s="188" t="inlineStr">
        <is>
          <t>电视</t>
        </is>
      </c>
      <c r="K69" s="188" t="inlineStr">
        <is>
          <t>不纳入该变量（原文未报告）</t>
        </is>
      </c>
      <c r="L69" s="187" t="inlineStr">
        <is>
          <t>家庭社区</t>
        </is>
      </c>
      <c r="M69" s="187" t="inlineStr">
        <is>
          <t>家长</t>
        </is>
      </c>
      <c r="N69" s="186" t="inlineStr">
        <is>
          <t>2026-10-18恢复。视频在家中每晚睡前播放3遍（原文PDF7、9）；电视按用户此前认可的发表年份规则推定，原文未明确播放设备，不作原文明示。</t>
        </is>
      </c>
      <c r="O69" s="186" t="inlineStr">
        <is>
          <t>7.08岁</t>
        </is>
      </c>
      <c r="P69" s="187" t="inlineStr">
        <is>
          <t>未报告（每晚睡前看3遍，录像时长未报告）</t>
        </is>
      </c>
      <c r="Q69" s="187" t="inlineStr">
        <is>
          <t>无</t>
        </is>
      </c>
      <c r="R69" s="187" t="inlineStr">
        <is>
          <t>儿童本人</t>
        </is>
      </c>
      <c r="S69" s="187" t="inlineStr">
        <is>
          <t>缺失</t>
        </is>
      </c>
      <c r="T69" s="187" t="inlineStr">
        <is>
          <t>家长</t>
        </is>
      </c>
      <c r="U69" s="187" t="inlineStr">
        <is>
          <t>家庭</t>
        </is>
      </c>
      <c r="V69" s="187" t="inlineStr">
        <is>
          <t>只用视频</t>
        </is>
      </c>
      <c r="W69" s="186" t="inlineStr">
        <is>
          <t>Baseline vs Video Treatment</t>
        </is>
      </c>
    </row>
    <row r="70" ht="120" customHeight="1" s="176">
      <c r="A70" s="186" t="inlineStr">
        <is>
          <t>K137</t>
        </is>
      </c>
      <c r="B70" s="186" t="inlineStr">
        <is>
          <t>018-二次</t>
        </is>
      </c>
      <c r="C70" s="186" t="inlineStr">
        <is>
          <t>Sam</t>
        </is>
      </c>
      <c r="D70" s="187" t="inlineStr">
        <is>
          <t>干预</t>
        </is>
      </c>
      <c r="E70" s="186" t="inlineStr">
        <is>
          <t>6–8岁</t>
        </is>
      </c>
      <c r="F70" s="187" t="inlineStr">
        <is>
          <t>男</t>
        </is>
      </c>
      <c r="G70" s="187" t="inlineStr">
        <is>
          <t>重度</t>
        </is>
      </c>
      <c r="H70" s="187" t="inlineStr">
        <is>
          <t>同伴儿童（含兄弟姐妹）</t>
        </is>
      </c>
      <c r="I70" s="187" t="inlineStr">
        <is>
          <t>单独实施</t>
        </is>
      </c>
      <c r="J70" s="188" t="inlineStr">
        <is>
          <t>电视</t>
        </is>
      </c>
      <c r="K70" s="188" t="inlineStr">
        <is>
          <t>不纳入该变量（原文未报告）</t>
        </is>
      </c>
      <c r="L70" s="187" t="inlineStr">
        <is>
          <t>家庭社区</t>
        </is>
      </c>
      <c r="M70" s="187" t="inlineStr">
        <is>
          <t>家长</t>
        </is>
      </c>
      <c r="N70" s="186" t="inlineStr">
        <is>
          <t>2026-10-18恢复。视频在家中每晚睡前播放3遍（原文PDF7、9）；电视按用户此前认可的发表年份规则推定，原文未明确播放设备，不作原文明示。</t>
        </is>
      </c>
      <c r="O70" s="186" t="inlineStr">
        <is>
          <t>7.08岁</t>
        </is>
      </c>
      <c r="P70" s="187" t="inlineStr">
        <is>
          <t>未报告（每晚睡前看3遍，录像时长未报告）</t>
        </is>
      </c>
      <c r="Q70" s="187" t="inlineStr">
        <is>
          <t>无</t>
        </is>
      </c>
      <c r="R70" s="187" t="inlineStr">
        <is>
          <t>同伴儿童</t>
        </is>
      </c>
      <c r="S70" s="187" t="inlineStr">
        <is>
          <t>缺失</t>
        </is>
      </c>
      <c r="T70" s="187" t="inlineStr">
        <is>
          <t>家长</t>
        </is>
      </c>
      <c r="U70" s="187" t="inlineStr">
        <is>
          <t>家庭</t>
        </is>
      </c>
      <c r="V70" s="187" t="inlineStr">
        <is>
          <t>只用视频</t>
        </is>
      </c>
      <c r="W70" s="186" t="inlineStr">
        <is>
          <t>Baseline vs Video Treatment</t>
        </is>
      </c>
    </row>
    <row r="71" ht="120" customHeight="1" s="176">
      <c r="A71" s="186" t="inlineStr">
        <is>
          <t>K138</t>
        </is>
      </c>
      <c r="B71" s="186" t="inlineStr">
        <is>
          <t>018-二次</t>
        </is>
      </c>
      <c r="C71" s="186" t="inlineStr">
        <is>
          <t>Joey</t>
        </is>
      </c>
      <c r="D71" s="187" t="inlineStr">
        <is>
          <t>干预</t>
        </is>
      </c>
      <c r="E71" s="186" t="inlineStr">
        <is>
          <t>6岁以下</t>
        </is>
      </c>
      <c r="F71" s="187" t="inlineStr">
        <is>
          <t>男</t>
        </is>
      </c>
      <c r="G71" s="187" t="inlineStr">
        <is>
          <t>轻中度</t>
        </is>
      </c>
      <c r="H71" s="187" t="inlineStr">
        <is>
          <t>儿童本人</t>
        </is>
      </c>
      <c r="I71" s="187" t="inlineStr">
        <is>
          <t>单独实施</t>
        </is>
      </c>
      <c r="J71" s="188" t="inlineStr">
        <is>
          <t>电视</t>
        </is>
      </c>
      <c r="K71" s="188" t="inlineStr">
        <is>
          <t>不纳入该变量（原文未报告）</t>
        </is>
      </c>
      <c r="L71" s="187" t="inlineStr">
        <is>
          <t>家庭社区</t>
        </is>
      </c>
      <c r="M71" s="187" t="inlineStr">
        <is>
          <t>家长</t>
        </is>
      </c>
      <c r="N71" s="186" t="inlineStr">
        <is>
          <t>2026-10-18恢复。视频在家中每晚睡前播放3遍（原文PDF7、9）；电视按用户此前认可的发表年份规则推定，原文未明确播放设备，不作原文明示。</t>
        </is>
      </c>
      <c r="O71" s="186" t="inlineStr">
        <is>
          <t>4.00岁</t>
        </is>
      </c>
      <c r="P71" s="187" t="inlineStr">
        <is>
          <t>未报告（每晚睡前看3遍，录像时长未报告）</t>
        </is>
      </c>
      <c r="Q71" s="187" t="inlineStr">
        <is>
          <t>无</t>
        </is>
      </c>
      <c r="R71" s="187" t="inlineStr">
        <is>
          <t>儿童本人</t>
        </is>
      </c>
      <c r="S71" s="187" t="inlineStr">
        <is>
          <t>缺失</t>
        </is>
      </c>
      <c r="T71" s="187" t="inlineStr">
        <is>
          <t>家长</t>
        </is>
      </c>
      <c r="U71" s="187" t="inlineStr">
        <is>
          <t>家庭</t>
        </is>
      </c>
      <c r="V71" s="187" t="inlineStr">
        <is>
          <t>只用视频</t>
        </is>
      </c>
      <c r="W71" s="186" t="inlineStr">
        <is>
          <t>Baseline vs Video Treatment</t>
        </is>
      </c>
    </row>
    <row r="72" ht="120" customHeight="1" s="176">
      <c r="A72" s="186" t="inlineStr">
        <is>
          <t>K139</t>
        </is>
      </c>
      <c r="B72" s="186" t="inlineStr">
        <is>
          <t>018-二次</t>
        </is>
      </c>
      <c r="C72" s="186" t="inlineStr">
        <is>
          <t>Joey</t>
        </is>
      </c>
      <c r="D72" s="187" t="inlineStr">
        <is>
          <t>干预</t>
        </is>
      </c>
      <c r="E72" s="186" t="inlineStr">
        <is>
          <t>6岁以下</t>
        </is>
      </c>
      <c r="F72" s="187" t="inlineStr">
        <is>
          <t>男</t>
        </is>
      </c>
      <c r="G72" s="187" t="inlineStr">
        <is>
          <t>轻中度</t>
        </is>
      </c>
      <c r="H72" s="187" t="inlineStr">
        <is>
          <t>同伴儿童（含兄弟姐妹）</t>
        </is>
      </c>
      <c r="I72" s="187" t="inlineStr">
        <is>
          <t>单独实施</t>
        </is>
      </c>
      <c r="J72" s="188" t="inlineStr">
        <is>
          <t>电视</t>
        </is>
      </c>
      <c r="K72" s="188" t="inlineStr">
        <is>
          <t>不纳入该变量（原文未报告）</t>
        </is>
      </c>
      <c r="L72" s="187" t="inlineStr">
        <is>
          <t>家庭社区</t>
        </is>
      </c>
      <c r="M72" s="187" t="inlineStr">
        <is>
          <t>家长</t>
        </is>
      </c>
      <c r="N72" s="186" t="inlineStr">
        <is>
          <t>2026-10-18恢复。视频在家中每晚睡前播放3遍（原文PDF7、9）；电视按用户此前认可的发表年份规则推定，原文未明确播放设备，不作原文明示。</t>
        </is>
      </c>
      <c r="O72" s="186" t="inlineStr">
        <is>
          <t>4.00岁</t>
        </is>
      </c>
      <c r="P72" s="187" t="inlineStr">
        <is>
          <t>未报告（每晚睡前看3遍，录像时长未报告）</t>
        </is>
      </c>
      <c r="Q72" s="187" t="inlineStr">
        <is>
          <t>无</t>
        </is>
      </c>
      <c r="R72" s="187" t="inlineStr">
        <is>
          <t>同伴儿童</t>
        </is>
      </c>
      <c r="S72" s="187" t="inlineStr">
        <is>
          <t>缺失</t>
        </is>
      </c>
      <c r="T72" s="187" t="inlineStr">
        <is>
          <t>家长</t>
        </is>
      </c>
      <c r="U72" s="187" t="inlineStr">
        <is>
          <t>家庭</t>
        </is>
      </c>
      <c r="V72" s="187" t="inlineStr">
        <is>
          <t>只用视频</t>
        </is>
      </c>
      <c r="W72" s="186" t="inlineStr">
        <is>
          <t>Baseline vs Video Treatment</t>
        </is>
      </c>
    </row>
    <row r="73" ht="120" customHeight="1" s="176">
      <c r="A73" s="186" t="inlineStr">
        <is>
          <t>K140</t>
        </is>
      </c>
      <c r="B73" s="186" t="inlineStr">
        <is>
          <t>018-二次</t>
        </is>
      </c>
      <c r="C73" s="186" t="inlineStr">
        <is>
          <t>Jack</t>
        </is>
      </c>
      <c r="D73" s="187" t="inlineStr">
        <is>
          <t>干预</t>
        </is>
      </c>
      <c r="E73" s="186" t="inlineStr">
        <is>
          <t>9–12岁</t>
        </is>
      </c>
      <c r="F73" s="187" t="inlineStr">
        <is>
          <t>男</t>
        </is>
      </c>
      <c r="G73" s="187" t="inlineStr">
        <is>
          <t>轻中度</t>
        </is>
      </c>
      <c r="H73" s="187" t="inlineStr">
        <is>
          <t>儿童本人</t>
        </is>
      </c>
      <c r="I73" s="187" t="inlineStr">
        <is>
          <t>单独实施</t>
        </is>
      </c>
      <c r="J73" s="188" t="inlineStr">
        <is>
          <t>电视</t>
        </is>
      </c>
      <c r="K73" s="188" t="inlineStr">
        <is>
          <t>不纳入该变量（原文未报告）</t>
        </is>
      </c>
      <c r="L73" s="187" t="inlineStr">
        <is>
          <t>家庭社区</t>
        </is>
      </c>
      <c r="M73" s="187" t="inlineStr">
        <is>
          <t>家长</t>
        </is>
      </c>
      <c r="N73" s="186" t="inlineStr">
        <is>
          <t>2026-10-18恢复。视频在家中每晚睡前播放3遍（原文PDF7、9）；电视按用户此前认可的发表年份规则推定，原文未明确播放设备，不作原文明示。</t>
        </is>
      </c>
      <c r="O73" s="186" t="inlineStr">
        <is>
          <t>11.17岁</t>
        </is>
      </c>
      <c r="P73" s="187" t="inlineStr">
        <is>
          <t>未报告（每晚睡前看3遍，录像时长未报告）</t>
        </is>
      </c>
      <c r="Q73" s="187" t="inlineStr">
        <is>
          <t>无</t>
        </is>
      </c>
      <c r="R73" s="187" t="inlineStr">
        <is>
          <t>儿童本人</t>
        </is>
      </c>
      <c r="S73" s="187" t="inlineStr">
        <is>
          <t>缺失</t>
        </is>
      </c>
      <c r="T73" s="187" t="inlineStr">
        <is>
          <t>家长</t>
        </is>
      </c>
      <c r="U73" s="187" t="inlineStr">
        <is>
          <t>家庭</t>
        </is>
      </c>
      <c r="V73" s="187" t="inlineStr">
        <is>
          <t>只用视频</t>
        </is>
      </c>
      <c r="W73" s="186" t="inlineStr">
        <is>
          <t>Baseline vs Video Treatment</t>
        </is>
      </c>
    </row>
    <row r="74" ht="120" customHeight="1" s="176">
      <c r="A74" s="186" t="inlineStr">
        <is>
          <t>K141</t>
        </is>
      </c>
      <c r="B74" s="186" t="inlineStr">
        <is>
          <t>018-二次</t>
        </is>
      </c>
      <c r="C74" s="186" t="inlineStr">
        <is>
          <t>Jack</t>
        </is>
      </c>
      <c r="D74" s="187" t="inlineStr">
        <is>
          <t>干预</t>
        </is>
      </c>
      <c r="E74" s="186" t="inlineStr">
        <is>
          <t>9–12岁</t>
        </is>
      </c>
      <c r="F74" s="187" t="inlineStr">
        <is>
          <t>男</t>
        </is>
      </c>
      <c r="G74" s="187" t="inlineStr">
        <is>
          <t>轻中度</t>
        </is>
      </c>
      <c r="H74" s="187" t="inlineStr">
        <is>
          <t>同伴儿童（含兄弟姐妹）</t>
        </is>
      </c>
      <c r="I74" s="187" t="inlineStr">
        <is>
          <t>单独实施</t>
        </is>
      </c>
      <c r="J74" s="188" t="inlineStr">
        <is>
          <t>电视</t>
        </is>
      </c>
      <c r="K74" s="188" t="inlineStr">
        <is>
          <t>不纳入该变量（原文未报告）</t>
        </is>
      </c>
      <c r="L74" s="187" t="inlineStr">
        <is>
          <t>家庭社区</t>
        </is>
      </c>
      <c r="M74" s="187" t="inlineStr">
        <is>
          <t>家长</t>
        </is>
      </c>
      <c r="N74" s="186" t="inlineStr">
        <is>
          <t>2026-10-18恢复。视频在家中每晚睡前播放3遍（原文PDF7、9）；电视按用户此前认可的发表年份规则推定，原文未明确播放设备，不作原文明示。</t>
        </is>
      </c>
      <c r="O74" s="186" t="inlineStr">
        <is>
          <t>11.17岁</t>
        </is>
      </c>
      <c r="P74" s="187" t="inlineStr">
        <is>
          <t>未报告（每晚睡前看3遍，录像时长未报告）</t>
        </is>
      </c>
      <c r="Q74" s="187" t="inlineStr">
        <is>
          <t>无</t>
        </is>
      </c>
      <c r="R74" s="187" t="inlineStr">
        <is>
          <t>同伴儿童</t>
        </is>
      </c>
      <c r="S74" s="187" t="inlineStr">
        <is>
          <t>缺失</t>
        </is>
      </c>
      <c r="T74" s="187" t="inlineStr">
        <is>
          <t>家长</t>
        </is>
      </c>
      <c r="U74" s="187" t="inlineStr">
        <is>
          <t>家庭</t>
        </is>
      </c>
      <c r="V74" s="187" t="inlineStr">
        <is>
          <t>只用视频</t>
        </is>
      </c>
      <c r="W74" s="186" t="inlineStr">
        <is>
          <t>Baseline vs Video Treatment</t>
        </is>
      </c>
    </row>
    <row r="75" ht="120" customHeight="1" s="176">
      <c r="A75" s="186" t="inlineStr">
        <is>
          <t>K142</t>
        </is>
      </c>
      <c r="B75" s="186" t="inlineStr">
        <is>
          <t>018-二次</t>
        </is>
      </c>
      <c r="C75" s="186" t="inlineStr">
        <is>
          <t>Jack</t>
        </is>
      </c>
      <c r="D75" s="187" t="inlineStr">
        <is>
          <t>维持</t>
        </is>
      </c>
      <c r="E75" s="186" t="inlineStr">
        <is>
          <t>9–12岁</t>
        </is>
      </c>
      <c r="F75" s="187" t="inlineStr">
        <is>
          <t>男</t>
        </is>
      </c>
      <c r="G75" s="187" t="inlineStr">
        <is>
          <t>轻中度</t>
        </is>
      </c>
      <c r="H75" s="187" t="inlineStr">
        <is>
          <t>同伴儿童（含兄弟姐妹）</t>
        </is>
      </c>
      <c r="I75" s="187" t="inlineStr">
        <is>
          <t>单独实施</t>
        </is>
      </c>
      <c r="J75" s="188" t="inlineStr">
        <is>
          <t>电视</t>
        </is>
      </c>
      <c r="K75" s="188" t="inlineStr">
        <is>
          <t>不纳入该变量（原文未报告）</t>
        </is>
      </c>
      <c r="L75" s="187" t="inlineStr">
        <is>
          <t>家庭社区</t>
        </is>
      </c>
      <c r="M75" s="187" t="inlineStr">
        <is>
          <t>家长</t>
        </is>
      </c>
      <c r="N75" s="186" t="inlineStr">
        <is>
          <t>2026-10-18恢复。视频在家中每晚睡前播放3遍（原文PDF7、9）；电视按用户此前认可的发表年份规则推定，原文未明确播放设备，不作原文明示。</t>
        </is>
      </c>
      <c r="O75" s="186" t="inlineStr">
        <is>
          <t>11.17岁</t>
        </is>
      </c>
      <c r="P75" s="187" t="inlineStr">
        <is>
          <t>未报告（每晚睡前看3遍，录像时长未报告）</t>
        </is>
      </c>
      <c r="Q75" s="187" t="inlineStr">
        <is>
          <t>无</t>
        </is>
      </c>
      <c r="R75" s="187" t="inlineStr">
        <is>
          <t>同伴儿童</t>
        </is>
      </c>
      <c r="S75" s="187" t="inlineStr">
        <is>
          <t>缺失</t>
        </is>
      </c>
      <c r="T75" s="187" t="inlineStr">
        <is>
          <t>家长</t>
        </is>
      </c>
      <c r="U75" s="187" t="inlineStr">
        <is>
          <t>家庭</t>
        </is>
      </c>
      <c r="V75" s="187" t="inlineStr">
        <is>
          <t>只用视频</t>
        </is>
      </c>
      <c r="W75" s="186" t="inlineStr">
        <is>
          <t>Baseline vs 2 个月 Follow-up</t>
        </is>
      </c>
    </row>
    <row r="76" ht="120" customHeight="1" s="176">
      <c r="A76" s="186" t="inlineStr">
        <is>
          <t>K143</t>
        </is>
      </c>
      <c r="B76" s="186" t="inlineStr">
        <is>
          <t>018-二次</t>
        </is>
      </c>
      <c r="C76" s="186" t="inlineStr">
        <is>
          <t>Chuck</t>
        </is>
      </c>
      <c r="D76" s="187" t="inlineStr">
        <is>
          <t>干预</t>
        </is>
      </c>
      <c r="E76" s="186" t="inlineStr">
        <is>
          <t>9–12岁</t>
        </is>
      </c>
      <c r="F76" s="187" t="inlineStr">
        <is>
          <t>男</t>
        </is>
      </c>
      <c r="G76" s="187" t="inlineStr">
        <is>
          <t>轻中度</t>
        </is>
      </c>
      <c r="H76" s="187" t="inlineStr">
        <is>
          <t>儿童本人</t>
        </is>
      </c>
      <c r="I76" s="187" t="inlineStr">
        <is>
          <t>单独实施</t>
        </is>
      </c>
      <c r="J76" s="188" t="inlineStr">
        <is>
          <t>电视</t>
        </is>
      </c>
      <c r="K76" s="188" t="inlineStr">
        <is>
          <t>不纳入该变量（原文未报告）</t>
        </is>
      </c>
      <c r="L76" s="187" t="inlineStr">
        <is>
          <t>家庭社区</t>
        </is>
      </c>
      <c r="M76" s="187" t="inlineStr">
        <is>
          <t>家长</t>
        </is>
      </c>
      <c r="N76" s="186" t="inlineStr">
        <is>
          <t>2026-10-18恢复。视频在家中每晚睡前播放3遍（原文PDF7、9）；电视按用户此前认可的发表年份规则推定，原文未明确播放设备，不作原文明示。</t>
        </is>
      </c>
      <c r="O76" s="186" t="inlineStr">
        <is>
          <t>9.00岁</t>
        </is>
      </c>
      <c r="P76" s="187" t="inlineStr">
        <is>
          <t>未报告（每晚睡前看3遍，录像时长未报告）</t>
        </is>
      </c>
      <c r="Q76" s="187" t="inlineStr">
        <is>
          <t>无</t>
        </is>
      </c>
      <c r="R76" s="187" t="inlineStr">
        <is>
          <t>儿童本人</t>
        </is>
      </c>
      <c r="S76" s="187" t="inlineStr">
        <is>
          <t>缺失</t>
        </is>
      </c>
      <c r="T76" s="187" t="inlineStr">
        <is>
          <t>家长</t>
        </is>
      </c>
      <c r="U76" s="187" t="inlineStr">
        <is>
          <t>家庭</t>
        </is>
      </c>
      <c r="V76" s="187" t="inlineStr">
        <is>
          <t>只用视频</t>
        </is>
      </c>
      <c r="W76" s="186" t="inlineStr">
        <is>
          <t>Baseline vs Video Treatment</t>
        </is>
      </c>
    </row>
    <row r="77" ht="120" customHeight="1" s="176">
      <c r="A77" s="186" t="inlineStr">
        <is>
          <t>K144</t>
        </is>
      </c>
      <c r="B77" s="186" t="inlineStr">
        <is>
          <t>018-二次</t>
        </is>
      </c>
      <c r="C77" s="186" t="inlineStr">
        <is>
          <t>Chuck</t>
        </is>
      </c>
      <c r="D77" s="187" t="inlineStr">
        <is>
          <t>干预</t>
        </is>
      </c>
      <c r="E77" s="186" t="inlineStr">
        <is>
          <t>9–12岁</t>
        </is>
      </c>
      <c r="F77" s="187" t="inlineStr">
        <is>
          <t>男</t>
        </is>
      </c>
      <c r="G77" s="187" t="inlineStr">
        <is>
          <t>轻中度</t>
        </is>
      </c>
      <c r="H77" s="187" t="inlineStr">
        <is>
          <t>同伴儿童（含兄弟姐妹）</t>
        </is>
      </c>
      <c r="I77" s="187" t="inlineStr">
        <is>
          <t>单独实施</t>
        </is>
      </c>
      <c r="J77" s="188" t="inlineStr">
        <is>
          <t>电视</t>
        </is>
      </c>
      <c r="K77" s="188" t="inlineStr">
        <is>
          <t>不纳入该变量（原文未报告）</t>
        </is>
      </c>
      <c r="L77" s="187" t="inlineStr">
        <is>
          <t>家庭社区</t>
        </is>
      </c>
      <c r="M77" s="187" t="inlineStr">
        <is>
          <t>家长</t>
        </is>
      </c>
      <c r="N77" s="186" t="inlineStr">
        <is>
          <t>2026-10-18恢复。视频在家中每晚睡前播放3遍（原文PDF7、9）；电视按用户此前认可的发表年份规则推定，原文未明确播放设备，不作原文明示。</t>
        </is>
      </c>
      <c r="O77" s="186" t="inlineStr">
        <is>
          <t>9.00岁</t>
        </is>
      </c>
      <c r="P77" s="187" t="inlineStr">
        <is>
          <t>未报告（每晚睡前看3遍，录像时长未报告）</t>
        </is>
      </c>
      <c r="Q77" s="187" t="inlineStr">
        <is>
          <t>无</t>
        </is>
      </c>
      <c r="R77" s="187" t="inlineStr">
        <is>
          <t>同伴儿童</t>
        </is>
      </c>
      <c r="S77" s="187" t="inlineStr">
        <is>
          <t>缺失</t>
        </is>
      </c>
      <c r="T77" s="187" t="inlineStr">
        <is>
          <t>家长</t>
        </is>
      </c>
      <c r="U77" s="187" t="inlineStr">
        <is>
          <t>家庭</t>
        </is>
      </c>
      <c r="V77" s="187" t="inlineStr">
        <is>
          <t>只用视频</t>
        </is>
      </c>
      <c r="W77" s="186" t="inlineStr">
        <is>
          <t>Baseline vs Video Treatment</t>
        </is>
      </c>
    </row>
    <row r="78" ht="44" customHeight="1" s="176">
      <c r="A78" s="186" t="inlineStr">
        <is>
          <t>K169</t>
        </is>
      </c>
      <c r="B78" s="186" t="inlineStr">
        <is>
          <t>026-二次</t>
        </is>
      </c>
      <c r="C78" s="186" t="inlineStr">
        <is>
          <t>Taylor</t>
        </is>
      </c>
      <c r="D78" s="187" t="inlineStr">
        <is>
          <t>干预</t>
        </is>
      </c>
      <c r="E78" s="186" t="inlineStr">
        <is>
          <t>6岁以下</t>
        </is>
      </c>
      <c r="F78" s="187" t="inlineStr">
        <is>
          <t>男</t>
        </is>
      </c>
      <c r="G78" s="188" t="inlineStr">
        <is>
          <t>不纳入该变量（原文未报告）</t>
        </is>
      </c>
      <c r="H78" s="187" t="inlineStr">
        <is>
          <t>儿童本人</t>
        </is>
      </c>
      <c r="I78" s="187" t="inlineStr">
        <is>
          <t>单独实施</t>
        </is>
      </c>
      <c r="J78" s="187" t="inlineStr">
        <is>
          <t>电视</t>
        </is>
      </c>
      <c r="K78" s="186" t="inlineStr">
        <is>
          <t>10分钟及以下</t>
        </is>
      </c>
      <c r="L78" s="187" t="inlineStr">
        <is>
          <t>办公辅助空间</t>
        </is>
      </c>
      <c r="M78" s="187" t="inlineStr">
        <is>
          <t>学校人员</t>
        </is>
      </c>
      <c r="N78" s="189" t="inlineStr">
        <is>
          <t>视频设备依据：年份推定（原文播放终端未明确，按确认方案归组）</t>
        </is>
      </c>
      <c r="O78" s="186" t="inlineStr">
        <is>
          <t>4.17岁</t>
        </is>
      </c>
      <c r="P78" s="186" t="inlineStr">
        <is>
          <t>2–3分钟（干预只是看视频）</t>
        </is>
      </c>
      <c r="Q78" s="187" t="inlineStr">
        <is>
          <t>无</t>
        </is>
      </c>
      <c r="R78" s="187" t="inlineStr">
        <is>
          <t>儿童本人</t>
        </is>
      </c>
      <c r="S78" s="187" t="inlineStr">
        <is>
          <t>缺失</t>
        </is>
      </c>
      <c r="T78" s="187" t="inlineStr">
        <is>
          <t>学校人员</t>
        </is>
      </c>
      <c r="U78" s="187" t="inlineStr">
        <is>
          <t>学校</t>
        </is>
      </c>
      <c r="V78" s="187" t="inlineStr">
        <is>
          <t>只用视频</t>
        </is>
      </c>
      <c r="W78" s="186" t="inlineStr">
        <is>
          <t>Baseline vs VSM</t>
        </is>
      </c>
    </row>
    <row r="79" ht="44" customHeight="1" s="176">
      <c r="A79" s="186" t="inlineStr">
        <is>
          <t>K170</t>
        </is>
      </c>
      <c r="B79" s="186" t="inlineStr">
        <is>
          <t>026-二次</t>
        </is>
      </c>
      <c r="C79" s="186" t="inlineStr">
        <is>
          <t>Taylor</t>
        </is>
      </c>
      <c r="D79" s="187" t="inlineStr">
        <is>
          <t>维持</t>
        </is>
      </c>
      <c r="E79" s="186" t="inlineStr">
        <is>
          <t>6岁以下</t>
        </is>
      </c>
      <c r="F79" s="187" t="inlineStr">
        <is>
          <t>男</t>
        </is>
      </c>
      <c r="G79" s="188" t="inlineStr">
        <is>
          <t>不纳入该变量（原文未报告）</t>
        </is>
      </c>
      <c r="H79" s="187" t="inlineStr">
        <is>
          <t>儿童本人</t>
        </is>
      </c>
      <c r="I79" s="187" t="inlineStr">
        <is>
          <t>单独实施</t>
        </is>
      </c>
      <c r="J79" s="187" t="inlineStr">
        <is>
          <t>电视</t>
        </is>
      </c>
      <c r="K79" s="186" t="inlineStr">
        <is>
          <t>10分钟及以下</t>
        </is>
      </c>
      <c r="L79" s="187" t="inlineStr">
        <is>
          <t>办公辅助空间</t>
        </is>
      </c>
      <c r="M79" s="187" t="inlineStr">
        <is>
          <t>学校人员</t>
        </is>
      </c>
      <c r="N79" s="189" t="inlineStr">
        <is>
          <t>视频设备依据：年份推定（原文播放终端未明确，按确认方案归组）</t>
        </is>
      </c>
      <c r="O79" s="186" t="inlineStr">
        <is>
          <t>4.17岁</t>
        </is>
      </c>
      <c r="P79" s="186" t="inlineStr">
        <is>
          <t>2–3分钟（干预只是看视频）</t>
        </is>
      </c>
      <c r="Q79" s="187" t="inlineStr">
        <is>
          <t>无</t>
        </is>
      </c>
      <c r="R79" s="187" t="inlineStr">
        <is>
          <t>儿童本人</t>
        </is>
      </c>
      <c r="S79" s="187" t="inlineStr">
        <is>
          <t>缺失</t>
        </is>
      </c>
      <c r="T79" s="187" t="inlineStr">
        <is>
          <t>学校人员</t>
        </is>
      </c>
      <c r="U79" s="187" t="inlineStr">
        <is>
          <t>学校</t>
        </is>
      </c>
      <c r="V79" s="187" t="inlineStr">
        <is>
          <t>只用视频</t>
        </is>
      </c>
      <c r="W79" s="186" t="inlineStr">
        <is>
          <t>Baseline vs Maintenance</t>
        </is>
      </c>
    </row>
    <row r="80" ht="44" customHeight="1" s="176">
      <c r="A80" s="186" t="inlineStr">
        <is>
          <t>K171</t>
        </is>
      </c>
      <c r="B80" s="186" t="inlineStr">
        <is>
          <t>026-二次</t>
        </is>
      </c>
      <c r="C80" s="186" t="inlineStr">
        <is>
          <t>Corey</t>
        </is>
      </c>
      <c r="D80" s="187" t="inlineStr">
        <is>
          <t>干预</t>
        </is>
      </c>
      <c r="E80" s="186" t="inlineStr">
        <is>
          <t>6岁以下</t>
        </is>
      </c>
      <c r="F80" s="187" t="inlineStr">
        <is>
          <t>男</t>
        </is>
      </c>
      <c r="G80" s="187" t="inlineStr">
        <is>
          <t>重度</t>
        </is>
      </c>
      <c r="H80" s="187" t="inlineStr">
        <is>
          <t>儿童本人</t>
        </is>
      </c>
      <c r="I80" s="187" t="inlineStr">
        <is>
          <t>单独实施</t>
        </is>
      </c>
      <c r="J80" s="187" t="inlineStr">
        <is>
          <t>电视</t>
        </is>
      </c>
      <c r="K80" s="186" t="inlineStr">
        <is>
          <t>10分钟及以下</t>
        </is>
      </c>
      <c r="L80" s="187" t="inlineStr">
        <is>
          <t>办公辅助空间</t>
        </is>
      </c>
      <c r="M80" s="187" t="inlineStr">
        <is>
          <t>学校人员</t>
        </is>
      </c>
      <c r="N80" s="189" t="inlineStr">
        <is>
          <t>视频设备依据：年份推定（原文播放终端未明确，按确认方案归组）</t>
        </is>
      </c>
      <c r="O80" s="186" t="inlineStr">
        <is>
          <t>4.25岁</t>
        </is>
      </c>
      <c r="P80" s="186" t="inlineStr">
        <is>
          <t>2–3分钟（干预只是看视频）</t>
        </is>
      </c>
      <c r="Q80" s="187" t="inlineStr">
        <is>
          <t>无</t>
        </is>
      </c>
      <c r="R80" s="187" t="inlineStr">
        <is>
          <t>儿童本人</t>
        </is>
      </c>
      <c r="S80" s="187" t="inlineStr">
        <is>
          <t>缺失</t>
        </is>
      </c>
      <c r="T80" s="187" t="inlineStr">
        <is>
          <t>学校人员</t>
        </is>
      </c>
      <c r="U80" s="187" t="inlineStr">
        <is>
          <t>学校</t>
        </is>
      </c>
      <c r="V80" s="187" t="inlineStr">
        <is>
          <t>只用视频</t>
        </is>
      </c>
      <c r="W80" s="186" t="inlineStr">
        <is>
          <t>Baseline vs VSM</t>
        </is>
      </c>
    </row>
    <row r="81" ht="44" customHeight="1" s="176">
      <c r="A81" s="186" t="inlineStr">
        <is>
          <t>K172</t>
        </is>
      </c>
      <c r="B81" s="186" t="inlineStr">
        <is>
          <t>026-二次</t>
        </is>
      </c>
      <c r="C81" s="186" t="inlineStr">
        <is>
          <t>Corey</t>
        </is>
      </c>
      <c r="D81" s="187" t="inlineStr">
        <is>
          <t>维持</t>
        </is>
      </c>
      <c r="E81" s="186" t="inlineStr">
        <is>
          <t>6岁以下</t>
        </is>
      </c>
      <c r="F81" s="187" t="inlineStr">
        <is>
          <t>男</t>
        </is>
      </c>
      <c r="G81" s="187" t="inlineStr">
        <is>
          <t>重度</t>
        </is>
      </c>
      <c r="H81" s="187" t="inlineStr">
        <is>
          <t>儿童本人</t>
        </is>
      </c>
      <c r="I81" s="187" t="inlineStr">
        <is>
          <t>单独实施</t>
        </is>
      </c>
      <c r="J81" s="187" t="inlineStr">
        <is>
          <t>电视</t>
        </is>
      </c>
      <c r="K81" s="186" t="inlineStr">
        <is>
          <t>10分钟及以下</t>
        </is>
      </c>
      <c r="L81" s="187" t="inlineStr">
        <is>
          <t>办公辅助空间</t>
        </is>
      </c>
      <c r="M81" s="187" t="inlineStr">
        <is>
          <t>学校人员</t>
        </is>
      </c>
      <c r="N81" s="189" t="inlineStr">
        <is>
          <t>视频设备依据：年份推定（原文播放终端未明确，按确认方案归组）</t>
        </is>
      </c>
      <c r="O81" s="186" t="inlineStr">
        <is>
          <t>4.25岁</t>
        </is>
      </c>
      <c r="P81" s="186" t="inlineStr">
        <is>
          <t>2–3分钟（干预只是看视频）</t>
        </is>
      </c>
      <c r="Q81" s="187" t="inlineStr">
        <is>
          <t>无</t>
        </is>
      </c>
      <c r="R81" s="187" t="inlineStr">
        <is>
          <t>儿童本人</t>
        </is>
      </c>
      <c r="S81" s="187" t="inlineStr">
        <is>
          <t>缺失</t>
        </is>
      </c>
      <c r="T81" s="187" t="inlineStr">
        <is>
          <t>学校人员</t>
        </is>
      </c>
      <c r="U81" s="187" t="inlineStr">
        <is>
          <t>学校</t>
        </is>
      </c>
      <c r="V81" s="187" t="inlineStr">
        <is>
          <t>只用视频</t>
        </is>
      </c>
      <c r="W81" s="186" t="inlineStr">
        <is>
          <t>Baseline vs Maintenance</t>
        </is>
      </c>
    </row>
    <row r="82" ht="44" customHeight="1" s="176">
      <c r="A82" s="186" t="inlineStr">
        <is>
          <t>K173</t>
        </is>
      </c>
      <c r="B82" s="186" t="inlineStr">
        <is>
          <t>026-二次</t>
        </is>
      </c>
      <c r="C82" s="186" t="inlineStr">
        <is>
          <t>Jonathan</t>
        </is>
      </c>
      <c r="D82" s="187" t="inlineStr">
        <is>
          <t>干预</t>
        </is>
      </c>
      <c r="E82" s="186" t="inlineStr">
        <is>
          <t>6岁以下</t>
        </is>
      </c>
      <c r="F82" s="187" t="inlineStr">
        <is>
          <t>男</t>
        </is>
      </c>
      <c r="G82" s="187" t="inlineStr">
        <is>
          <t>重度</t>
        </is>
      </c>
      <c r="H82" s="187" t="inlineStr">
        <is>
          <t>儿童本人</t>
        </is>
      </c>
      <c r="I82" s="187" t="inlineStr">
        <is>
          <t>单独实施</t>
        </is>
      </c>
      <c r="J82" s="187" t="inlineStr">
        <is>
          <t>电视</t>
        </is>
      </c>
      <c r="K82" s="186" t="inlineStr">
        <is>
          <t>10分钟及以下</t>
        </is>
      </c>
      <c r="L82" s="187" t="inlineStr">
        <is>
          <t>办公辅助空间</t>
        </is>
      </c>
      <c r="M82" s="187" t="inlineStr">
        <is>
          <t>学校人员</t>
        </is>
      </c>
      <c r="N82" s="189" t="inlineStr">
        <is>
          <t>视频设备依据：年份推定（原文播放终端未明确，按确认方案归组）</t>
        </is>
      </c>
      <c r="O82" s="186" t="inlineStr">
        <is>
          <t>4.00岁</t>
        </is>
      </c>
      <c r="P82" s="186" t="inlineStr">
        <is>
          <t>2–3分钟（干预只是看视频）</t>
        </is>
      </c>
      <c r="Q82" s="187" t="inlineStr">
        <is>
          <t>无</t>
        </is>
      </c>
      <c r="R82" s="187" t="inlineStr">
        <is>
          <t>儿童本人</t>
        </is>
      </c>
      <c r="S82" s="187" t="inlineStr">
        <is>
          <t>缺失</t>
        </is>
      </c>
      <c r="T82" s="187" t="inlineStr">
        <is>
          <t>学校人员</t>
        </is>
      </c>
      <c r="U82" s="187" t="inlineStr">
        <is>
          <t>学校</t>
        </is>
      </c>
      <c r="V82" s="187" t="inlineStr">
        <is>
          <t>只用视频</t>
        </is>
      </c>
      <c r="W82" s="186" t="inlineStr">
        <is>
          <t>Baseline vs VSM</t>
        </is>
      </c>
    </row>
    <row r="83" ht="44" customHeight="1" s="176">
      <c r="A83" s="186" t="inlineStr">
        <is>
          <t>K174</t>
        </is>
      </c>
      <c r="B83" s="186" t="inlineStr">
        <is>
          <t>026-二次</t>
        </is>
      </c>
      <c r="C83" s="186" t="inlineStr">
        <is>
          <t>Jonathan</t>
        </is>
      </c>
      <c r="D83" s="187" t="inlineStr">
        <is>
          <t>维持</t>
        </is>
      </c>
      <c r="E83" s="186" t="inlineStr">
        <is>
          <t>6岁以下</t>
        </is>
      </c>
      <c r="F83" s="187" t="inlineStr">
        <is>
          <t>男</t>
        </is>
      </c>
      <c r="G83" s="187" t="inlineStr">
        <is>
          <t>重度</t>
        </is>
      </c>
      <c r="H83" s="187" t="inlineStr">
        <is>
          <t>儿童本人</t>
        </is>
      </c>
      <c r="I83" s="187" t="inlineStr">
        <is>
          <t>单独实施</t>
        </is>
      </c>
      <c r="J83" s="187" t="inlineStr">
        <is>
          <t>电视</t>
        </is>
      </c>
      <c r="K83" s="186" t="inlineStr">
        <is>
          <t>10分钟及以下</t>
        </is>
      </c>
      <c r="L83" s="187" t="inlineStr">
        <is>
          <t>办公辅助空间</t>
        </is>
      </c>
      <c r="M83" s="187" t="inlineStr">
        <is>
          <t>学校人员</t>
        </is>
      </c>
      <c r="N83" s="189" t="inlineStr">
        <is>
          <t>视频设备依据：年份推定（原文播放终端未明确，按确认方案归组）</t>
        </is>
      </c>
      <c r="O83" s="186" t="inlineStr">
        <is>
          <t>4.00岁</t>
        </is>
      </c>
      <c r="P83" s="186" t="inlineStr">
        <is>
          <t>2–3分钟（干预只是看视频）</t>
        </is>
      </c>
      <c r="Q83" s="187" t="inlineStr">
        <is>
          <t>无</t>
        </is>
      </c>
      <c r="R83" s="187" t="inlineStr">
        <is>
          <t>儿童本人</t>
        </is>
      </c>
      <c r="S83" s="187" t="inlineStr">
        <is>
          <t>缺失</t>
        </is>
      </c>
      <c r="T83" s="187" t="inlineStr">
        <is>
          <t>学校人员</t>
        </is>
      </c>
      <c r="U83" s="187" t="inlineStr">
        <is>
          <t>学校</t>
        </is>
      </c>
      <c r="V83" s="187" t="inlineStr">
        <is>
          <t>只用视频</t>
        </is>
      </c>
      <c r="W83" s="186" t="inlineStr">
        <is>
          <t>Baseline vs Maintenance</t>
        </is>
      </c>
    </row>
    <row r="84" ht="15" customHeight="1" s="176">
      <c r="A84" s="186" t="inlineStr">
        <is>
          <t>K175</t>
        </is>
      </c>
      <c r="B84" s="186" t="inlineStr">
        <is>
          <t>027-二次</t>
        </is>
      </c>
      <c r="C84" s="186" t="inlineStr">
        <is>
          <t>Lucy</t>
        </is>
      </c>
      <c r="D84" s="187" t="inlineStr">
        <is>
          <t>干预</t>
        </is>
      </c>
      <c r="E84" s="186" t="inlineStr">
        <is>
          <t>6岁以下</t>
        </is>
      </c>
      <c r="F84" s="187" t="inlineStr">
        <is>
          <t>女</t>
        </is>
      </c>
      <c r="G84" s="187" t="inlineStr">
        <is>
          <t>轻中度</t>
        </is>
      </c>
      <c r="H84" s="187" t="inlineStr">
        <is>
          <t>儿童本人</t>
        </is>
      </c>
      <c r="I84" s="187" t="inlineStr">
        <is>
          <t>单独实施</t>
        </is>
      </c>
      <c r="J84" s="187" t="inlineStr">
        <is>
          <t>电脑</t>
        </is>
      </c>
      <c r="K84" s="186" t="inlineStr">
        <is>
          <t>10分钟及以下</t>
        </is>
      </c>
      <c r="L84" s="187" t="inlineStr">
        <is>
          <t>办公辅助空间</t>
        </is>
      </c>
      <c r="M84" s="187" t="inlineStr">
        <is>
          <t>研究人员</t>
        </is>
      </c>
      <c r="N84" s="187" t="inlineStr">
        <is>
          <t>干预地点回原文补齐</t>
        </is>
      </c>
      <c r="O84" s="186" t="inlineStr">
        <is>
          <t>4.17岁</t>
        </is>
      </c>
      <c r="P84" s="186" t="inlineStr">
        <is>
          <t>2.5–3.5分钟（干预只是看视频）</t>
        </is>
      </c>
      <c r="Q84" s="187" t="inlineStr">
        <is>
          <t>无</t>
        </is>
      </c>
      <c r="R84" s="187" t="inlineStr">
        <is>
          <t>儿童本人</t>
        </is>
      </c>
      <c r="S84" s="187" t="inlineStr">
        <is>
          <t>电脑</t>
        </is>
      </c>
      <c r="T84" s="187" t="inlineStr">
        <is>
          <t>研究人员</t>
        </is>
      </c>
      <c r="U84" s="187" t="inlineStr">
        <is>
          <t>缺失</t>
        </is>
      </c>
      <c r="V84" s="187" t="inlineStr">
        <is>
          <t>只用视频</t>
        </is>
      </c>
      <c r="W84" s="186" t="inlineStr">
        <is>
          <t>Baseline vs VSM</t>
        </is>
      </c>
    </row>
    <row r="85" ht="15" customHeight="1" s="176">
      <c r="A85" s="186" t="inlineStr">
        <is>
          <t>K176</t>
        </is>
      </c>
      <c r="B85" s="186" t="inlineStr">
        <is>
          <t>027-二次</t>
        </is>
      </c>
      <c r="C85" s="186" t="inlineStr">
        <is>
          <t>Lucy</t>
        </is>
      </c>
      <c r="D85" s="187" t="inlineStr">
        <is>
          <t>维持</t>
        </is>
      </c>
      <c r="E85" s="186" t="inlineStr">
        <is>
          <t>6岁以下</t>
        </is>
      </c>
      <c r="F85" s="187" t="inlineStr">
        <is>
          <t>女</t>
        </is>
      </c>
      <c r="G85" s="187" t="inlineStr">
        <is>
          <t>轻中度</t>
        </is>
      </c>
      <c r="H85" s="187" t="inlineStr">
        <is>
          <t>儿童本人</t>
        </is>
      </c>
      <c r="I85" s="187" t="inlineStr">
        <is>
          <t>单独实施</t>
        </is>
      </c>
      <c r="J85" s="187" t="inlineStr">
        <is>
          <t>电脑</t>
        </is>
      </c>
      <c r="K85" s="186" t="inlineStr">
        <is>
          <t>10分钟及以下</t>
        </is>
      </c>
      <c r="L85" s="187" t="inlineStr">
        <is>
          <t>办公辅助空间</t>
        </is>
      </c>
      <c r="M85" s="187" t="inlineStr">
        <is>
          <t>研究人员</t>
        </is>
      </c>
      <c r="N85" s="187" t="inlineStr">
        <is>
          <t>干预地点回原文补齐</t>
        </is>
      </c>
      <c r="O85" s="186" t="inlineStr">
        <is>
          <t>4.17岁</t>
        </is>
      </c>
      <c r="P85" s="186" t="inlineStr">
        <is>
          <t>2.5–3.5分钟（干预只是看视频）</t>
        </is>
      </c>
      <c r="Q85" s="187" t="inlineStr">
        <is>
          <t>无</t>
        </is>
      </c>
      <c r="R85" s="187" t="inlineStr">
        <is>
          <t>儿童本人</t>
        </is>
      </c>
      <c r="S85" s="187" t="inlineStr">
        <is>
          <t>电脑</t>
        </is>
      </c>
      <c r="T85" s="187" t="inlineStr">
        <is>
          <t>研究人员</t>
        </is>
      </c>
      <c r="U85" s="187" t="inlineStr">
        <is>
          <t>缺失</t>
        </is>
      </c>
      <c r="V85" s="187" t="inlineStr">
        <is>
          <t>只用视频</t>
        </is>
      </c>
      <c r="W85" s="186" t="inlineStr">
        <is>
          <t>Baseline vs Maintenance</t>
        </is>
      </c>
    </row>
    <row r="86" ht="15" customHeight="1" s="176">
      <c r="A86" s="186" t="inlineStr">
        <is>
          <t>K177</t>
        </is>
      </c>
      <c r="B86" s="186" t="inlineStr">
        <is>
          <t>027-二次</t>
        </is>
      </c>
      <c r="C86" s="186" t="inlineStr">
        <is>
          <t>Tim</t>
        </is>
      </c>
      <c r="D86" s="187" t="inlineStr">
        <is>
          <t>干预</t>
        </is>
      </c>
      <c r="E86" s="186" t="inlineStr">
        <is>
          <t>6岁以下</t>
        </is>
      </c>
      <c r="F86" s="187" t="inlineStr">
        <is>
          <t>男</t>
        </is>
      </c>
      <c r="G86" s="187" t="inlineStr">
        <is>
          <t>重度</t>
        </is>
      </c>
      <c r="H86" s="187" t="inlineStr">
        <is>
          <t>儿童本人</t>
        </is>
      </c>
      <c r="I86" s="187" t="inlineStr">
        <is>
          <t>单独实施</t>
        </is>
      </c>
      <c r="J86" s="187" t="inlineStr">
        <is>
          <t>电脑</t>
        </is>
      </c>
      <c r="K86" s="186" t="inlineStr">
        <is>
          <t>10分钟及以下</t>
        </is>
      </c>
      <c r="L86" s="187" t="inlineStr">
        <is>
          <t>办公辅助空间</t>
        </is>
      </c>
      <c r="M86" s="187" t="inlineStr">
        <is>
          <t>研究人员</t>
        </is>
      </c>
      <c r="N86" s="187" t="inlineStr">
        <is>
          <t>干预地点回原文补齐</t>
        </is>
      </c>
      <c r="O86" s="186" t="inlineStr">
        <is>
          <t>4.17岁</t>
        </is>
      </c>
      <c r="P86" s="186" t="inlineStr">
        <is>
          <t>2.5–3.5分钟（干预只是看视频）</t>
        </is>
      </c>
      <c r="Q86" s="187" t="inlineStr">
        <is>
          <t>无</t>
        </is>
      </c>
      <c r="R86" s="187" t="inlineStr">
        <is>
          <t>儿童本人</t>
        </is>
      </c>
      <c r="S86" s="187" t="inlineStr">
        <is>
          <t>电脑</t>
        </is>
      </c>
      <c r="T86" s="187" t="inlineStr">
        <is>
          <t>研究人员</t>
        </is>
      </c>
      <c r="U86" s="187" t="inlineStr">
        <is>
          <t>缺失</t>
        </is>
      </c>
      <c r="V86" s="187" t="inlineStr">
        <is>
          <t>只用视频</t>
        </is>
      </c>
      <c r="W86" s="186" t="inlineStr">
        <is>
          <t>Baseline vs VSM</t>
        </is>
      </c>
    </row>
    <row r="87" ht="15" customHeight="1" s="176">
      <c r="A87" s="186" t="inlineStr">
        <is>
          <t>K178</t>
        </is>
      </c>
      <c r="B87" s="186" t="inlineStr">
        <is>
          <t>027-二次</t>
        </is>
      </c>
      <c r="C87" s="186" t="inlineStr">
        <is>
          <t>Tim</t>
        </is>
      </c>
      <c r="D87" s="187" t="inlineStr">
        <is>
          <t>维持</t>
        </is>
      </c>
      <c r="E87" s="186" t="inlineStr">
        <is>
          <t>6岁以下</t>
        </is>
      </c>
      <c r="F87" s="187" t="inlineStr">
        <is>
          <t>男</t>
        </is>
      </c>
      <c r="G87" s="187" t="inlineStr">
        <is>
          <t>重度</t>
        </is>
      </c>
      <c r="H87" s="187" t="inlineStr">
        <is>
          <t>儿童本人</t>
        </is>
      </c>
      <c r="I87" s="187" t="inlineStr">
        <is>
          <t>单独实施</t>
        </is>
      </c>
      <c r="J87" s="187" t="inlineStr">
        <is>
          <t>电脑</t>
        </is>
      </c>
      <c r="K87" s="186" t="inlineStr">
        <is>
          <t>10分钟及以下</t>
        </is>
      </c>
      <c r="L87" s="187" t="inlineStr">
        <is>
          <t>办公辅助空间</t>
        </is>
      </c>
      <c r="M87" s="187" t="inlineStr">
        <is>
          <t>研究人员</t>
        </is>
      </c>
      <c r="N87" s="187" t="inlineStr">
        <is>
          <t>干预地点回原文补齐</t>
        </is>
      </c>
      <c r="O87" s="186" t="inlineStr">
        <is>
          <t>4.17岁</t>
        </is>
      </c>
      <c r="P87" s="186" t="inlineStr">
        <is>
          <t>2.5–3.5分钟（干预只是看视频）</t>
        </is>
      </c>
      <c r="Q87" s="187" t="inlineStr">
        <is>
          <t>无</t>
        </is>
      </c>
      <c r="R87" s="187" t="inlineStr">
        <is>
          <t>儿童本人</t>
        </is>
      </c>
      <c r="S87" s="187" t="inlineStr">
        <is>
          <t>电脑</t>
        </is>
      </c>
      <c r="T87" s="187" t="inlineStr">
        <is>
          <t>研究人员</t>
        </is>
      </c>
      <c r="U87" s="187" t="inlineStr">
        <is>
          <t>缺失</t>
        </is>
      </c>
      <c r="V87" s="187" t="inlineStr">
        <is>
          <t>只用视频</t>
        </is>
      </c>
      <c r="W87" s="186" t="inlineStr">
        <is>
          <t>Baseline vs Maintenance</t>
        </is>
      </c>
    </row>
    <row r="88" ht="15" customHeight="1" s="176">
      <c r="A88" s="186" t="inlineStr">
        <is>
          <t>K179</t>
        </is>
      </c>
      <c r="B88" s="186" t="inlineStr">
        <is>
          <t>027-二次</t>
        </is>
      </c>
      <c r="C88" s="186" t="inlineStr">
        <is>
          <t>John</t>
        </is>
      </c>
      <c r="D88" s="187" t="inlineStr">
        <is>
          <t>干预</t>
        </is>
      </c>
      <c r="E88" s="186" t="inlineStr">
        <is>
          <t>6岁以下</t>
        </is>
      </c>
      <c r="F88" s="187" t="inlineStr">
        <is>
          <t>男</t>
        </is>
      </c>
      <c r="G88" s="187" t="inlineStr">
        <is>
          <t>重度</t>
        </is>
      </c>
      <c r="H88" s="187" t="inlineStr">
        <is>
          <t>儿童本人</t>
        </is>
      </c>
      <c r="I88" s="187" t="inlineStr">
        <is>
          <t>单独实施</t>
        </is>
      </c>
      <c r="J88" s="187" t="inlineStr">
        <is>
          <t>电脑</t>
        </is>
      </c>
      <c r="K88" s="186" t="inlineStr">
        <is>
          <t>10分钟及以下</t>
        </is>
      </c>
      <c r="L88" s="187" t="inlineStr">
        <is>
          <t>办公辅助空间</t>
        </is>
      </c>
      <c r="M88" s="187" t="inlineStr">
        <is>
          <t>研究人员</t>
        </is>
      </c>
      <c r="N88" s="187" t="inlineStr">
        <is>
          <t>干预地点回原文补齐</t>
        </is>
      </c>
      <c r="O88" s="186" t="inlineStr">
        <is>
          <t>3.83岁</t>
        </is>
      </c>
      <c r="P88" s="186" t="inlineStr">
        <is>
          <t>2.5–3.5分钟（干预只是看视频）</t>
        </is>
      </c>
      <c r="Q88" s="187" t="inlineStr">
        <is>
          <t>无</t>
        </is>
      </c>
      <c r="R88" s="187" t="inlineStr">
        <is>
          <t>儿童本人</t>
        </is>
      </c>
      <c r="S88" s="187" t="inlineStr">
        <is>
          <t>电脑</t>
        </is>
      </c>
      <c r="T88" s="187" t="inlineStr">
        <is>
          <t>研究人员</t>
        </is>
      </c>
      <c r="U88" s="187" t="inlineStr">
        <is>
          <t>缺失</t>
        </is>
      </c>
      <c r="V88" s="187" t="inlineStr">
        <is>
          <t>只用视频</t>
        </is>
      </c>
      <c r="W88" s="186" t="inlineStr">
        <is>
          <t>Baseline vs VSM</t>
        </is>
      </c>
    </row>
    <row r="89" ht="15" customHeight="1" s="176">
      <c r="A89" s="186" t="inlineStr">
        <is>
          <t>K180</t>
        </is>
      </c>
      <c r="B89" s="186" t="inlineStr">
        <is>
          <t>027-二次</t>
        </is>
      </c>
      <c r="C89" s="186" t="inlineStr">
        <is>
          <t>John</t>
        </is>
      </c>
      <c r="D89" s="187" t="inlineStr">
        <is>
          <t>维持</t>
        </is>
      </c>
      <c r="E89" s="186" t="inlineStr">
        <is>
          <t>6岁以下</t>
        </is>
      </c>
      <c r="F89" s="187" t="inlineStr">
        <is>
          <t>男</t>
        </is>
      </c>
      <c r="G89" s="187" t="inlineStr">
        <is>
          <t>重度</t>
        </is>
      </c>
      <c r="H89" s="187" t="inlineStr">
        <is>
          <t>儿童本人</t>
        </is>
      </c>
      <c r="I89" s="187" t="inlineStr">
        <is>
          <t>单独实施</t>
        </is>
      </c>
      <c r="J89" s="187" t="inlineStr">
        <is>
          <t>电脑</t>
        </is>
      </c>
      <c r="K89" s="186" t="inlineStr">
        <is>
          <t>10分钟及以下</t>
        </is>
      </c>
      <c r="L89" s="187" t="inlineStr">
        <is>
          <t>办公辅助空间</t>
        </is>
      </c>
      <c r="M89" s="187" t="inlineStr">
        <is>
          <t>研究人员</t>
        </is>
      </c>
      <c r="N89" s="187" t="inlineStr">
        <is>
          <t>干预地点回原文补齐</t>
        </is>
      </c>
      <c r="O89" s="186" t="inlineStr">
        <is>
          <t>3.83岁</t>
        </is>
      </c>
      <c r="P89" s="186" t="inlineStr">
        <is>
          <t>2.5–3.5分钟（干预只是看视频）</t>
        </is>
      </c>
      <c r="Q89" s="187" t="inlineStr">
        <is>
          <t>无</t>
        </is>
      </c>
      <c r="R89" s="187" t="inlineStr">
        <is>
          <t>儿童本人</t>
        </is>
      </c>
      <c r="S89" s="187" t="inlineStr">
        <is>
          <t>电脑</t>
        </is>
      </c>
      <c r="T89" s="187" t="inlineStr">
        <is>
          <t>研究人员</t>
        </is>
      </c>
      <c r="U89" s="187" t="inlineStr">
        <is>
          <t>缺失</t>
        </is>
      </c>
      <c r="V89" s="187" t="inlineStr">
        <is>
          <t>只用视频</t>
        </is>
      </c>
      <c r="W89" s="186" t="inlineStr">
        <is>
          <t>Baseline vs Maintenance</t>
        </is>
      </c>
    </row>
    <row r="90" ht="15" customHeight="1" s="176">
      <c r="A90" s="186" t="inlineStr">
        <is>
          <t>K181</t>
        </is>
      </c>
      <c r="B90" s="186" t="inlineStr">
        <is>
          <t>027-二次</t>
        </is>
      </c>
      <c r="C90" s="186" t="inlineStr">
        <is>
          <t>Helen</t>
        </is>
      </c>
      <c r="D90" s="187" t="inlineStr">
        <is>
          <t>干预</t>
        </is>
      </c>
      <c r="E90" s="186" t="inlineStr">
        <is>
          <t>6岁以下</t>
        </is>
      </c>
      <c r="F90" s="187" t="inlineStr">
        <is>
          <t>女</t>
        </is>
      </c>
      <c r="G90" s="187" t="inlineStr">
        <is>
          <t>重度</t>
        </is>
      </c>
      <c r="H90" s="187" t="inlineStr">
        <is>
          <t>儿童本人</t>
        </is>
      </c>
      <c r="I90" s="187" t="inlineStr">
        <is>
          <t>单独实施</t>
        </is>
      </c>
      <c r="J90" s="187" t="inlineStr">
        <is>
          <t>电脑</t>
        </is>
      </c>
      <c r="K90" s="186" t="inlineStr">
        <is>
          <t>10分钟及以下</t>
        </is>
      </c>
      <c r="L90" s="187" t="inlineStr">
        <is>
          <t>办公辅助空间</t>
        </is>
      </c>
      <c r="M90" s="187" t="inlineStr">
        <is>
          <t>研究人员</t>
        </is>
      </c>
      <c r="N90" s="187" t="inlineStr">
        <is>
          <t>干预地点回原文补齐</t>
        </is>
      </c>
      <c r="O90" s="186" t="inlineStr">
        <is>
          <t>4.17岁</t>
        </is>
      </c>
      <c r="P90" s="186" t="inlineStr">
        <is>
          <t>2.5–3.5分钟（干预只是看视频）</t>
        </is>
      </c>
      <c r="Q90" s="187" t="inlineStr">
        <is>
          <t>无</t>
        </is>
      </c>
      <c r="R90" s="187" t="inlineStr">
        <is>
          <t>儿童本人</t>
        </is>
      </c>
      <c r="S90" s="187" t="inlineStr">
        <is>
          <t>电脑</t>
        </is>
      </c>
      <c r="T90" s="187" t="inlineStr">
        <is>
          <t>研究人员</t>
        </is>
      </c>
      <c r="U90" s="187" t="inlineStr">
        <is>
          <t>缺失</t>
        </is>
      </c>
      <c r="V90" s="187" t="inlineStr">
        <is>
          <t>只用视频</t>
        </is>
      </c>
      <c r="W90" s="186" t="inlineStr">
        <is>
          <t>Baseline vs VSM</t>
        </is>
      </c>
    </row>
    <row r="91" ht="15" customHeight="1" s="176">
      <c r="A91" s="186" t="inlineStr">
        <is>
          <t>K182</t>
        </is>
      </c>
      <c r="B91" s="186" t="inlineStr">
        <is>
          <t>027-二次</t>
        </is>
      </c>
      <c r="C91" s="186" t="inlineStr">
        <is>
          <t>Helen</t>
        </is>
      </c>
      <c r="D91" s="187" t="inlineStr">
        <is>
          <t>维持</t>
        </is>
      </c>
      <c r="E91" s="186" t="inlineStr">
        <is>
          <t>6岁以下</t>
        </is>
      </c>
      <c r="F91" s="187" t="inlineStr">
        <is>
          <t>女</t>
        </is>
      </c>
      <c r="G91" s="187" t="inlineStr">
        <is>
          <t>重度</t>
        </is>
      </c>
      <c r="H91" s="187" t="inlineStr">
        <is>
          <t>儿童本人</t>
        </is>
      </c>
      <c r="I91" s="187" t="inlineStr">
        <is>
          <t>单独实施</t>
        </is>
      </c>
      <c r="J91" s="187" t="inlineStr">
        <is>
          <t>电脑</t>
        </is>
      </c>
      <c r="K91" s="186" t="inlineStr">
        <is>
          <t>10分钟及以下</t>
        </is>
      </c>
      <c r="L91" s="187" t="inlineStr">
        <is>
          <t>办公辅助空间</t>
        </is>
      </c>
      <c r="M91" s="187" t="inlineStr">
        <is>
          <t>研究人员</t>
        </is>
      </c>
      <c r="N91" s="187" t="inlineStr">
        <is>
          <t>干预地点回原文补齐</t>
        </is>
      </c>
      <c r="O91" s="186" t="inlineStr">
        <is>
          <t>4.17岁</t>
        </is>
      </c>
      <c r="P91" s="186" t="inlineStr">
        <is>
          <t>2.5–3.5分钟（干预只是看视频）</t>
        </is>
      </c>
      <c r="Q91" s="187" t="inlineStr">
        <is>
          <t>无</t>
        </is>
      </c>
      <c r="R91" s="187" t="inlineStr">
        <is>
          <t>儿童本人</t>
        </is>
      </c>
      <c r="S91" s="187" t="inlineStr">
        <is>
          <t>电脑</t>
        </is>
      </c>
      <c r="T91" s="187" t="inlineStr">
        <is>
          <t>研究人员</t>
        </is>
      </c>
      <c r="U91" s="187" t="inlineStr">
        <is>
          <t>缺失</t>
        </is>
      </c>
      <c r="V91" s="187" t="inlineStr">
        <is>
          <t>只用视频</t>
        </is>
      </c>
      <c r="W91" s="186" t="inlineStr">
        <is>
          <t>Baseline vs Maintenance</t>
        </is>
      </c>
    </row>
    <row r="92" ht="15" customHeight="1" s="176">
      <c r="A92" s="186" t="inlineStr">
        <is>
          <t>K183</t>
        </is>
      </c>
      <c r="B92" s="186" t="inlineStr">
        <is>
          <t>029-二次</t>
        </is>
      </c>
      <c r="C92" s="186" t="inlineStr">
        <is>
          <t>Jerry</t>
        </is>
      </c>
      <c r="D92" s="187" t="inlineStr">
        <is>
          <t>干预</t>
        </is>
      </c>
      <c r="E92" s="186" t="inlineStr">
        <is>
          <t>6岁以下</t>
        </is>
      </c>
      <c r="F92" s="187" t="inlineStr">
        <is>
          <t>男</t>
        </is>
      </c>
      <c r="G92" s="188" t="inlineStr">
        <is>
          <t>不纳入该变量（原文未报告）</t>
        </is>
      </c>
      <c r="H92" s="187" t="inlineStr">
        <is>
          <t>儿童本人</t>
        </is>
      </c>
      <c r="I92" s="187" t="inlineStr">
        <is>
          <t>单独实施</t>
        </is>
      </c>
      <c r="J92" s="187" t="inlineStr">
        <is>
          <t>电视</t>
        </is>
      </c>
      <c r="K92" s="186" t="inlineStr">
        <is>
          <t>10分钟及以下</t>
        </is>
      </c>
      <c r="L92" s="187" t="inlineStr">
        <is>
          <t>办公辅助空间</t>
        </is>
      </c>
      <c r="M92" s="187" t="inlineStr">
        <is>
          <t>研究人员</t>
        </is>
      </c>
      <c r="N92" s="186" t="n"/>
      <c r="O92" s="187" t="inlineStr">
        <is>
          <t>原文只报样本4–7岁，按范围中点5.5岁归组</t>
        </is>
      </c>
      <c r="P92" s="186" t="inlineStr">
        <is>
          <t>6–7.5分钟（干预只是看视频）</t>
        </is>
      </c>
      <c r="Q92" s="187" t="inlineStr">
        <is>
          <t>无</t>
        </is>
      </c>
      <c r="R92" s="187" t="inlineStr">
        <is>
          <t>儿童本人</t>
        </is>
      </c>
      <c r="S92" s="187" t="inlineStr">
        <is>
          <t>电视</t>
        </is>
      </c>
      <c r="T92" s="187" t="inlineStr">
        <is>
          <t>研究人员</t>
        </is>
      </c>
      <c r="U92" s="187" t="inlineStr">
        <is>
          <t>学校</t>
        </is>
      </c>
      <c r="V92" s="187" t="inlineStr">
        <is>
          <t>只用视频</t>
        </is>
      </c>
      <c r="W92" s="186" t="inlineStr">
        <is>
          <t>Baseline vs VSM</t>
        </is>
      </c>
    </row>
    <row r="93" ht="15" customHeight="1" s="176">
      <c r="A93" s="186" t="inlineStr">
        <is>
          <t>K184</t>
        </is>
      </c>
      <c r="B93" s="186" t="inlineStr">
        <is>
          <t>029-二次</t>
        </is>
      </c>
      <c r="C93" s="186" t="inlineStr">
        <is>
          <t>Bob</t>
        </is>
      </c>
      <c r="D93" s="187" t="inlineStr">
        <is>
          <t>干预</t>
        </is>
      </c>
      <c r="E93" s="186" t="inlineStr">
        <is>
          <t>6岁以下</t>
        </is>
      </c>
      <c r="F93" s="187" t="inlineStr">
        <is>
          <t>男</t>
        </is>
      </c>
      <c r="G93" s="188" t="inlineStr">
        <is>
          <t>不纳入该变量（原文未报告）</t>
        </is>
      </c>
      <c r="H93" s="187" t="inlineStr">
        <is>
          <t>儿童本人</t>
        </is>
      </c>
      <c r="I93" s="187" t="inlineStr">
        <is>
          <t>单独实施</t>
        </is>
      </c>
      <c r="J93" s="187" t="inlineStr">
        <is>
          <t>电视</t>
        </is>
      </c>
      <c r="K93" s="186" t="inlineStr">
        <is>
          <t>10分钟及以下</t>
        </is>
      </c>
      <c r="L93" s="187" t="inlineStr">
        <is>
          <t>办公辅助空间</t>
        </is>
      </c>
      <c r="M93" s="187" t="inlineStr">
        <is>
          <t>研究人员</t>
        </is>
      </c>
      <c r="N93" s="186" t="n"/>
      <c r="O93" s="187" t="inlineStr">
        <is>
          <t>原文只报样本4–7岁，按范围中点5.5岁归组</t>
        </is>
      </c>
      <c r="P93" s="186" t="inlineStr">
        <is>
          <t>6–7.5分钟（干预只是看视频）</t>
        </is>
      </c>
      <c r="Q93" s="187" t="inlineStr">
        <is>
          <t>无</t>
        </is>
      </c>
      <c r="R93" s="187" t="inlineStr">
        <is>
          <t>儿童本人</t>
        </is>
      </c>
      <c r="S93" s="187" t="inlineStr">
        <is>
          <t>电视</t>
        </is>
      </c>
      <c r="T93" s="187" t="inlineStr">
        <is>
          <t>研究人员</t>
        </is>
      </c>
      <c r="U93" s="187" t="inlineStr">
        <is>
          <t>学校</t>
        </is>
      </c>
      <c r="V93" s="187" t="inlineStr">
        <is>
          <t>只用视频</t>
        </is>
      </c>
      <c r="W93" s="186" t="inlineStr">
        <is>
          <t>Baseline vs VSM</t>
        </is>
      </c>
    </row>
    <row r="94" ht="15" customHeight="1" s="176">
      <c r="A94" s="186" t="inlineStr">
        <is>
          <t>K185</t>
        </is>
      </c>
      <c r="B94" s="186" t="inlineStr">
        <is>
          <t>029-二次</t>
        </is>
      </c>
      <c r="C94" s="186" t="inlineStr">
        <is>
          <t>Phil</t>
        </is>
      </c>
      <c r="D94" s="187" t="inlineStr">
        <is>
          <t>干预</t>
        </is>
      </c>
      <c r="E94" s="186" t="inlineStr">
        <is>
          <t>6岁以下</t>
        </is>
      </c>
      <c r="F94" s="188" t="inlineStr">
        <is>
          <t>不纳入该变量（原文未报告）</t>
        </is>
      </c>
      <c r="G94" s="188" t="inlineStr">
        <is>
          <t>不纳入该变量（原文未报告）</t>
        </is>
      </c>
      <c r="H94" s="187" t="inlineStr">
        <is>
          <t>儿童本人</t>
        </is>
      </c>
      <c r="I94" s="187" t="inlineStr">
        <is>
          <t>单独实施</t>
        </is>
      </c>
      <c r="J94" s="187" t="inlineStr">
        <is>
          <t>电视</t>
        </is>
      </c>
      <c r="K94" s="186" t="inlineStr">
        <is>
          <t>10分钟及以下</t>
        </is>
      </c>
      <c r="L94" s="187" t="inlineStr">
        <is>
          <t>办公辅助空间</t>
        </is>
      </c>
      <c r="M94" s="187" t="inlineStr">
        <is>
          <t>研究人员</t>
        </is>
      </c>
      <c r="N94" s="186" t="n"/>
      <c r="O94" s="187" t="inlineStr">
        <is>
          <t>原文只报样本4–7岁，按范围中点5.5岁归组</t>
        </is>
      </c>
      <c r="P94" s="186" t="inlineStr">
        <is>
          <t>6–7.5分钟（干预只是看视频）</t>
        </is>
      </c>
      <c r="Q94" s="187" t="inlineStr">
        <is>
          <t>无</t>
        </is>
      </c>
      <c r="R94" s="187" t="inlineStr">
        <is>
          <t>儿童本人</t>
        </is>
      </c>
      <c r="S94" s="187" t="inlineStr">
        <is>
          <t>电视</t>
        </is>
      </c>
      <c r="T94" s="187" t="inlineStr">
        <is>
          <t>研究人员</t>
        </is>
      </c>
      <c r="U94" s="187" t="inlineStr">
        <is>
          <t>学校</t>
        </is>
      </c>
      <c r="V94" s="187" t="inlineStr">
        <is>
          <t>只用视频</t>
        </is>
      </c>
      <c r="W94" s="186" t="inlineStr">
        <is>
          <t>Baseline vs VSM</t>
        </is>
      </c>
    </row>
    <row r="95" ht="15" customHeight="1" s="176">
      <c r="A95" s="186" t="inlineStr">
        <is>
          <t>K186</t>
        </is>
      </c>
      <c r="B95" s="186" t="inlineStr">
        <is>
          <t>030-滚雪球</t>
        </is>
      </c>
      <c r="C95" s="186" t="inlineStr">
        <is>
          <t>Cameron</t>
        </is>
      </c>
      <c r="D95" s="187" t="inlineStr">
        <is>
          <t>干预</t>
        </is>
      </c>
      <c r="E95" s="186" t="inlineStr">
        <is>
          <t>9–12岁</t>
        </is>
      </c>
      <c r="F95" s="187" t="inlineStr">
        <is>
          <t>男</t>
        </is>
      </c>
      <c r="G95" s="188" t="inlineStr">
        <is>
          <t>不纳入该变量（原文未报告）</t>
        </is>
      </c>
      <c r="H95" s="187" t="inlineStr">
        <is>
          <t>同伴儿童+动画角色</t>
        </is>
      </c>
      <c r="I95" s="187" t="inlineStr">
        <is>
          <t>嵌入综合干预方案</t>
        </is>
      </c>
      <c r="J95" s="187" t="inlineStr">
        <is>
          <t>电视</t>
        </is>
      </c>
      <c r="K95" s="186" t="inlineStr">
        <is>
          <t>60分钟以上</t>
        </is>
      </c>
      <c r="L95" s="187" t="inlineStr">
        <is>
          <t>专用训练空间</t>
        </is>
      </c>
      <c r="M95" s="187" t="inlineStr">
        <is>
          <t>研究人员</t>
        </is>
      </c>
      <c r="N95" s="187" t="inlineStr">
        <is>
          <t>呈现媒介：按儿童观看的电视屏幕归类</t>
        </is>
      </c>
      <c r="O95" s="186" t="inlineStr">
        <is>
          <t>10.58岁</t>
        </is>
      </c>
      <c r="P95" s="187" t="inlineStr">
        <is>
          <t>每次1.5–2小时</t>
        </is>
      </c>
      <c r="Q95" s="187" t="inlineStr">
        <is>
          <t>讲解、演练、现场示范、反馈、强化、自我监控</t>
        </is>
      </c>
      <c r="R95" s="187" t="inlineStr">
        <is>
          <t>同伴儿童 + 动画角色</t>
        </is>
      </c>
      <c r="S95" s="187" t="inlineStr">
        <is>
          <t>电脑＋电视</t>
        </is>
      </c>
      <c r="T95" s="187" t="inlineStr">
        <is>
          <t>研究人员</t>
        </is>
      </c>
      <c r="U95" s="187" t="inlineStr">
        <is>
          <t>学校</t>
        </is>
      </c>
      <c r="V95" s="187" t="inlineStr">
        <is>
          <t>加3种及以上</t>
        </is>
      </c>
      <c r="W95" s="186" t="inlineStr">
        <is>
          <t>Baseline vs Intervention</t>
        </is>
      </c>
    </row>
    <row r="96" ht="15" customHeight="1" s="176">
      <c r="A96" s="186" t="inlineStr">
        <is>
          <t>K187</t>
        </is>
      </c>
      <c r="B96" s="186" t="inlineStr">
        <is>
          <t>030-滚雪球</t>
        </is>
      </c>
      <c r="C96" s="186" t="inlineStr">
        <is>
          <t>Cameron</t>
        </is>
      </c>
      <c r="D96" s="187" t="inlineStr">
        <is>
          <t>维持</t>
        </is>
      </c>
      <c r="E96" s="186" t="inlineStr">
        <is>
          <t>9–12岁</t>
        </is>
      </c>
      <c r="F96" s="187" t="inlineStr">
        <is>
          <t>男</t>
        </is>
      </c>
      <c r="G96" s="188" t="inlineStr">
        <is>
          <t>不纳入该变量（原文未报告）</t>
        </is>
      </c>
      <c r="H96" s="187" t="inlineStr">
        <is>
          <t>同伴儿童+动画角色</t>
        </is>
      </c>
      <c r="I96" s="187" t="inlineStr">
        <is>
          <t>嵌入综合干预方案</t>
        </is>
      </c>
      <c r="J96" s="187" t="inlineStr">
        <is>
          <t>电视</t>
        </is>
      </c>
      <c r="K96" s="186" t="inlineStr">
        <is>
          <t>60分钟以上</t>
        </is>
      </c>
      <c r="L96" s="187" t="inlineStr">
        <is>
          <t>专用训练空间</t>
        </is>
      </c>
      <c r="M96" s="187" t="inlineStr">
        <is>
          <t>研究人员</t>
        </is>
      </c>
      <c r="N96" s="187" t="inlineStr">
        <is>
          <t>呈现媒介：按儿童观看的电视屏幕归类</t>
        </is>
      </c>
      <c r="O96" s="186" t="inlineStr">
        <is>
          <t>10.58岁</t>
        </is>
      </c>
      <c r="P96" s="187" t="inlineStr">
        <is>
          <t>每次1.5–2小时</t>
        </is>
      </c>
      <c r="Q96" s="187" t="inlineStr">
        <is>
          <t>讲解、演练、现场示范、反馈、强化、自我监控</t>
        </is>
      </c>
      <c r="R96" s="187" t="inlineStr">
        <is>
          <t>同伴儿童 + 动画角色</t>
        </is>
      </c>
      <c r="S96" s="187" t="inlineStr">
        <is>
          <t>电脑＋电视</t>
        </is>
      </c>
      <c r="T96" s="187" t="inlineStr">
        <is>
          <t>研究人员</t>
        </is>
      </c>
      <c r="U96" s="187" t="inlineStr">
        <is>
          <t>学校</t>
        </is>
      </c>
      <c r="V96" s="187" t="inlineStr">
        <is>
          <t>加3种及以上</t>
        </is>
      </c>
      <c r="W96" s="186" t="inlineStr">
        <is>
          <t>Baseline vs Maintenance（训练情境）</t>
        </is>
      </c>
    </row>
    <row r="97" ht="15" customHeight="1" s="176">
      <c r="A97" s="186" t="inlineStr">
        <is>
          <t>K188</t>
        </is>
      </c>
      <c r="B97" s="186" t="inlineStr">
        <is>
          <t>030-滚雪球</t>
        </is>
      </c>
      <c r="C97" s="186" t="inlineStr">
        <is>
          <t>Cameron</t>
        </is>
      </c>
      <c r="D97" s="187" t="inlineStr">
        <is>
          <t>干预</t>
        </is>
      </c>
      <c r="E97" s="186" t="inlineStr">
        <is>
          <t>9–12岁</t>
        </is>
      </c>
      <c r="F97" s="187" t="inlineStr">
        <is>
          <t>男</t>
        </is>
      </c>
      <c r="G97" s="188" t="inlineStr">
        <is>
          <t>不纳入该变量（原文未报告）</t>
        </is>
      </c>
      <c r="H97" s="187" t="inlineStr">
        <is>
          <t>同伴儿童+动画角色</t>
        </is>
      </c>
      <c r="I97" s="187" t="inlineStr">
        <is>
          <t>嵌入综合干预方案</t>
        </is>
      </c>
      <c r="J97" s="187" t="inlineStr">
        <is>
          <t>电视</t>
        </is>
      </c>
      <c r="K97" s="186" t="inlineStr">
        <is>
          <t>60分钟以上</t>
        </is>
      </c>
      <c r="L97" s="187" t="inlineStr">
        <is>
          <t>专用训练空间</t>
        </is>
      </c>
      <c r="M97" s="187" t="inlineStr">
        <is>
          <t>研究人员</t>
        </is>
      </c>
      <c r="N97" s="187" t="inlineStr">
        <is>
          <t>呈现媒介：按儿童观看的电视屏幕归类</t>
        </is>
      </c>
      <c r="O97" s="186" t="inlineStr">
        <is>
          <t>10.58岁</t>
        </is>
      </c>
      <c r="P97" s="187" t="inlineStr">
        <is>
          <t>每次1.5–2小时</t>
        </is>
      </c>
      <c r="Q97" s="187" t="inlineStr">
        <is>
          <t>讲解、演练、现场示范、反馈、强化、自我监控</t>
        </is>
      </c>
      <c r="R97" s="187" t="inlineStr">
        <is>
          <t>同伴儿童 + 动画角色</t>
        </is>
      </c>
      <c r="S97" s="187" t="inlineStr">
        <is>
          <t>电脑＋电视</t>
        </is>
      </c>
      <c r="T97" s="187" t="inlineStr">
        <is>
          <t>研究人员</t>
        </is>
      </c>
      <c r="U97" s="187" t="inlineStr">
        <is>
          <t>学校</t>
        </is>
      </c>
      <c r="V97" s="187" t="inlineStr">
        <is>
          <t>加3种及以上</t>
        </is>
      </c>
      <c r="W97" s="186" t="inlineStr">
        <is>
          <t>Baseline vs Intervention</t>
        </is>
      </c>
    </row>
    <row r="98" ht="15" customHeight="1" s="176">
      <c r="A98" s="186" t="inlineStr">
        <is>
          <t>K189</t>
        </is>
      </c>
      <c r="B98" s="186" t="inlineStr">
        <is>
          <t>030-滚雪球</t>
        </is>
      </c>
      <c r="C98" s="186" t="inlineStr">
        <is>
          <t>Cameron</t>
        </is>
      </c>
      <c r="D98" s="187" t="inlineStr">
        <is>
          <t>维持</t>
        </is>
      </c>
      <c r="E98" s="186" t="inlineStr">
        <is>
          <t>9–12岁</t>
        </is>
      </c>
      <c r="F98" s="187" t="inlineStr">
        <is>
          <t>男</t>
        </is>
      </c>
      <c r="G98" s="188" t="inlineStr">
        <is>
          <t>不纳入该变量（原文未报告）</t>
        </is>
      </c>
      <c r="H98" s="187" t="inlineStr">
        <is>
          <t>同伴儿童+动画角色</t>
        </is>
      </c>
      <c r="I98" s="187" t="inlineStr">
        <is>
          <t>嵌入综合干预方案</t>
        </is>
      </c>
      <c r="J98" s="187" t="inlineStr">
        <is>
          <t>电视</t>
        </is>
      </c>
      <c r="K98" s="186" t="inlineStr">
        <is>
          <t>60分钟以上</t>
        </is>
      </c>
      <c r="L98" s="187" t="inlineStr">
        <is>
          <t>专用训练空间</t>
        </is>
      </c>
      <c r="M98" s="187" t="inlineStr">
        <is>
          <t>研究人员</t>
        </is>
      </c>
      <c r="N98" s="187" t="inlineStr">
        <is>
          <t>呈现媒介：按儿童观看的电视屏幕归类</t>
        </is>
      </c>
      <c r="O98" s="186" t="inlineStr">
        <is>
          <t>10.58岁</t>
        </is>
      </c>
      <c r="P98" s="187" t="inlineStr">
        <is>
          <t>每次1.5–2小时</t>
        </is>
      </c>
      <c r="Q98" s="187" t="inlineStr">
        <is>
          <t>讲解、演练、现场示范、反馈、强化、自我监控</t>
        </is>
      </c>
      <c r="R98" s="187" t="inlineStr">
        <is>
          <t>同伴儿童 + 动画角色</t>
        </is>
      </c>
      <c r="S98" s="187" t="inlineStr">
        <is>
          <t>电脑＋电视</t>
        </is>
      </c>
      <c r="T98" s="187" t="inlineStr">
        <is>
          <t>研究人员</t>
        </is>
      </c>
      <c r="U98" s="187" t="inlineStr">
        <is>
          <t>学校</t>
        </is>
      </c>
      <c r="V98" s="187" t="inlineStr">
        <is>
          <t>加3种及以上</t>
        </is>
      </c>
      <c r="W98" s="186" t="inlineStr">
        <is>
          <t>Baseline vs Maintenance（训练情境）</t>
        </is>
      </c>
    </row>
    <row r="99" ht="15" customHeight="1" s="176">
      <c r="A99" s="186" t="inlineStr">
        <is>
          <t>K190</t>
        </is>
      </c>
      <c r="B99" s="186" t="inlineStr">
        <is>
          <t>030-滚雪球</t>
        </is>
      </c>
      <c r="C99" s="186" t="inlineStr">
        <is>
          <t>Cameron</t>
        </is>
      </c>
      <c r="D99" s="187" t="inlineStr">
        <is>
          <t>干预</t>
        </is>
      </c>
      <c r="E99" s="186" t="inlineStr">
        <is>
          <t>9–12岁</t>
        </is>
      </c>
      <c r="F99" s="187" t="inlineStr">
        <is>
          <t>男</t>
        </is>
      </c>
      <c r="G99" s="188" t="inlineStr">
        <is>
          <t>不纳入该变量（原文未报告）</t>
        </is>
      </c>
      <c r="H99" s="187" t="inlineStr">
        <is>
          <t>同伴儿童+动画角色</t>
        </is>
      </c>
      <c r="I99" s="187" t="inlineStr">
        <is>
          <t>嵌入综合干预方案</t>
        </is>
      </c>
      <c r="J99" s="187" t="inlineStr">
        <is>
          <t>电视</t>
        </is>
      </c>
      <c r="K99" s="186" t="inlineStr">
        <is>
          <t>60分钟以上</t>
        </is>
      </c>
      <c r="L99" s="187" t="inlineStr">
        <is>
          <t>专用训练空间</t>
        </is>
      </c>
      <c r="M99" s="187" t="inlineStr">
        <is>
          <t>研究人员</t>
        </is>
      </c>
      <c r="N99" s="187" t="inlineStr">
        <is>
          <t>呈现媒介：按儿童观看的电视屏幕归类</t>
        </is>
      </c>
      <c r="O99" s="186" t="inlineStr">
        <is>
          <t>10.58岁</t>
        </is>
      </c>
      <c r="P99" s="187" t="inlineStr">
        <is>
          <t>每次1.5–2小时</t>
        </is>
      </c>
      <c r="Q99" s="187" t="inlineStr">
        <is>
          <t>讲解、演练、现场示范、反馈、强化、自我监控</t>
        </is>
      </c>
      <c r="R99" s="187" t="inlineStr">
        <is>
          <t>同伴儿童 + 动画角色</t>
        </is>
      </c>
      <c r="S99" s="187" t="inlineStr">
        <is>
          <t>电脑＋电视</t>
        </is>
      </c>
      <c r="T99" s="187" t="inlineStr">
        <is>
          <t>研究人员</t>
        </is>
      </c>
      <c r="U99" s="187" t="inlineStr">
        <is>
          <t>学校</t>
        </is>
      </c>
      <c r="V99" s="187" t="inlineStr">
        <is>
          <t>加3种及以上</t>
        </is>
      </c>
      <c r="W99" s="186" t="inlineStr">
        <is>
          <t>Baseline vs Intervention</t>
        </is>
      </c>
    </row>
    <row r="100" ht="15" customHeight="1" s="176">
      <c r="A100" s="186" t="inlineStr">
        <is>
          <t>K191</t>
        </is>
      </c>
      <c r="B100" s="186" t="inlineStr">
        <is>
          <t>030-滚雪球</t>
        </is>
      </c>
      <c r="C100" s="186" t="inlineStr">
        <is>
          <t>Cameron</t>
        </is>
      </c>
      <c r="D100" s="187" t="inlineStr">
        <is>
          <t>维持</t>
        </is>
      </c>
      <c r="E100" s="186" t="inlineStr">
        <is>
          <t>9–12岁</t>
        </is>
      </c>
      <c r="F100" s="187" t="inlineStr">
        <is>
          <t>男</t>
        </is>
      </c>
      <c r="G100" s="188" t="inlineStr">
        <is>
          <t>不纳入该变量（原文未报告）</t>
        </is>
      </c>
      <c r="H100" s="187" t="inlineStr">
        <is>
          <t>同伴儿童+动画角色</t>
        </is>
      </c>
      <c r="I100" s="187" t="inlineStr">
        <is>
          <t>嵌入综合干预方案</t>
        </is>
      </c>
      <c r="J100" s="187" t="inlineStr">
        <is>
          <t>电视</t>
        </is>
      </c>
      <c r="K100" s="186" t="inlineStr">
        <is>
          <t>60分钟以上</t>
        </is>
      </c>
      <c r="L100" s="187" t="inlineStr">
        <is>
          <t>专用训练空间</t>
        </is>
      </c>
      <c r="M100" s="187" t="inlineStr">
        <is>
          <t>研究人员</t>
        </is>
      </c>
      <c r="N100" s="187" t="inlineStr">
        <is>
          <t>呈现媒介：按儿童观看的电视屏幕归类</t>
        </is>
      </c>
      <c r="O100" s="186" t="inlineStr">
        <is>
          <t>10.58岁</t>
        </is>
      </c>
      <c r="P100" s="187" t="inlineStr">
        <is>
          <t>每次1.5–2小时</t>
        </is>
      </c>
      <c r="Q100" s="187" t="inlineStr">
        <is>
          <t>讲解、演练、现场示范、反馈、强化、自我监控</t>
        </is>
      </c>
      <c r="R100" s="187" t="inlineStr">
        <is>
          <t>同伴儿童 + 动画角色</t>
        </is>
      </c>
      <c r="S100" s="187" t="inlineStr">
        <is>
          <t>电脑＋电视</t>
        </is>
      </c>
      <c r="T100" s="187" t="inlineStr">
        <is>
          <t>研究人员</t>
        </is>
      </c>
      <c r="U100" s="187" t="inlineStr">
        <is>
          <t>学校</t>
        </is>
      </c>
      <c r="V100" s="187" t="inlineStr">
        <is>
          <t>加3种及以上</t>
        </is>
      </c>
      <c r="W100" s="186" t="inlineStr">
        <is>
          <t>Baseline vs Maintenance（训练情境）</t>
        </is>
      </c>
    </row>
    <row r="101" ht="15" customHeight="1" s="176">
      <c r="A101" s="186" t="inlineStr">
        <is>
          <t>K192</t>
        </is>
      </c>
      <c r="B101" s="186" t="inlineStr">
        <is>
          <t>030-滚雪球</t>
        </is>
      </c>
      <c r="C101" s="186" t="inlineStr">
        <is>
          <t>Cameron</t>
        </is>
      </c>
      <c r="D101" s="187" t="inlineStr">
        <is>
          <t>干预</t>
        </is>
      </c>
      <c r="E101" s="186" t="inlineStr">
        <is>
          <t>9–12岁</t>
        </is>
      </c>
      <c r="F101" s="187" t="inlineStr">
        <is>
          <t>男</t>
        </is>
      </c>
      <c r="G101" s="188" t="inlineStr">
        <is>
          <t>不纳入该变量（原文未报告）</t>
        </is>
      </c>
      <c r="H101" s="187" t="inlineStr">
        <is>
          <t>同伴儿童+动画角色</t>
        </is>
      </c>
      <c r="I101" s="187" t="inlineStr">
        <is>
          <t>嵌入综合干预方案</t>
        </is>
      </c>
      <c r="J101" s="187" t="inlineStr">
        <is>
          <t>电视</t>
        </is>
      </c>
      <c r="K101" s="186" t="inlineStr">
        <is>
          <t>60分钟以上</t>
        </is>
      </c>
      <c r="L101" s="187" t="inlineStr">
        <is>
          <t>专用训练空间</t>
        </is>
      </c>
      <c r="M101" s="187" t="inlineStr">
        <is>
          <t>研究人员</t>
        </is>
      </c>
      <c r="N101" s="187" t="inlineStr">
        <is>
          <t>呈现媒介：按儿童观看的电视屏幕归类</t>
        </is>
      </c>
      <c r="O101" s="186" t="inlineStr">
        <is>
          <t>10.58岁</t>
        </is>
      </c>
      <c r="P101" s="187" t="inlineStr">
        <is>
          <t>每次1.5–2小时</t>
        </is>
      </c>
      <c r="Q101" s="187" t="inlineStr">
        <is>
          <t>讲解、演练、现场示范、反馈、强化、自我监控</t>
        </is>
      </c>
      <c r="R101" s="187" t="inlineStr">
        <is>
          <t>同伴儿童 + 动画角色</t>
        </is>
      </c>
      <c r="S101" s="187" t="inlineStr">
        <is>
          <t>电脑＋电视</t>
        </is>
      </c>
      <c r="T101" s="187" t="inlineStr">
        <is>
          <t>研究人员</t>
        </is>
      </c>
      <c r="U101" s="187" t="inlineStr">
        <is>
          <t>学校</t>
        </is>
      </c>
      <c r="V101" s="187" t="inlineStr">
        <is>
          <t>加3种及以上</t>
        </is>
      </c>
      <c r="W101" s="186" t="inlineStr">
        <is>
          <t>Baseline vs Intervention</t>
        </is>
      </c>
    </row>
    <row r="102" ht="15" customHeight="1" s="176">
      <c r="A102" s="186" t="inlineStr">
        <is>
          <t>K193</t>
        </is>
      </c>
      <c r="B102" s="186" t="inlineStr">
        <is>
          <t>030-滚雪球</t>
        </is>
      </c>
      <c r="C102" s="186" t="inlineStr">
        <is>
          <t>Ferris</t>
        </is>
      </c>
      <c r="D102" s="187" t="inlineStr">
        <is>
          <t>干预</t>
        </is>
      </c>
      <c r="E102" s="186" t="inlineStr">
        <is>
          <t>9–12岁</t>
        </is>
      </c>
      <c r="F102" s="187" t="inlineStr">
        <is>
          <t>男</t>
        </is>
      </c>
      <c r="G102" s="188" t="inlineStr">
        <is>
          <t>不纳入该变量（原文未报告）</t>
        </is>
      </c>
      <c r="H102" s="187" t="inlineStr">
        <is>
          <t>同伴儿童+动画角色</t>
        </is>
      </c>
      <c r="I102" s="187" t="inlineStr">
        <is>
          <t>嵌入综合干预方案</t>
        </is>
      </c>
      <c r="J102" s="187" t="inlineStr">
        <is>
          <t>电视</t>
        </is>
      </c>
      <c r="K102" s="186" t="inlineStr">
        <is>
          <t>60分钟以上</t>
        </is>
      </c>
      <c r="L102" s="187" t="inlineStr">
        <is>
          <t>专用训练空间</t>
        </is>
      </c>
      <c r="M102" s="187" t="inlineStr">
        <is>
          <t>研究人员</t>
        </is>
      </c>
      <c r="N102" s="187" t="inlineStr">
        <is>
          <t>呈现媒介：按儿童观看的电视屏幕归类</t>
        </is>
      </c>
      <c r="O102" s="186" t="inlineStr">
        <is>
          <t>11.67岁</t>
        </is>
      </c>
      <c r="P102" s="187" t="inlineStr">
        <is>
          <t>每次1.5–2小时</t>
        </is>
      </c>
      <c r="Q102" s="187" t="inlineStr">
        <is>
          <t>讲解、演练、现场示范、反馈、强化、自我监控</t>
        </is>
      </c>
      <c r="R102" s="187" t="inlineStr">
        <is>
          <t>同伴儿童 + 动画角色</t>
        </is>
      </c>
      <c r="S102" s="187" t="inlineStr">
        <is>
          <t>电脑＋电视</t>
        </is>
      </c>
      <c r="T102" s="187" t="inlineStr">
        <is>
          <t>研究人员</t>
        </is>
      </c>
      <c r="U102" s="187" t="inlineStr">
        <is>
          <t>学校</t>
        </is>
      </c>
      <c r="V102" s="187" t="inlineStr">
        <is>
          <t>加3种及以上</t>
        </is>
      </c>
      <c r="W102" s="186" t="inlineStr">
        <is>
          <t>Baseline vs Intervention</t>
        </is>
      </c>
    </row>
    <row r="103" ht="15" customHeight="1" s="176">
      <c r="A103" s="186" t="inlineStr">
        <is>
          <t>K194</t>
        </is>
      </c>
      <c r="B103" s="186" t="inlineStr">
        <is>
          <t>030-滚雪球</t>
        </is>
      </c>
      <c r="C103" s="186" t="inlineStr">
        <is>
          <t>Ferris</t>
        </is>
      </c>
      <c r="D103" s="187" t="inlineStr">
        <is>
          <t>维持</t>
        </is>
      </c>
      <c r="E103" s="186" t="inlineStr">
        <is>
          <t>9–12岁</t>
        </is>
      </c>
      <c r="F103" s="187" t="inlineStr">
        <is>
          <t>男</t>
        </is>
      </c>
      <c r="G103" s="188" t="inlineStr">
        <is>
          <t>不纳入该变量（原文未报告）</t>
        </is>
      </c>
      <c r="H103" s="187" t="inlineStr">
        <is>
          <t>同伴儿童+动画角色</t>
        </is>
      </c>
      <c r="I103" s="187" t="inlineStr">
        <is>
          <t>嵌入综合干预方案</t>
        </is>
      </c>
      <c r="J103" s="187" t="inlineStr">
        <is>
          <t>电视</t>
        </is>
      </c>
      <c r="K103" s="186" t="inlineStr">
        <is>
          <t>60分钟以上</t>
        </is>
      </c>
      <c r="L103" s="187" t="inlineStr">
        <is>
          <t>专用训练空间</t>
        </is>
      </c>
      <c r="M103" s="187" t="inlineStr">
        <is>
          <t>研究人员</t>
        </is>
      </c>
      <c r="N103" s="187" t="inlineStr">
        <is>
          <t>呈现媒介：按儿童观看的电视屏幕归类</t>
        </is>
      </c>
      <c r="O103" s="186" t="inlineStr">
        <is>
          <t>11.67岁</t>
        </is>
      </c>
      <c r="P103" s="187" t="inlineStr">
        <is>
          <t>每次1.5–2小时</t>
        </is>
      </c>
      <c r="Q103" s="187" t="inlineStr">
        <is>
          <t>讲解、演练、现场示范、反馈、强化、自我监控</t>
        </is>
      </c>
      <c r="R103" s="187" t="inlineStr">
        <is>
          <t>同伴儿童 + 动画角色</t>
        </is>
      </c>
      <c r="S103" s="187" t="inlineStr">
        <is>
          <t>电脑＋电视</t>
        </is>
      </c>
      <c r="T103" s="187" t="inlineStr">
        <is>
          <t>研究人员</t>
        </is>
      </c>
      <c r="U103" s="187" t="inlineStr">
        <is>
          <t>学校</t>
        </is>
      </c>
      <c r="V103" s="187" t="inlineStr">
        <is>
          <t>加3种及以上</t>
        </is>
      </c>
      <c r="W103" s="186" t="inlineStr">
        <is>
          <t>Baseline vs Maintenance（训练情境）</t>
        </is>
      </c>
    </row>
    <row r="104" ht="15" customHeight="1" s="176">
      <c r="A104" s="186" t="inlineStr">
        <is>
          <t>K195</t>
        </is>
      </c>
      <c r="B104" s="186" t="inlineStr">
        <is>
          <t>030-滚雪球</t>
        </is>
      </c>
      <c r="C104" s="186" t="inlineStr">
        <is>
          <t>Ferris</t>
        </is>
      </c>
      <c r="D104" s="187" t="inlineStr">
        <is>
          <t>干预</t>
        </is>
      </c>
      <c r="E104" s="186" t="inlineStr">
        <is>
          <t>9–12岁</t>
        </is>
      </c>
      <c r="F104" s="187" t="inlineStr">
        <is>
          <t>男</t>
        </is>
      </c>
      <c r="G104" s="188" t="inlineStr">
        <is>
          <t>不纳入该变量（原文未报告）</t>
        </is>
      </c>
      <c r="H104" s="187" t="inlineStr">
        <is>
          <t>同伴儿童+动画角色</t>
        </is>
      </c>
      <c r="I104" s="187" t="inlineStr">
        <is>
          <t>嵌入综合干预方案</t>
        </is>
      </c>
      <c r="J104" s="187" t="inlineStr">
        <is>
          <t>电视</t>
        </is>
      </c>
      <c r="K104" s="186" t="inlineStr">
        <is>
          <t>60分钟以上</t>
        </is>
      </c>
      <c r="L104" s="187" t="inlineStr">
        <is>
          <t>专用训练空间</t>
        </is>
      </c>
      <c r="M104" s="187" t="inlineStr">
        <is>
          <t>研究人员</t>
        </is>
      </c>
      <c r="N104" s="187" t="inlineStr">
        <is>
          <t>呈现媒介：按儿童观看的电视屏幕归类</t>
        </is>
      </c>
      <c r="O104" s="186" t="inlineStr">
        <is>
          <t>11.67岁</t>
        </is>
      </c>
      <c r="P104" s="187" t="inlineStr">
        <is>
          <t>每次1.5–2小时</t>
        </is>
      </c>
      <c r="Q104" s="187" t="inlineStr">
        <is>
          <t>讲解、演练、现场示范、反馈、强化、自我监控</t>
        </is>
      </c>
      <c r="R104" s="187" t="inlineStr">
        <is>
          <t>同伴儿童 + 动画角色</t>
        </is>
      </c>
      <c r="S104" s="187" t="inlineStr">
        <is>
          <t>电脑＋电视</t>
        </is>
      </c>
      <c r="T104" s="187" t="inlineStr">
        <is>
          <t>研究人员</t>
        </is>
      </c>
      <c r="U104" s="187" t="inlineStr">
        <is>
          <t>学校</t>
        </is>
      </c>
      <c r="V104" s="187" t="inlineStr">
        <is>
          <t>加3种及以上</t>
        </is>
      </c>
      <c r="W104" s="186" t="inlineStr">
        <is>
          <t>Baseline vs Intervention</t>
        </is>
      </c>
    </row>
    <row r="105" ht="15" customHeight="1" s="176">
      <c r="A105" s="186" t="inlineStr">
        <is>
          <t>K196</t>
        </is>
      </c>
      <c r="B105" s="186" t="inlineStr">
        <is>
          <t>030-滚雪球</t>
        </is>
      </c>
      <c r="C105" s="186" t="inlineStr">
        <is>
          <t>Ferris</t>
        </is>
      </c>
      <c r="D105" s="187" t="inlineStr">
        <is>
          <t>维持</t>
        </is>
      </c>
      <c r="E105" s="186" t="inlineStr">
        <is>
          <t>9–12岁</t>
        </is>
      </c>
      <c r="F105" s="187" t="inlineStr">
        <is>
          <t>男</t>
        </is>
      </c>
      <c r="G105" s="188" t="inlineStr">
        <is>
          <t>不纳入该变量（原文未报告）</t>
        </is>
      </c>
      <c r="H105" s="187" t="inlineStr">
        <is>
          <t>同伴儿童+动画角色</t>
        </is>
      </c>
      <c r="I105" s="187" t="inlineStr">
        <is>
          <t>嵌入综合干预方案</t>
        </is>
      </c>
      <c r="J105" s="187" t="inlineStr">
        <is>
          <t>电视</t>
        </is>
      </c>
      <c r="K105" s="186" t="inlineStr">
        <is>
          <t>60分钟以上</t>
        </is>
      </c>
      <c r="L105" s="187" t="inlineStr">
        <is>
          <t>专用训练空间</t>
        </is>
      </c>
      <c r="M105" s="187" t="inlineStr">
        <is>
          <t>研究人员</t>
        </is>
      </c>
      <c r="N105" s="187" t="inlineStr">
        <is>
          <t>呈现媒介：按儿童观看的电视屏幕归类</t>
        </is>
      </c>
      <c r="O105" s="186" t="inlineStr">
        <is>
          <t>11.67岁</t>
        </is>
      </c>
      <c r="P105" s="187" t="inlineStr">
        <is>
          <t>每次1.5–2小时</t>
        </is>
      </c>
      <c r="Q105" s="187" t="inlineStr">
        <is>
          <t>讲解、演练、现场示范、反馈、强化、自我监控</t>
        </is>
      </c>
      <c r="R105" s="187" t="inlineStr">
        <is>
          <t>同伴儿童 + 动画角色</t>
        </is>
      </c>
      <c r="S105" s="187" t="inlineStr">
        <is>
          <t>电脑＋电视</t>
        </is>
      </c>
      <c r="T105" s="187" t="inlineStr">
        <is>
          <t>研究人员</t>
        </is>
      </c>
      <c r="U105" s="187" t="inlineStr">
        <is>
          <t>学校</t>
        </is>
      </c>
      <c r="V105" s="187" t="inlineStr">
        <is>
          <t>加3种及以上</t>
        </is>
      </c>
      <c r="W105" s="186" t="inlineStr">
        <is>
          <t>Baseline vs Maintenance（训练情境）</t>
        </is>
      </c>
    </row>
    <row r="106" ht="15" customHeight="1" s="176">
      <c r="A106" s="186" t="inlineStr">
        <is>
          <t>K197</t>
        </is>
      </c>
      <c r="B106" s="186" t="inlineStr">
        <is>
          <t>030-滚雪球</t>
        </is>
      </c>
      <c r="C106" s="186" t="inlineStr">
        <is>
          <t>Ferris</t>
        </is>
      </c>
      <c r="D106" s="187" t="inlineStr">
        <is>
          <t>干预</t>
        </is>
      </c>
      <c r="E106" s="186" t="inlineStr">
        <is>
          <t>9–12岁</t>
        </is>
      </c>
      <c r="F106" s="187" t="inlineStr">
        <is>
          <t>男</t>
        </is>
      </c>
      <c r="G106" s="188" t="inlineStr">
        <is>
          <t>不纳入该变量（原文未报告）</t>
        </is>
      </c>
      <c r="H106" s="187" t="inlineStr">
        <is>
          <t>同伴儿童+动画角色</t>
        </is>
      </c>
      <c r="I106" s="187" t="inlineStr">
        <is>
          <t>嵌入综合干预方案</t>
        </is>
      </c>
      <c r="J106" s="187" t="inlineStr">
        <is>
          <t>电视</t>
        </is>
      </c>
      <c r="K106" s="186" t="inlineStr">
        <is>
          <t>60分钟以上</t>
        </is>
      </c>
      <c r="L106" s="187" t="inlineStr">
        <is>
          <t>专用训练空间</t>
        </is>
      </c>
      <c r="M106" s="187" t="inlineStr">
        <is>
          <t>研究人员</t>
        </is>
      </c>
      <c r="N106" s="187" t="inlineStr">
        <is>
          <t>呈现媒介：按儿童观看的电视屏幕归类</t>
        </is>
      </c>
      <c r="O106" s="186" t="inlineStr">
        <is>
          <t>11.67岁</t>
        </is>
      </c>
      <c r="P106" s="187" t="inlineStr">
        <is>
          <t>每次1.5–2小时</t>
        </is>
      </c>
      <c r="Q106" s="187" t="inlineStr">
        <is>
          <t>讲解、演练、现场示范、反馈、强化、自我监控</t>
        </is>
      </c>
      <c r="R106" s="187" t="inlineStr">
        <is>
          <t>同伴儿童 + 动画角色</t>
        </is>
      </c>
      <c r="S106" s="187" t="inlineStr">
        <is>
          <t>电脑＋电视</t>
        </is>
      </c>
      <c r="T106" s="187" t="inlineStr">
        <is>
          <t>研究人员</t>
        </is>
      </c>
      <c r="U106" s="187" t="inlineStr">
        <is>
          <t>学校</t>
        </is>
      </c>
      <c r="V106" s="187" t="inlineStr">
        <is>
          <t>加3种及以上</t>
        </is>
      </c>
      <c r="W106" s="186" t="inlineStr">
        <is>
          <t>Baseline vs Intervention</t>
        </is>
      </c>
    </row>
    <row r="107" ht="15" customHeight="1" s="176">
      <c r="A107" s="186" t="inlineStr">
        <is>
          <t>K198</t>
        </is>
      </c>
      <c r="B107" s="186" t="inlineStr">
        <is>
          <t>030-滚雪球</t>
        </is>
      </c>
      <c r="C107" s="186" t="inlineStr">
        <is>
          <t>Ferris</t>
        </is>
      </c>
      <c r="D107" s="187" t="inlineStr">
        <is>
          <t>维持</t>
        </is>
      </c>
      <c r="E107" s="186" t="inlineStr">
        <is>
          <t>9–12岁</t>
        </is>
      </c>
      <c r="F107" s="187" t="inlineStr">
        <is>
          <t>男</t>
        </is>
      </c>
      <c r="G107" s="188" t="inlineStr">
        <is>
          <t>不纳入该变量（原文未报告）</t>
        </is>
      </c>
      <c r="H107" s="187" t="inlineStr">
        <is>
          <t>同伴儿童+动画角色</t>
        </is>
      </c>
      <c r="I107" s="187" t="inlineStr">
        <is>
          <t>嵌入综合干预方案</t>
        </is>
      </c>
      <c r="J107" s="187" t="inlineStr">
        <is>
          <t>电视</t>
        </is>
      </c>
      <c r="K107" s="186" t="inlineStr">
        <is>
          <t>60分钟以上</t>
        </is>
      </c>
      <c r="L107" s="187" t="inlineStr">
        <is>
          <t>专用训练空间</t>
        </is>
      </c>
      <c r="M107" s="187" t="inlineStr">
        <is>
          <t>研究人员</t>
        </is>
      </c>
      <c r="N107" s="187" t="inlineStr">
        <is>
          <t>呈现媒介：按儿童观看的电视屏幕归类</t>
        </is>
      </c>
      <c r="O107" s="186" t="inlineStr">
        <is>
          <t>11.67岁</t>
        </is>
      </c>
      <c r="P107" s="187" t="inlineStr">
        <is>
          <t>每次1.5–2小时</t>
        </is>
      </c>
      <c r="Q107" s="187" t="inlineStr">
        <is>
          <t>讲解、演练、现场示范、反馈、强化、自我监控</t>
        </is>
      </c>
      <c r="R107" s="187" t="inlineStr">
        <is>
          <t>同伴儿童 + 动画角色</t>
        </is>
      </c>
      <c r="S107" s="187" t="inlineStr">
        <is>
          <t>电脑＋电视</t>
        </is>
      </c>
      <c r="T107" s="187" t="inlineStr">
        <is>
          <t>研究人员</t>
        </is>
      </c>
      <c r="U107" s="187" t="inlineStr">
        <is>
          <t>学校</t>
        </is>
      </c>
      <c r="V107" s="187" t="inlineStr">
        <is>
          <t>加3种及以上</t>
        </is>
      </c>
      <c r="W107" s="186" t="inlineStr">
        <is>
          <t>Baseline vs Maintenance（训练情境）</t>
        </is>
      </c>
    </row>
    <row r="108" ht="15" customHeight="1" s="176">
      <c r="A108" s="186" t="inlineStr">
        <is>
          <t>K199</t>
        </is>
      </c>
      <c r="B108" s="186" t="inlineStr">
        <is>
          <t>030-滚雪球</t>
        </is>
      </c>
      <c r="C108" s="186" t="inlineStr">
        <is>
          <t>Ferris</t>
        </is>
      </c>
      <c r="D108" s="187" t="inlineStr">
        <is>
          <t>干预</t>
        </is>
      </c>
      <c r="E108" s="186" t="inlineStr">
        <is>
          <t>9–12岁</t>
        </is>
      </c>
      <c r="F108" s="187" t="inlineStr">
        <is>
          <t>男</t>
        </is>
      </c>
      <c r="G108" s="188" t="inlineStr">
        <is>
          <t>不纳入该变量（原文未报告）</t>
        </is>
      </c>
      <c r="H108" s="187" t="inlineStr">
        <is>
          <t>同伴儿童+动画角色</t>
        </is>
      </c>
      <c r="I108" s="187" t="inlineStr">
        <is>
          <t>嵌入综合干预方案</t>
        </is>
      </c>
      <c r="J108" s="187" t="inlineStr">
        <is>
          <t>电视</t>
        </is>
      </c>
      <c r="K108" s="186" t="inlineStr">
        <is>
          <t>60分钟以上</t>
        </is>
      </c>
      <c r="L108" s="187" t="inlineStr">
        <is>
          <t>专用训练空间</t>
        </is>
      </c>
      <c r="M108" s="187" t="inlineStr">
        <is>
          <t>研究人员</t>
        </is>
      </c>
      <c r="N108" s="187" t="inlineStr">
        <is>
          <t>呈现媒介：按儿童观看的电视屏幕归类</t>
        </is>
      </c>
      <c r="O108" s="186" t="inlineStr">
        <is>
          <t>11.67岁</t>
        </is>
      </c>
      <c r="P108" s="187" t="inlineStr">
        <is>
          <t>每次1.5–2小时</t>
        </is>
      </c>
      <c r="Q108" s="187" t="inlineStr">
        <is>
          <t>讲解、演练、现场示范、反馈、强化、自我监控</t>
        </is>
      </c>
      <c r="R108" s="187" t="inlineStr">
        <is>
          <t>同伴儿童 + 动画角色</t>
        </is>
      </c>
      <c r="S108" s="187" t="inlineStr">
        <is>
          <t>电脑＋电视</t>
        </is>
      </c>
      <c r="T108" s="187" t="inlineStr">
        <is>
          <t>研究人员</t>
        </is>
      </c>
      <c r="U108" s="187" t="inlineStr">
        <is>
          <t>学校</t>
        </is>
      </c>
      <c r="V108" s="187" t="inlineStr">
        <is>
          <t>加3种及以上</t>
        </is>
      </c>
      <c r="W108" s="186" t="inlineStr">
        <is>
          <t>Baseline vs Intervention</t>
        </is>
      </c>
    </row>
    <row r="109" ht="15" customHeight="1" s="176">
      <c r="A109" s="186" t="inlineStr">
        <is>
          <t>K220</t>
        </is>
      </c>
      <c r="B109" s="186" t="inlineStr">
        <is>
          <t>032-二次</t>
        </is>
      </c>
      <c r="C109" s="186" t="inlineStr">
        <is>
          <t>Jacob</t>
        </is>
      </c>
      <c r="D109" s="187" t="inlineStr">
        <is>
          <t>干预</t>
        </is>
      </c>
      <c r="E109" s="186" t="inlineStr">
        <is>
          <t>9–12岁</t>
        </is>
      </c>
      <c r="F109" s="187" t="inlineStr">
        <is>
          <t>男</t>
        </is>
      </c>
      <c r="G109" s="188" t="inlineStr">
        <is>
          <t>不纳入该变量（原文未报告）</t>
        </is>
      </c>
      <c r="H109" s="187" t="inlineStr">
        <is>
          <t>同伴儿童+动画角色</t>
        </is>
      </c>
      <c r="I109" s="187" t="inlineStr">
        <is>
          <t>嵌入综合干预方案</t>
        </is>
      </c>
      <c r="J109" s="187" t="inlineStr">
        <is>
          <t>电视</t>
        </is>
      </c>
      <c r="K109" s="186" t="inlineStr">
        <is>
          <t>11～60分钟</t>
        </is>
      </c>
      <c r="L109" s="187" t="inlineStr">
        <is>
          <t>专用训练空间</t>
        </is>
      </c>
      <c r="M109" s="187" t="inlineStr">
        <is>
          <t>研究人员</t>
        </is>
      </c>
      <c r="N109" s="189" t="inlineStr">
        <is>
          <t>视频设备依据：年份推定（原文播放终端未明确，按确认方案归组）</t>
        </is>
      </c>
      <c r="O109" s="186" t="inlineStr">
        <is>
          <t>9.00岁</t>
        </is>
      </c>
      <c r="P109" s="187" t="inlineStr">
        <is>
          <t>每次约30分钟</t>
        </is>
      </c>
      <c r="Q109" s="187" t="inlineStr">
        <is>
          <t>演练、现场示范、反馈、强化、自我监控</t>
        </is>
      </c>
      <c r="R109" s="187" t="inlineStr">
        <is>
          <t>同伴儿童 + 动画角色</t>
        </is>
      </c>
      <c r="S109" s="187" t="inlineStr">
        <is>
          <t>缺失</t>
        </is>
      </c>
      <c r="T109" s="187" t="inlineStr">
        <is>
          <t>研究人员</t>
        </is>
      </c>
      <c r="U109" s="187" t="inlineStr">
        <is>
          <t>学校</t>
        </is>
      </c>
      <c r="V109" s="187" t="inlineStr">
        <is>
          <t>加3种及以上</t>
        </is>
      </c>
      <c r="W109" s="186" t="inlineStr">
        <is>
          <t>BL vs INT</t>
        </is>
      </c>
    </row>
    <row r="110" ht="15" customHeight="1" s="176">
      <c r="A110" s="186" t="inlineStr">
        <is>
          <t>K221</t>
        </is>
      </c>
      <c r="B110" s="186" t="inlineStr">
        <is>
          <t>032-二次</t>
        </is>
      </c>
      <c r="C110" s="186" t="inlineStr">
        <is>
          <t>Jacob</t>
        </is>
      </c>
      <c r="D110" s="187" t="inlineStr">
        <is>
          <t>维持</t>
        </is>
      </c>
      <c r="E110" s="186" t="inlineStr">
        <is>
          <t>9–12岁</t>
        </is>
      </c>
      <c r="F110" s="187" t="inlineStr">
        <is>
          <t>男</t>
        </is>
      </c>
      <c r="G110" s="188" t="inlineStr">
        <is>
          <t>不纳入该变量（原文未报告）</t>
        </is>
      </c>
      <c r="H110" s="187" t="inlineStr">
        <is>
          <t>同伴儿童+动画角色</t>
        </is>
      </c>
      <c r="I110" s="187" t="inlineStr">
        <is>
          <t>嵌入综合干预方案</t>
        </is>
      </c>
      <c r="J110" s="187" t="inlineStr">
        <is>
          <t>电视</t>
        </is>
      </c>
      <c r="K110" s="186" t="inlineStr">
        <is>
          <t>11～60分钟</t>
        </is>
      </c>
      <c r="L110" s="187" t="inlineStr">
        <is>
          <t>专用训练空间</t>
        </is>
      </c>
      <c r="M110" s="187" t="inlineStr">
        <is>
          <t>研究人员</t>
        </is>
      </c>
      <c r="N110" s="189" t="inlineStr">
        <is>
          <t>视频设备依据：年份推定（原文播放终端未明确，按确认方案归组）</t>
        </is>
      </c>
      <c r="O110" s="186" t="inlineStr">
        <is>
          <t>9.00岁</t>
        </is>
      </c>
      <c r="P110" s="187" t="inlineStr">
        <is>
          <t>每次约30分钟</t>
        </is>
      </c>
      <c r="Q110" s="187" t="inlineStr">
        <is>
          <t>演练、现场示范、反馈、强化、自我监控</t>
        </is>
      </c>
      <c r="R110" s="187" t="inlineStr">
        <is>
          <t>同伴儿童 + 动画角色</t>
        </is>
      </c>
      <c r="S110" s="187" t="inlineStr">
        <is>
          <t>缺失</t>
        </is>
      </c>
      <c r="T110" s="187" t="inlineStr">
        <is>
          <t>研究人员</t>
        </is>
      </c>
      <c r="U110" s="187" t="inlineStr">
        <is>
          <t>学校</t>
        </is>
      </c>
      <c r="V110" s="187" t="inlineStr">
        <is>
          <t>加3种及以上</t>
        </is>
      </c>
      <c r="W110" s="186" t="inlineStr">
        <is>
          <t>BL vs FU（课程结束约5周后）</t>
        </is>
      </c>
    </row>
    <row r="111" ht="15" customHeight="1" s="176">
      <c r="A111" s="186" t="inlineStr">
        <is>
          <t>K222</t>
        </is>
      </c>
      <c r="B111" s="186" t="inlineStr">
        <is>
          <t>032-二次</t>
        </is>
      </c>
      <c r="C111" s="186" t="inlineStr">
        <is>
          <t>Carl</t>
        </is>
      </c>
      <c r="D111" s="187" t="inlineStr">
        <is>
          <t>干预</t>
        </is>
      </c>
      <c r="E111" s="186" t="inlineStr">
        <is>
          <t>9–12岁</t>
        </is>
      </c>
      <c r="F111" s="187" t="inlineStr">
        <is>
          <t>男</t>
        </is>
      </c>
      <c r="G111" s="188" t="inlineStr">
        <is>
          <t>不纳入该变量（原文未报告）</t>
        </is>
      </c>
      <c r="H111" s="187" t="inlineStr">
        <is>
          <t>同伴儿童+动画角色</t>
        </is>
      </c>
      <c r="I111" s="187" t="inlineStr">
        <is>
          <t>嵌入综合干预方案</t>
        </is>
      </c>
      <c r="J111" s="187" t="inlineStr">
        <is>
          <t>电视</t>
        </is>
      </c>
      <c r="K111" s="186" t="inlineStr">
        <is>
          <t>11～60分钟</t>
        </is>
      </c>
      <c r="L111" s="187" t="inlineStr">
        <is>
          <t>专用训练空间</t>
        </is>
      </c>
      <c r="M111" s="187" t="inlineStr">
        <is>
          <t>研究人员</t>
        </is>
      </c>
      <c r="N111" s="189" t="inlineStr">
        <is>
          <t>视频设备依据：年份推定（原文播放终端未明确，按确认方案归组）</t>
        </is>
      </c>
      <c r="O111" s="186" t="inlineStr">
        <is>
          <t>10.00岁</t>
        </is>
      </c>
      <c r="P111" s="187" t="inlineStr">
        <is>
          <t>每次约30分钟</t>
        </is>
      </c>
      <c r="Q111" s="187" t="inlineStr">
        <is>
          <t>演练、现场示范、反馈、强化、自我监控</t>
        </is>
      </c>
      <c r="R111" s="187" t="inlineStr">
        <is>
          <t>同伴儿童 + 动画角色</t>
        </is>
      </c>
      <c r="S111" s="187" t="inlineStr">
        <is>
          <t>缺失</t>
        </is>
      </c>
      <c r="T111" s="187" t="inlineStr">
        <is>
          <t>研究人员</t>
        </is>
      </c>
      <c r="U111" s="187" t="inlineStr">
        <is>
          <t>学校</t>
        </is>
      </c>
      <c r="V111" s="187" t="inlineStr">
        <is>
          <t>加3种及以上</t>
        </is>
      </c>
      <c r="W111" s="186" t="inlineStr">
        <is>
          <t>BL vs INT</t>
        </is>
      </c>
    </row>
    <row r="112" ht="15" customHeight="1" s="176">
      <c r="A112" s="186" t="inlineStr">
        <is>
          <t>K223</t>
        </is>
      </c>
      <c r="B112" s="186" t="inlineStr">
        <is>
          <t>032-二次</t>
        </is>
      </c>
      <c r="C112" s="186" t="inlineStr">
        <is>
          <t>Carl</t>
        </is>
      </c>
      <c r="D112" s="187" t="inlineStr">
        <is>
          <t>维持</t>
        </is>
      </c>
      <c r="E112" s="186" t="inlineStr">
        <is>
          <t>9–12岁</t>
        </is>
      </c>
      <c r="F112" s="187" t="inlineStr">
        <is>
          <t>男</t>
        </is>
      </c>
      <c r="G112" s="188" t="inlineStr">
        <is>
          <t>不纳入该变量（原文未报告）</t>
        </is>
      </c>
      <c r="H112" s="187" t="inlineStr">
        <is>
          <t>同伴儿童+动画角色</t>
        </is>
      </c>
      <c r="I112" s="187" t="inlineStr">
        <is>
          <t>嵌入综合干预方案</t>
        </is>
      </c>
      <c r="J112" s="187" t="inlineStr">
        <is>
          <t>电视</t>
        </is>
      </c>
      <c r="K112" s="186" t="inlineStr">
        <is>
          <t>11～60分钟</t>
        </is>
      </c>
      <c r="L112" s="187" t="inlineStr">
        <is>
          <t>专用训练空间</t>
        </is>
      </c>
      <c r="M112" s="187" t="inlineStr">
        <is>
          <t>研究人员</t>
        </is>
      </c>
      <c r="N112" s="189" t="inlineStr">
        <is>
          <t>视频设备依据：年份推定（原文播放终端未明确，按确认方案归组）</t>
        </is>
      </c>
      <c r="O112" s="186" t="inlineStr">
        <is>
          <t>10.00岁</t>
        </is>
      </c>
      <c r="P112" s="187" t="inlineStr">
        <is>
          <t>每次约30分钟</t>
        </is>
      </c>
      <c r="Q112" s="187" t="inlineStr">
        <is>
          <t>演练、现场示范、反馈、强化、自我监控</t>
        </is>
      </c>
      <c r="R112" s="187" t="inlineStr">
        <is>
          <t>同伴儿童 + 动画角色</t>
        </is>
      </c>
      <c r="S112" s="187" t="inlineStr">
        <is>
          <t>缺失</t>
        </is>
      </c>
      <c r="T112" s="187" t="inlineStr">
        <is>
          <t>研究人员</t>
        </is>
      </c>
      <c r="U112" s="187" t="inlineStr">
        <is>
          <t>学校</t>
        </is>
      </c>
      <c r="V112" s="187" t="inlineStr">
        <is>
          <t>加3种及以上</t>
        </is>
      </c>
      <c r="W112" s="186" t="inlineStr">
        <is>
          <t>BL vs FU（课程结束约5周后）</t>
        </is>
      </c>
    </row>
    <row r="113" ht="15" customHeight="1" s="176">
      <c r="A113" s="186" t="inlineStr">
        <is>
          <t>K224</t>
        </is>
      </c>
      <c r="B113" s="186" t="inlineStr">
        <is>
          <t>032-二次</t>
        </is>
      </c>
      <c r="C113" s="186" t="inlineStr">
        <is>
          <t>Edgar</t>
        </is>
      </c>
      <c r="D113" s="187" t="inlineStr">
        <is>
          <t>干预</t>
        </is>
      </c>
      <c r="E113" s="186" t="inlineStr">
        <is>
          <t>9–12岁</t>
        </is>
      </c>
      <c r="F113" s="187" t="inlineStr">
        <is>
          <t>男</t>
        </is>
      </c>
      <c r="G113" s="188" t="inlineStr">
        <is>
          <t>不纳入该变量（原文未报告）</t>
        </is>
      </c>
      <c r="H113" s="187" t="inlineStr">
        <is>
          <t>同伴儿童+动画角色</t>
        </is>
      </c>
      <c r="I113" s="187" t="inlineStr">
        <is>
          <t>嵌入综合干预方案</t>
        </is>
      </c>
      <c r="J113" s="187" t="inlineStr">
        <is>
          <t>电视</t>
        </is>
      </c>
      <c r="K113" s="186" t="inlineStr">
        <is>
          <t>11～60分钟</t>
        </is>
      </c>
      <c r="L113" s="187" t="inlineStr">
        <is>
          <t>教室</t>
        </is>
      </c>
      <c r="M113" s="187" t="inlineStr">
        <is>
          <t>研究人员</t>
        </is>
      </c>
      <c r="N113" s="189" t="inlineStr">
        <is>
          <t>视频设备依据：年份推定（原文播放终端未明确，按确认方案归组）</t>
        </is>
      </c>
      <c r="O113" s="186" t="inlineStr">
        <is>
          <t>9.00岁</t>
        </is>
      </c>
      <c r="P113" s="187" t="inlineStr">
        <is>
          <t>每次约30分钟</t>
        </is>
      </c>
      <c r="Q113" s="187" t="inlineStr">
        <is>
          <t>演练、现场示范、反馈、强化、自我监控</t>
        </is>
      </c>
      <c r="R113" s="187" t="inlineStr">
        <is>
          <t>同伴儿童 + 动画角色</t>
        </is>
      </c>
      <c r="S113" s="187" t="inlineStr">
        <is>
          <t>缺失</t>
        </is>
      </c>
      <c r="T113" s="187" t="inlineStr">
        <is>
          <t>研究人员</t>
        </is>
      </c>
      <c r="U113" s="187" t="inlineStr">
        <is>
          <t>学校</t>
        </is>
      </c>
      <c r="V113" s="187" t="inlineStr">
        <is>
          <t>加3种及以上</t>
        </is>
      </c>
      <c r="W113" s="186" t="inlineStr">
        <is>
          <t>BL vs INT</t>
        </is>
      </c>
    </row>
    <row r="114" ht="15" customHeight="1" s="176">
      <c r="A114" s="186" t="inlineStr">
        <is>
          <t>K225</t>
        </is>
      </c>
      <c r="B114" s="186" t="inlineStr">
        <is>
          <t>032-二次</t>
        </is>
      </c>
      <c r="C114" s="186" t="inlineStr">
        <is>
          <t>Edgar</t>
        </is>
      </c>
      <c r="D114" s="187" t="inlineStr">
        <is>
          <t>维持</t>
        </is>
      </c>
      <c r="E114" s="186" t="inlineStr">
        <is>
          <t>9–12岁</t>
        </is>
      </c>
      <c r="F114" s="187" t="inlineStr">
        <is>
          <t>男</t>
        </is>
      </c>
      <c r="G114" s="188" t="inlineStr">
        <is>
          <t>不纳入该变量（原文未报告）</t>
        </is>
      </c>
      <c r="H114" s="187" t="inlineStr">
        <is>
          <t>同伴儿童+动画角色</t>
        </is>
      </c>
      <c r="I114" s="187" t="inlineStr">
        <is>
          <t>嵌入综合干预方案</t>
        </is>
      </c>
      <c r="J114" s="187" t="inlineStr">
        <is>
          <t>电视</t>
        </is>
      </c>
      <c r="K114" s="186" t="inlineStr">
        <is>
          <t>11～60分钟</t>
        </is>
      </c>
      <c r="L114" s="187" t="inlineStr">
        <is>
          <t>教室</t>
        </is>
      </c>
      <c r="M114" s="187" t="inlineStr">
        <is>
          <t>研究人员</t>
        </is>
      </c>
      <c r="N114" s="189" t="inlineStr">
        <is>
          <t>视频设备依据：年份推定（原文播放终端未明确，按确认方案归组）</t>
        </is>
      </c>
      <c r="O114" s="186" t="inlineStr">
        <is>
          <t>9.00岁</t>
        </is>
      </c>
      <c r="P114" s="187" t="inlineStr">
        <is>
          <t>每次约30分钟</t>
        </is>
      </c>
      <c r="Q114" s="187" t="inlineStr">
        <is>
          <t>演练、现场示范、反馈、强化、自我监控</t>
        </is>
      </c>
      <c r="R114" s="187" t="inlineStr">
        <is>
          <t>同伴儿童 + 动画角色</t>
        </is>
      </c>
      <c r="S114" s="187" t="inlineStr">
        <is>
          <t>缺失</t>
        </is>
      </c>
      <c r="T114" s="187" t="inlineStr">
        <is>
          <t>研究人员</t>
        </is>
      </c>
      <c r="U114" s="187" t="inlineStr">
        <is>
          <t>学校</t>
        </is>
      </c>
      <c r="V114" s="187" t="inlineStr">
        <is>
          <t>加3种及以上</t>
        </is>
      </c>
      <c r="W114" s="186" t="inlineStr">
        <is>
          <t>BL vs FU（课程结束约5周后）</t>
        </is>
      </c>
    </row>
    <row r="115" ht="15" customHeight="1" s="176">
      <c r="A115" s="186" t="inlineStr">
        <is>
          <t>K226</t>
        </is>
      </c>
      <c r="B115" s="186" t="inlineStr">
        <is>
          <t>032-二次</t>
        </is>
      </c>
      <c r="C115" s="186" t="inlineStr">
        <is>
          <t>Dylan</t>
        </is>
      </c>
      <c r="D115" s="187" t="inlineStr">
        <is>
          <t>干预</t>
        </is>
      </c>
      <c r="E115" s="186" t="inlineStr">
        <is>
          <t>9–12岁</t>
        </is>
      </c>
      <c r="F115" s="187" t="inlineStr">
        <is>
          <t>男</t>
        </is>
      </c>
      <c r="G115" s="188" t="inlineStr">
        <is>
          <t>不纳入该变量（原文未报告）</t>
        </is>
      </c>
      <c r="H115" s="187" t="inlineStr">
        <is>
          <t>同伴儿童+动画角色</t>
        </is>
      </c>
      <c r="I115" s="187" t="inlineStr">
        <is>
          <t>嵌入综合干预方案</t>
        </is>
      </c>
      <c r="J115" s="187" t="inlineStr">
        <is>
          <t>电视</t>
        </is>
      </c>
      <c r="K115" s="186" t="inlineStr">
        <is>
          <t>11～60分钟</t>
        </is>
      </c>
      <c r="L115" s="187" t="inlineStr">
        <is>
          <t>教室</t>
        </is>
      </c>
      <c r="M115" s="187" t="inlineStr">
        <is>
          <t>研究人员</t>
        </is>
      </c>
      <c r="N115" s="189" t="inlineStr">
        <is>
          <t>视频设备依据：年份推定（原文播放终端未明确，按确认方案归组）</t>
        </is>
      </c>
      <c r="O115" s="186" t="inlineStr">
        <is>
          <t>11.00岁</t>
        </is>
      </c>
      <c r="P115" s="187" t="inlineStr">
        <is>
          <t>每次约30分钟</t>
        </is>
      </c>
      <c r="Q115" s="187" t="inlineStr">
        <is>
          <t>演练、现场示范、反馈、强化、自我监控</t>
        </is>
      </c>
      <c r="R115" s="187" t="inlineStr">
        <is>
          <t>同伴儿童 + 动画角色</t>
        </is>
      </c>
      <c r="S115" s="187" t="inlineStr">
        <is>
          <t>缺失</t>
        </is>
      </c>
      <c r="T115" s="187" t="inlineStr">
        <is>
          <t>研究人员</t>
        </is>
      </c>
      <c r="U115" s="187" t="inlineStr">
        <is>
          <t>学校</t>
        </is>
      </c>
      <c r="V115" s="187" t="inlineStr">
        <is>
          <t>加3种及以上</t>
        </is>
      </c>
      <c r="W115" s="186" t="inlineStr">
        <is>
          <t>BL vs INT</t>
        </is>
      </c>
    </row>
    <row r="116" ht="15" customHeight="1" s="176">
      <c r="A116" s="186" t="inlineStr">
        <is>
          <t>K227</t>
        </is>
      </c>
      <c r="B116" s="186" t="inlineStr">
        <is>
          <t>032-二次</t>
        </is>
      </c>
      <c r="C116" s="186" t="inlineStr">
        <is>
          <t>Dylan</t>
        </is>
      </c>
      <c r="D116" s="187" t="inlineStr">
        <is>
          <t>维持</t>
        </is>
      </c>
      <c r="E116" s="186" t="inlineStr">
        <is>
          <t>9–12岁</t>
        </is>
      </c>
      <c r="F116" s="187" t="inlineStr">
        <is>
          <t>男</t>
        </is>
      </c>
      <c r="G116" s="188" t="inlineStr">
        <is>
          <t>不纳入该变量（原文未报告）</t>
        </is>
      </c>
      <c r="H116" s="187" t="inlineStr">
        <is>
          <t>同伴儿童+动画角色</t>
        </is>
      </c>
      <c r="I116" s="187" t="inlineStr">
        <is>
          <t>嵌入综合干预方案</t>
        </is>
      </c>
      <c r="J116" s="187" t="inlineStr">
        <is>
          <t>电视</t>
        </is>
      </c>
      <c r="K116" s="186" t="inlineStr">
        <is>
          <t>11～60分钟</t>
        </is>
      </c>
      <c r="L116" s="187" t="inlineStr">
        <is>
          <t>教室</t>
        </is>
      </c>
      <c r="M116" s="187" t="inlineStr">
        <is>
          <t>研究人员</t>
        </is>
      </c>
      <c r="N116" s="189" t="inlineStr">
        <is>
          <t>视频设备依据：年份推定（原文播放终端未明确，按确认方案归组）</t>
        </is>
      </c>
      <c r="O116" s="186" t="inlineStr">
        <is>
          <t>11.00岁</t>
        </is>
      </c>
      <c r="P116" s="187" t="inlineStr">
        <is>
          <t>每次约30分钟</t>
        </is>
      </c>
      <c r="Q116" s="187" t="inlineStr">
        <is>
          <t>演练、现场示范、反馈、强化、自我监控</t>
        </is>
      </c>
      <c r="R116" s="187" t="inlineStr">
        <is>
          <t>同伴儿童 + 动画角色</t>
        </is>
      </c>
      <c r="S116" s="187" t="inlineStr">
        <is>
          <t>缺失</t>
        </is>
      </c>
      <c r="T116" s="187" t="inlineStr">
        <is>
          <t>研究人员</t>
        </is>
      </c>
      <c r="U116" s="187" t="inlineStr">
        <is>
          <t>学校</t>
        </is>
      </c>
      <c r="V116" s="187" t="inlineStr">
        <is>
          <t>加3种及以上</t>
        </is>
      </c>
      <c r="W116" s="186" t="inlineStr">
        <is>
          <t>BL vs FU（课程结束约5周后）</t>
        </is>
      </c>
    </row>
    <row r="117" ht="15" customHeight="1" s="176">
      <c r="A117" s="186" t="inlineStr">
        <is>
          <t>K228</t>
        </is>
      </c>
      <c r="B117" s="186" t="inlineStr">
        <is>
          <t>032-二次</t>
        </is>
      </c>
      <c r="C117" s="186" t="inlineStr">
        <is>
          <t>Louis</t>
        </is>
      </c>
      <c r="D117" s="187" t="inlineStr">
        <is>
          <t>干预</t>
        </is>
      </c>
      <c r="E117" s="186" t="inlineStr">
        <is>
          <t>6岁以下</t>
        </is>
      </c>
      <c r="F117" s="187" t="inlineStr">
        <is>
          <t>男</t>
        </is>
      </c>
      <c r="G117" s="188" t="inlineStr">
        <is>
          <t>不纳入该变量（原文未报告）</t>
        </is>
      </c>
      <c r="H117" s="187" t="inlineStr">
        <is>
          <t>同伴儿童+动画角色</t>
        </is>
      </c>
      <c r="I117" s="187" t="inlineStr">
        <is>
          <t>嵌入综合干预方案</t>
        </is>
      </c>
      <c r="J117" s="187" t="inlineStr">
        <is>
          <t>电视</t>
        </is>
      </c>
      <c r="K117" s="186" t="inlineStr">
        <is>
          <t>11～60分钟</t>
        </is>
      </c>
      <c r="L117" s="187" t="inlineStr">
        <is>
          <t>办公辅助空间</t>
        </is>
      </c>
      <c r="M117" s="187" t="inlineStr">
        <is>
          <t>研究人员</t>
        </is>
      </c>
      <c r="N117" s="189" t="inlineStr">
        <is>
          <t>视频设备依据：年份推定（原文播放终端未明确，按确认方案归组）</t>
        </is>
      </c>
      <c r="O117" s="186" t="inlineStr">
        <is>
          <t>5.00岁</t>
        </is>
      </c>
      <c r="P117" s="187" t="inlineStr">
        <is>
          <t>每次约30分钟</t>
        </is>
      </c>
      <c r="Q117" s="187" t="inlineStr">
        <is>
          <t>演练、现场示范、反馈、强化、自我监控</t>
        </is>
      </c>
      <c r="R117" s="187" t="inlineStr">
        <is>
          <t>同伴儿童 + 动画角色</t>
        </is>
      </c>
      <c r="S117" s="187" t="inlineStr">
        <is>
          <t>缺失</t>
        </is>
      </c>
      <c r="T117" s="187" t="inlineStr">
        <is>
          <t>研究人员</t>
        </is>
      </c>
      <c r="U117" s="187" t="inlineStr">
        <is>
          <t>学校</t>
        </is>
      </c>
      <c r="V117" s="187" t="inlineStr">
        <is>
          <t>加3种及以上</t>
        </is>
      </c>
      <c r="W117" s="186" t="inlineStr">
        <is>
          <t>BL vs INT</t>
        </is>
      </c>
    </row>
    <row r="118" ht="15" customHeight="1" s="176">
      <c r="A118" s="186" t="inlineStr">
        <is>
          <t>K229</t>
        </is>
      </c>
      <c r="B118" s="186" t="inlineStr">
        <is>
          <t>034-二次</t>
        </is>
      </c>
      <c r="C118" s="186" t="inlineStr">
        <is>
          <t>Matthew</t>
        </is>
      </c>
      <c r="D118" s="187" t="inlineStr">
        <is>
          <t>干预</t>
        </is>
      </c>
      <c r="E118" s="186" t="inlineStr">
        <is>
          <t>9–12岁</t>
        </is>
      </c>
      <c r="F118" s="187" t="inlineStr">
        <is>
          <t>男</t>
        </is>
      </c>
      <c r="G118" s="188" t="inlineStr">
        <is>
          <t>不纳入该变量（原文未报告）</t>
        </is>
      </c>
      <c r="H118" s="187" t="inlineStr">
        <is>
          <t>成人</t>
        </is>
      </c>
      <c r="I118" s="187" t="inlineStr">
        <is>
          <t>嵌入综合干预方案</t>
        </is>
      </c>
      <c r="J118" s="187" t="inlineStr">
        <is>
          <t>电视</t>
        </is>
      </c>
      <c r="K118" s="188" t="inlineStr">
        <is>
          <t>不纳入该变量（原文未报告）</t>
        </is>
      </c>
      <c r="L118" s="187" t="inlineStr">
        <is>
          <t>专用训练空间</t>
        </is>
      </c>
      <c r="M118" s="187" t="inlineStr">
        <is>
          <t>家长</t>
        </is>
      </c>
      <c r="N118" s="189" t="inlineStr">
        <is>
          <t>视频设备依据：年份推定（原文播放终端未明确，按确认方案归组）</t>
        </is>
      </c>
      <c r="O118" s="186" t="inlineStr">
        <is>
          <t>9.00岁</t>
        </is>
      </c>
      <c r="P118" s="187" t="inlineStr">
        <is>
          <t>未报告（视频含约5分钟对话示范）</t>
        </is>
      </c>
      <c r="Q118" s="187" t="inlineStr">
        <is>
          <t>社会故事</t>
        </is>
      </c>
      <c r="R118" s="187" t="inlineStr">
        <is>
          <t>成人</t>
        </is>
      </c>
      <c r="S118" s="187" t="inlineStr">
        <is>
          <t>缺失</t>
        </is>
      </c>
      <c r="T118" s="187" t="inlineStr">
        <is>
          <t>家长</t>
        </is>
      </c>
      <c r="U118" s="187" t="inlineStr">
        <is>
          <t>诊所或治疗项目</t>
        </is>
      </c>
      <c r="V118" s="187" t="inlineStr">
        <is>
          <t>加1–2种</t>
        </is>
      </c>
      <c r="W118" s="187" t="inlineStr">
        <is>
          <t>诊室基线 vs Social Stories＋Video Modeling 期</t>
        </is>
      </c>
    </row>
    <row r="119" ht="15" customHeight="1" s="176">
      <c r="A119" s="186" t="inlineStr">
        <is>
          <t>K230</t>
        </is>
      </c>
      <c r="B119" s="186" t="inlineStr">
        <is>
          <t>034-二次</t>
        </is>
      </c>
      <c r="C119" s="186" t="inlineStr">
        <is>
          <t>Matthew</t>
        </is>
      </c>
      <c r="D119" s="187" t="inlineStr">
        <is>
          <t>干预</t>
        </is>
      </c>
      <c r="E119" s="186" t="inlineStr">
        <is>
          <t>9–12岁</t>
        </is>
      </c>
      <c r="F119" s="187" t="inlineStr">
        <is>
          <t>男</t>
        </is>
      </c>
      <c r="G119" s="188" t="inlineStr">
        <is>
          <t>不纳入该变量（原文未报告）</t>
        </is>
      </c>
      <c r="H119" s="187" t="inlineStr">
        <is>
          <t>成人</t>
        </is>
      </c>
      <c r="I119" s="187" t="inlineStr">
        <is>
          <t>嵌入综合干预方案</t>
        </is>
      </c>
      <c r="J119" s="187" t="inlineStr">
        <is>
          <t>电视</t>
        </is>
      </c>
      <c r="K119" s="188" t="inlineStr">
        <is>
          <t>不纳入该变量（原文未报告）</t>
        </is>
      </c>
      <c r="L119" s="187" t="inlineStr">
        <is>
          <t>专用训练空间</t>
        </is>
      </c>
      <c r="M119" s="187" t="inlineStr">
        <is>
          <t>家长</t>
        </is>
      </c>
      <c r="N119" s="189" t="inlineStr">
        <is>
          <t>视频设备依据：年份推定（原文播放终端未明确，按确认方案归组）</t>
        </is>
      </c>
      <c r="O119" s="186" t="inlineStr">
        <is>
          <t>9.00岁</t>
        </is>
      </c>
      <c r="P119" s="187" t="inlineStr">
        <is>
          <t>未报告（视频含约5分钟对话示范）</t>
        </is>
      </c>
      <c r="Q119" s="187" t="inlineStr">
        <is>
          <t>社会故事</t>
        </is>
      </c>
      <c r="R119" s="187" t="inlineStr">
        <is>
          <t>成人</t>
        </is>
      </c>
      <c r="S119" s="187" t="inlineStr">
        <is>
          <t>缺失</t>
        </is>
      </c>
      <c r="T119" s="187" t="inlineStr">
        <is>
          <t>家长</t>
        </is>
      </c>
      <c r="U119" s="187" t="inlineStr">
        <is>
          <t>诊所或治疗项目</t>
        </is>
      </c>
      <c r="V119" s="187" t="inlineStr">
        <is>
          <t>加1–2种</t>
        </is>
      </c>
      <c r="W119" s="187" t="inlineStr">
        <is>
          <t>诊室基线 vs Social Stories＋Video Modeling 期</t>
        </is>
      </c>
    </row>
    <row r="120" ht="15" customHeight="1" s="176">
      <c r="A120" s="186" t="inlineStr">
        <is>
          <t>K231</t>
        </is>
      </c>
      <c r="B120" s="186" t="inlineStr">
        <is>
          <t>034-二次</t>
        </is>
      </c>
      <c r="C120" s="186" t="inlineStr">
        <is>
          <t>Matthew</t>
        </is>
      </c>
      <c r="D120" s="187" t="inlineStr">
        <is>
          <t>干预</t>
        </is>
      </c>
      <c r="E120" s="186" t="inlineStr">
        <is>
          <t>9–12岁</t>
        </is>
      </c>
      <c r="F120" s="187" t="inlineStr">
        <is>
          <t>男</t>
        </is>
      </c>
      <c r="G120" s="188" t="inlineStr">
        <is>
          <t>不纳入该变量（原文未报告）</t>
        </is>
      </c>
      <c r="H120" s="187" t="inlineStr">
        <is>
          <t>成人</t>
        </is>
      </c>
      <c r="I120" s="187" t="inlineStr">
        <is>
          <t>嵌入综合干预方案</t>
        </is>
      </c>
      <c r="J120" s="187" t="inlineStr">
        <is>
          <t>电视</t>
        </is>
      </c>
      <c r="K120" s="188" t="inlineStr">
        <is>
          <t>不纳入该变量（原文未报告）</t>
        </is>
      </c>
      <c r="L120" s="187" t="inlineStr">
        <is>
          <t>专用训练空间</t>
        </is>
      </c>
      <c r="M120" s="187" t="inlineStr">
        <is>
          <t>家长</t>
        </is>
      </c>
      <c r="N120" s="189" t="inlineStr">
        <is>
          <t>视频设备依据：年份推定（原文播放终端未明确，按确认方案归组）</t>
        </is>
      </c>
      <c r="O120" s="186" t="inlineStr">
        <is>
          <t>9.00岁</t>
        </is>
      </c>
      <c r="P120" s="187" t="inlineStr">
        <is>
          <t>未报告（视频含约5分钟对话示范）</t>
        </is>
      </c>
      <c r="Q120" s="187" t="inlineStr">
        <is>
          <t>社会故事</t>
        </is>
      </c>
      <c r="R120" s="187" t="inlineStr">
        <is>
          <t>成人</t>
        </is>
      </c>
      <c r="S120" s="187" t="inlineStr">
        <is>
          <t>缺失</t>
        </is>
      </c>
      <c r="T120" s="187" t="inlineStr">
        <is>
          <t>家长</t>
        </is>
      </c>
      <c r="U120" s="187" t="inlineStr">
        <is>
          <t>诊所或治疗项目</t>
        </is>
      </c>
      <c r="V120" s="187" t="inlineStr">
        <is>
          <t>加1–2种</t>
        </is>
      </c>
      <c r="W120" s="187" t="inlineStr">
        <is>
          <t>诊室基线 vs Social Stories＋Video Modeling 期</t>
        </is>
      </c>
    </row>
    <row r="121" ht="15" customHeight="1" s="176">
      <c r="A121" s="186" t="inlineStr">
        <is>
          <t>K232</t>
        </is>
      </c>
      <c r="B121" s="186" t="inlineStr">
        <is>
          <t>035-二次</t>
        </is>
      </c>
      <c r="C121" s="186" t="inlineStr">
        <is>
          <t>James</t>
        </is>
      </c>
      <c r="D121" s="187" t="inlineStr">
        <is>
          <t>干预</t>
        </is>
      </c>
      <c r="E121" s="186" t="inlineStr">
        <is>
          <t>6岁以下</t>
        </is>
      </c>
      <c r="F121" s="187" t="inlineStr">
        <is>
          <t>男</t>
        </is>
      </c>
      <c r="G121" s="188" t="inlineStr">
        <is>
          <t>不纳入该变量（原文未报告）</t>
        </is>
      </c>
      <c r="H121" s="187" t="inlineStr">
        <is>
          <t>同伴儿童+动画角色</t>
        </is>
      </c>
      <c r="I121" s="187" t="inlineStr">
        <is>
          <t>嵌入综合干预方案</t>
        </is>
      </c>
      <c r="J121" s="187" t="inlineStr">
        <is>
          <t>电视</t>
        </is>
      </c>
      <c r="K121" s="186" t="inlineStr">
        <is>
          <t>60分钟以上</t>
        </is>
      </c>
      <c r="L121" s="187" t="inlineStr">
        <is>
          <t>专用训练空间</t>
        </is>
      </c>
      <c r="M121" s="187" t="inlineStr">
        <is>
          <t>研究人员</t>
        </is>
      </c>
      <c r="N121" s="186" t="n"/>
      <c r="O121" s="186" t="inlineStr">
        <is>
          <t>5.08岁</t>
        </is>
      </c>
      <c r="P121" s="187" t="inlineStr">
        <is>
          <t>每次1.5–2小时</t>
        </is>
      </c>
      <c r="Q121" s="187" t="inlineStr">
        <is>
          <t>讲解、演练、现场示范、反馈、强化、家庭练习</t>
        </is>
      </c>
      <c r="R121" s="187" t="inlineStr">
        <is>
          <t>同伴儿童 + 动画角色</t>
        </is>
      </c>
      <c r="S121" s="187" t="inlineStr">
        <is>
          <t>电视</t>
        </is>
      </c>
      <c r="T121" s="187" t="inlineStr">
        <is>
          <t>研究人员</t>
        </is>
      </c>
      <c r="U121" s="187" t="inlineStr">
        <is>
          <t>诊所或治疗项目</t>
        </is>
      </c>
      <c r="V121" s="187" t="inlineStr">
        <is>
          <t>加3种及以上</t>
        </is>
      </c>
      <c r="W121" s="186" t="inlineStr">
        <is>
          <t>BL vs INT</t>
        </is>
      </c>
    </row>
    <row r="122" ht="15" customHeight="1" s="176">
      <c r="A122" s="186" t="inlineStr">
        <is>
          <t>K233</t>
        </is>
      </c>
      <c r="B122" s="186" t="inlineStr">
        <is>
          <t>035-二次</t>
        </is>
      </c>
      <c r="C122" s="186" t="inlineStr">
        <is>
          <t>James</t>
        </is>
      </c>
      <c r="D122" s="187" t="inlineStr">
        <is>
          <t>维持</t>
        </is>
      </c>
      <c r="E122" s="186" t="inlineStr">
        <is>
          <t>6岁以下</t>
        </is>
      </c>
      <c r="F122" s="187" t="inlineStr">
        <is>
          <t>男</t>
        </is>
      </c>
      <c r="G122" s="188" t="inlineStr">
        <is>
          <t>不纳入该变量（原文未报告）</t>
        </is>
      </c>
      <c r="H122" s="187" t="inlineStr">
        <is>
          <t>同伴儿童+动画角色</t>
        </is>
      </c>
      <c r="I122" s="187" t="inlineStr">
        <is>
          <t>嵌入综合干预方案</t>
        </is>
      </c>
      <c r="J122" s="187" t="inlineStr">
        <is>
          <t>电视</t>
        </is>
      </c>
      <c r="K122" s="186" t="inlineStr">
        <is>
          <t>60分钟以上</t>
        </is>
      </c>
      <c r="L122" s="187" t="inlineStr">
        <is>
          <t>专用训练空间</t>
        </is>
      </c>
      <c r="M122" s="187" t="inlineStr">
        <is>
          <t>研究人员</t>
        </is>
      </c>
      <c r="N122" s="186" t="n"/>
      <c r="O122" s="186" t="inlineStr">
        <is>
          <t>5.08岁</t>
        </is>
      </c>
      <c r="P122" s="187" t="inlineStr">
        <is>
          <t>每次1.5–2小时</t>
        </is>
      </c>
      <c r="Q122" s="187" t="inlineStr">
        <is>
          <t>讲解、演练、现场示范、反馈、强化、家庭练习</t>
        </is>
      </c>
      <c r="R122" s="187" t="inlineStr">
        <is>
          <t>同伴儿童 + 动画角色</t>
        </is>
      </c>
      <c r="S122" s="187" t="inlineStr">
        <is>
          <t>电视</t>
        </is>
      </c>
      <c r="T122" s="187" t="inlineStr">
        <is>
          <t>研究人员</t>
        </is>
      </c>
      <c r="U122" s="187" t="inlineStr">
        <is>
          <t>诊所或治疗项目</t>
        </is>
      </c>
      <c r="V122" s="187" t="inlineStr">
        <is>
          <t>加3种及以上</t>
        </is>
      </c>
      <c r="W122" s="186" t="inlineStr">
        <is>
          <t>BL vs MT（训练情境）</t>
        </is>
      </c>
    </row>
    <row r="123" ht="15" customHeight="1" s="176">
      <c r="A123" s="186" t="inlineStr">
        <is>
          <t>K234</t>
        </is>
      </c>
      <c r="B123" s="186" t="inlineStr">
        <is>
          <t>035-二次</t>
        </is>
      </c>
      <c r="C123" s="186" t="inlineStr">
        <is>
          <t>James</t>
        </is>
      </c>
      <c r="D123" s="187" t="inlineStr">
        <is>
          <t>泛化</t>
        </is>
      </c>
      <c r="E123" s="186" t="inlineStr">
        <is>
          <t>6岁以下</t>
        </is>
      </c>
      <c r="F123" s="187" t="inlineStr">
        <is>
          <t>男</t>
        </is>
      </c>
      <c r="G123" s="188" t="inlineStr">
        <is>
          <t>不纳入该变量（原文未报告）</t>
        </is>
      </c>
      <c r="H123" s="187" t="inlineStr">
        <is>
          <t>同伴儿童+动画角色</t>
        </is>
      </c>
      <c r="I123" s="187" t="inlineStr">
        <is>
          <t>嵌入综合干预方案</t>
        </is>
      </c>
      <c r="J123" s="187" t="inlineStr">
        <is>
          <t>电视</t>
        </is>
      </c>
      <c r="K123" s="186" t="inlineStr">
        <is>
          <t>60分钟以上</t>
        </is>
      </c>
      <c r="L123" s="187" t="inlineStr">
        <is>
          <t>专用训练空间</t>
        </is>
      </c>
      <c r="M123" s="187" t="inlineStr">
        <is>
          <t>研究人员</t>
        </is>
      </c>
      <c r="N123" s="186" t="n"/>
      <c r="O123" s="186" t="inlineStr">
        <is>
          <t>5.08岁</t>
        </is>
      </c>
      <c r="P123" s="187" t="inlineStr">
        <is>
          <t>每次1.5–2小时</t>
        </is>
      </c>
      <c r="Q123" s="187" t="inlineStr">
        <is>
          <t>讲解、演练、现场示范、反馈、强化、家庭练习</t>
        </is>
      </c>
      <c r="R123" s="187" t="inlineStr">
        <is>
          <t>同伴儿童 + 动画角色</t>
        </is>
      </c>
      <c r="S123" s="187" t="inlineStr">
        <is>
          <t>电视</t>
        </is>
      </c>
      <c r="T123" s="187" t="inlineStr">
        <is>
          <t>研究人员</t>
        </is>
      </c>
      <c r="U123" s="187" t="inlineStr">
        <is>
          <t>诊所或治疗项目</t>
        </is>
      </c>
      <c r="V123" s="187" t="inlineStr">
        <is>
          <t>加3种及以上</t>
        </is>
      </c>
      <c r="W123" s="187" t="inlineStr">
        <is>
          <t>泛化 BL vs INT 期泛化探测（空心符号）</t>
        </is>
      </c>
    </row>
    <row r="124" ht="15" customHeight="1" s="176">
      <c r="A124" s="186" t="inlineStr">
        <is>
          <t>K235</t>
        </is>
      </c>
      <c r="B124" s="186" t="inlineStr">
        <is>
          <t>035-二次</t>
        </is>
      </c>
      <c r="C124" s="186" t="inlineStr">
        <is>
          <t>James</t>
        </is>
      </c>
      <c r="D124" s="187" t="inlineStr">
        <is>
          <t>干预</t>
        </is>
      </c>
      <c r="E124" s="186" t="inlineStr">
        <is>
          <t>6岁以下</t>
        </is>
      </c>
      <c r="F124" s="187" t="inlineStr">
        <is>
          <t>男</t>
        </is>
      </c>
      <c r="G124" s="188" t="inlineStr">
        <is>
          <t>不纳入该变量（原文未报告）</t>
        </is>
      </c>
      <c r="H124" s="187" t="inlineStr">
        <is>
          <t>同伴儿童+动画角色</t>
        </is>
      </c>
      <c r="I124" s="187" t="inlineStr">
        <is>
          <t>嵌入综合干预方案</t>
        </is>
      </c>
      <c r="J124" s="187" t="inlineStr">
        <is>
          <t>电视</t>
        </is>
      </c>
      <c r="K124" s="186" t="inlineStr">
        <is>
          <t>60分钟以上</t>
        </is>
      </c>
      <c r="L124" s="187" t="inlineStr">
        <is>
          <t>专用训练空间</t>
        </is>
      </c>
      <c r="M124" s="187" t="inlineStr">
        <is>
          <t>研究人员</t>
        </is>
      </c>
      <c r="N124" s="186" t="n"/>
      <c r="O124" s="186" t="inlineStr">
        <is>
          <t>5.08岁</t>
        </is>
      </c>
      <c r="P124" s="187" t="inlineStr">
        <is>
          <t>每次1.5–2小时</t>
        </is>
      </c>
      <c r="Q124" s="187" t="inlineStr">
        <is>
          <t>讲解、演练、现场示范、反馈、强化、家庭练习</t>
        </is>
      </c>
      <c r="R124" s="187" t="inlineStr">
        <is>
          <t>同伴儿童 + 动画角色</t>
        </is>
      </c>
      <c r="S124" s="187" t="inlineStr">
        <is>
          <t>电视</t>
        </is>
      </c>
      <c r="T124" s="187" t="inlineStr">
        <is>
          <t>研究人员</t>
        </is>
      </c>
      <c r="U124" s="187" t="inlineStr">
        <is>
          <t>诊所或治疗项目</t>
        </is>
      </c>
      <c r="V124" s="187" t="inlineStr">
        <is>
          <t>加3种及以上</t>
        </is>
      </c>
      <c r="W124" s="186" t="inlineStr">
        <is>
          <t>BL vs INT</t>
        </is>
      </c>
    </row>
    <row r="125" ht="15" customHeight="1" s="176">
      <c r="A125" s="186" t="inlineStr">
        <is>
          <t>K236</t>
        </is>
      </c>
      <c r="B125" s="186" t="inlineStr">
        <is>
          <t>035-二次</t>
        </is>
      </c>
      <c r="C125" s="186" t="inlineStr">
        <is>
          <t>James</t>
        </is>
      </c>
      <c r="D125" s="187" t="inlineStr">
        <is>
          <t>维持</t>
        </is>
      </c>
      <c r="E125" s="186" t="inlineStr">
        <is>
          <t>6岁以下</t>
        </is>
      </c>
      <c r="F125" s="187" t="inlineStr">
        <is>
          <t>男</t>
        </is>
      </c>
      <c r="G125" s="188" t="inlineStr">
        <is>
          <t>不纳入该变量（原文未报告）</t>
        </is>
      </c>
      <c r="H125" s="187" t="inlineStr">
        <is>
          <t>同伴儿童+动画角色</t>
        </is>
      </c>
      <c r="I125" s="187" t="inlineStr">
        <is>
          <t>嵌入综合干预方案</t>
        </is>
      </c>
      <c r="J125" s="187" t="inlineStr">
        <is>
          <t>电视</t>
        </is>
      </c>
      <c r="K125" s="186" t="inlineStr">
        <is>
          <t>60分钟以上</t>
        </is>
      </c>
      <c r="L125" s="187" t="inlineStr">
        <is>
          <t>专用训练空间</t>
        </is>
      </c>
      <c r="M125" s="187" t="inlineStr">
        <is>
          <t>研究人员</t>
        </is>
      </c>
      <c r="N125" s="186" t="n"/>
      <c r="O125" s="186" t="inlineStr">
        <is>
          <t>5.08岁</t>
        </is>
      </c>
      <c r="P125" s="187" t="inlineStr">
        <is>
          <t>每次1.5–2小时</t>
        </is>
      </c>
      <c r="Q125" s="187" t="inlineStr">
        <is>
          <t>讲解、演练、现场示范、反馈、强化、家庭练习</t>
        </is>
      </c>
      <c r="R125" s="187" t="inlineStr">
        <is>
          <t>同伴儿童 + 动画角色</t>
        </is>
      </c>
      <c r="S125" s="187" t="inlineStr">
        <is>
          <t>电视</t>
        </is>
      </c>
      <c r="T125" s="187" t="inlineStr">
        <is>
          <t>研究人员</t>
        </is>
      </c>
      <c r="U125" s="187" t="inlineStr">
        <is>
          <t>诊所或治疗项目</t>
        </is>
      </c>
      <c r="V125" s="187" t="inlineStr">
        <is>
          <t>加3种及以上</t>
        </is>
      </c>
      <c r="W125" s="186" t="inlineStr">
        <is>
          <t>BL vs MT（训练情境）</t>
        </is>
      </c>
    </row>
    <row r="126" ht="15" customHeight="1" s="176">
      <c r="A126" s="186" t="inlineStr">
        <is>
          <t>K237</t>
        </is>
      </c>
      <c r="B126" s="186" t="inlineStr">
        <is>
          <t>035-二次</t>
        </is>
      </c>
      <c r="C126" s="186" t="inlineStr">
        <is>
          <t>James</t>
        </is>
      </c>
      <c r="D126" s="187" t="inlineStr">
        <is>
          <t>泛化</t>
        </is>
      </c>
      <c r="E126" s="186" t="inlineStr">
        <is>
          <t>6岁以下</t>
        </is>
      </c>
      <c r="F126" s="187" t="inlineStr">
        <is>
          <t>男</t>
        </is>
      </c>
      <c r="G126" s="188" t="inlineStr">
        <is>
          <t>不纳入该变量（原文未报告）</t>
        </is>
      </c>
      <c r="H126" s="187" t="inlineStr">
        <is>
          <t>同伴儿童+动画角色</t>
        </is>
      </c>
      <c r="I126" s="187" t="inlineStr">
        <is>
          <t>嵌入综合干预方案</t>
        </is>
      </c>
      <c r="J126" s="187" t="inlineStr">
        <is>
          <t>电视</t>
        </is>
      </c>
      <c r="K126" s="186" t="inlineStr">
        <is>
          <t>60分钟以上</t>
        </is>
      </c>
      <c r="L126" s="187" t="inlineStr">
        <is>
          <t>专用训练空间</t>
        </is>
      </c>
      <c r="M126" s="187" t="inlineStr">
        <is>
          <t>研究人员</t>
        </is>
      </c>
      <c r="N126" s="186" t="n"/>
      <c r="O126" s="186" t="inlineStr">
        <is>
          <t>5.08岁</t>
        </is>
      </c>
      <c r="P126" s="187" t="inlineStr">
        <is>
          <t>每次1.5–2小时</t>
        </is>
      </c>
      <c r="Q126" s="187" t="inlineStr">
        <is>
          <t>讲解、演练、现场示范、反馈、强化、家庭练习</t>
        </is>
      </c>
      <c r="R126" s="187" t="inlineStr">
        <is>
          <t>同伴儿童 + 动画角色</t>
        </is>
      </c>
      <c r="S126" s="187" t="inlineStr">
        <is>
          <t>电视</t>
        </is>
      </c>
      <c r="T126" s="187" t="inlineStr">
        <is>
          <t>研究人员</t>
        </is>
      </c>
      <c r="U126" s="187" t="inlineStr">
        <is>
          <t>诊所或治疗项目</t>
        </is>
      </c>
      <c r="V126" s="187" t="inlineStr">
        <is>
          <t>加3种及以上</t>
        </is>
      </c>
      <c r="W126" s="187" t="inlineStr">
        <is>
          <t>泛化 BL vs INT 期泛化探测（空心符号）</t>
        </is>
      </c>
    </row>
    <row r="127" ht="15" customHeight="1" s="176">
      <c r="A127" s="186" t="inlineStr">
        <is>
          <t>K238</t>
        </is>
      </c>
      <c r="B127" s="186" t="inlineStr">
        <is>
          <t>035-二次</t>
        </is>
      </c>
      <c r="C127" s="186" t="inlineStr">
        <is>
          <t>James</t>
        </is>
      </c>
      <c r="D127" s="187" t="inlineStr">
        <is>
          <t>干预</t>
        </is>
      </c>
      <c r="E127" s="186" t="inlineStr">
        <is>
          <t>6岁以下</t>
        </is>
      </c>
      <c r="F127" s="187" t="inlineStr">
        <is>
          <t>男</t>
        </is>
      </c>
      <c r="G127" s="188" t="inlineStr">
        <is>
          <t>不纳入该变量（原文未报告）</t>
        </is>
      </c>
      <c r="H127" s="187" t="inlineStr">
        <is>
          <t>同伴儿童+动画角色</t>
        </is>
      </c>
      <c r="I127" s="187" t="inlineStr">
        <is>
          <t>嵌入综合干预方案</t>
        </is>
      </c>
      <c r="J127" s="187" t="inlineStr">
        <is>
          <t>电视</t>
        </is>
      </c>
      <c r="K127" s="186" t="inlineStr">
        <is>
          <t>60分钟以上</t>
        </is>
      </c>
      <c r="L127" s="187" t="inlineStr">
        <is>
          <t>专用训练空间</t>
        </is>
      </c>
      <c r="M127" s="187" t="inlineStr">
        <is>
          <t>研究人员</t>
        </is>
      </c>
      <c r="N127" s="186" t="n"/>
      <c r="O127" s="186" t="inlineStr">
        <is>
          <t>5.08岁</t>
        </is>
      </c>
      <c r="P127" s="187" t="inlineStr">
        <is>
          <t>每次1.5–2小时</t>
        </is>
      </c>
      <c r="Q127" s="187" t="inlineStr">
        <is>
          <t>讲解、演练、现场示范、反馈、强化、家庭练习</t>
        </is>
      </c>
      <c r="R127" s="187" t="inlineStr">
        <is>
          <t>同伴儿童 + 动画角色</t>
        </is>
      </c>
      <c r="S127" s="187" t="inlineStr">
        <is>
          <t>电视</t>
        </is>
      </c>
      <c r="T127" s="187" t="inlineStr">
        <is>
          <t>研究人员</t>
        </is>
      </c>
      <c r="U127" s="187" t="inlineStr">
        <is>
          <t>诊所或治疗项目</t>
        </is>
      </c>
      <c r="V127" s="187" t="inlineStr">
        <is>
          <t>加3种及以上</t>
        </is>
      </c>
      <c r="W127" s="186" t="inlineStr">
        <is>
          <t>BL vs INT</t>
        </is>
      </c>
    </row>
    <row r="128" ht="15" customHeight="1" s="176">
      <c r="A128" s="186" t="inlineStr">
        <is>
          <t>K239</t>
        </is>
      </c>
      <c r="B128" s="186" t="inlineStr">
        <is>
          <t>035-二次</t>
        </is>
      </c>
      <c r="C128" s="186" t="inlineStr">
        <is>
          <t>James</t>
        </is>
      </c>
      <c r="D128" s="187" t="inlineStr">
        <is>
          <t>维持</t>
        </is>
      </c>
      <c r="E128" s="186" t="inlineStr">
        <is>
          <t>6岁以下</t>
        </is>
      </c>
      <c r="F128" s="187" t="inlineStr">
        <is>
          <t>男</t>
        </is>
      </c>
      <c r="G128" s="188" t="inlineStr">
        <is>
          <t>不纳入该变量（原文未报告）</t>
        </is>
      </c>
      <c r="H128" s="187" t="inlineStr">
        <is>
          <t>同伴儿童+动画角色</t>
        </is>
      </c>
      <c r="I128" s="187" t="inlineStr">
        <is>
          <t>嵌入综合干预方案</t>
        </is>
      </c>
      <c r="J128" s="187" t="inlineStr">
        <is>
          <t>电视</t>
        </is>
      </c>
      <c r="K128" s="186" t="inlineStr">
        <is>
          <t>60分钟以上</t>
        </is>
      </c>
      <c r="L128" s="187" t="inlineStr">
        <is>
          <t>专用训练空间</t>
        </is>
      </c>
      <c r="M128" s="187" t="inlineStr">
        <is>
          <t>研究人员</t>
        </is>
      </c>
      <c r="N128" s="186" t="n"/>
      <c r="O128" s="186" t="inlineStr">
        <is>
          <t>5.08岁</t>
        </is>
      </c>
      <c r="P128" s="187" t="inlineStr">
        <is>
          <t>每次1.5–2小时</t>
        </is>
      </c>
      <c r="Q128" s="187" t="inlineStr">
        <is>
          <t>讲解、演练、现场示范、反馈、强化、家庭练习</t>
        </is>
      </c>
      <c r="R128" s="187" t="inlineStr">
        <is>
          <t>同伴儿童 + 动画角色</t>
        </is>
      </c>
      <c r="S128" s="187" t="inlineStr">
        <is>
          <t>电视</t>
        </is>
      </c>
      <c r="T128" s="187" t="inlineStr">
        <is>
          <t>研究人员</t>
        </is>
      </c>
      <c r="U128" s="187" t="inlineStr">
        <is>
          <t>诊所或治疗项目</t>
        </is>
      </c>
      <c r="V128" s="187" t="inlineStr">
        <is>
          <t>加3种及以上</t>
        </is>
      </c>
      <c r="W128" s="186" t="inlineStr">
        <is>
          <t>BL vs MT（训练情境）</t>
        </is>
      </c>
    </row>
    <row r="129" ht="44" customHeight="1" s="176">
      <c r="A129" s="186" t="inlineStr">
        <is>
          <t>K240</t>
        </is>
      </c>
      <c r="B129" s="186" t="inlineStr">
        <is>
          <t>035-二次</t>
        </is>
      </c>
      <c r="C129" s="186" t="inlineStr">
        <is>
          <t>James</t>
        </is>
      </c>
      <c r="D129" s="187" t="inlineStr">
        <is>
          <t>泛化</t>
        </is>
      </c>
      <c r="E129" s="186" t="inlineStr">
        <is>
          <t>6岁以下</t>
        </is>
      </c>
      <c r="F129" s="187" t="inlineStr">
        <is>
          <t>男</t>
        </is>
      </c>
      <c r="G129" s="188" t="inlineStr">
        <is>
          <t>不纳入该变量（原文未报告）</t>
        </is>
      </c>
      <c r="H129" s="187" t="inlineStr">
        <is>
          <t>同伴儿童+动画角色</t>
        </is>
      </c>
      <c r="I129" s="187" t="inlineStr">
        <is>
          <t>嵌入综合干预方案</t>
        </is>
      </c>
      <c r="J129" s="187" t="inlineStr">
        <is>
          <t>电视</t>
        </is>
      </c>
      <c r="K129" s="186" t="inlineStr">
        <is>
          <t>60分钟以上</t>
        </is>
      </c>
      <c r="L129" s="187" t="inlineStr">
        <is>
          <t>专用训练空间</t>
        </is>
      </c>
      <c r="M129" s="187" t="inlineStr">
        <is>
          <t>研究人员</t>
        </is>
      </c>
      <c r="N129" s="186" t="n"/>
      <c r="O129" s="186" t="inlineStr">
        <is>
          <t>5.08岁</t>
        </is>
      </c>
      <c r="P129" s="187" t="inlineStr">
        <is>
          <t>每次1.5–2小时</t>
        </is>
      </c>
      <c r="Q129" s="187" t="inlineStr">
        <is>
          <t>讲解、演练、现场示范、反馈、强化、家庭练习</t>
        </is>
      </c>
      <c r="R129" s="187" t="inlineStr">
        <is>
          <t>同伴儿童 + 动画角色</t>
        </is>
      </c>
      <c r="S129" s="187" t="inlineStr">
        <is>
          <t>电视</t>
        </is>
      </c>
      <c r="T129" s="187" t="inlineStr">
        <is>
          <t>研究人员</t>
        </is>
      </c>
      <c r="U129" s="187" t="inlineStr">
        <is>
          <t>诊所或治疗项目</t>
        </is>
      </c>
      <c r="V129" s="187" t="inlineStr">
        <is>
          <t>加3种及以上</t>
        </is>
      </c>
      <c r="W129" s="187" t="inlineStr">
        <is>
          <t>泛化 BL vs INT 期泛化探测（空心符号）</t>
        </is>
      </c>
    </row>
    <row r="130" ht="44" customHeight="1" s="176">
      <c r="A130" s="186" t="inlineStr">
        <is>
          <t>K241</t>
        </is>
      </c>
      <c r="B130" s="186" t="inlineStr">
        <is>
          <t>035-二次</t>
        </is>
      </c>
      <c r="C130" s="186" t="inlineStr">
        <is>
          <t>James</t>
        </is>
      </c>
      <c r="D130" s="187" t="inlineStr">
        <is>
          <t>干预</t>
        </is>
      </c>
      <c r="E130" s="186" t="inlineStr">
        <is>
          <t>6岁以下</t>
        </is>
      </c>
      <c r="F130" s="187" t="inlineStr">
        <is>
          <t>男</t>
        </is>
      </c>
      <c r="G130" s="188" t="inlineStr">
        <is>
          <t>不纳入该变量（原文未报告）</t>
        </is>
      </c>
      <c r="H130" s="187" t="inlineStr">
        <is>
          <t>同伴儿童+动画角色</t>
        </is>
      </c>
      <c r="I130" s="187" t="inlineStr">
        <is>
          <t>嵌入综合干预方案</t>
        </is>
      </c>
      <c r="J130" s="187" t="inlineStr">
        <is>
          <t>电视</t>
        </is>
      </c>
      <c r="K130" s="186" t="inlineStr">
        <is>
          <t>60分钟以上</t>
        </is>
      </c>
      <c r="L130" s="187" t="inlineStr">
        <is>
          <t>专用训练空间</t>
        </is>
      </c>
      <c r="M130" s="187" t="inlineStr">
        <is>
          <t>研究人员</t>
        </is>
      </c>
      <c r="N130" s="186" t="n"/>
      <c r="O130" s="186" t="inlineStr">
        <is>
          <t>5.08岁</t>
        </is>
      </c>
      <c r="P130" s="187" t="inlineStr">
        <is>
          <t>每次1.5–2小时</t>
        </is>
      </c>
      <c r="Q130" s="187" t="inlineStr">
        <is>
          <t>讲解、演练、现场示范、反馈、强化、家庭练习</t>
        </is>
      </c>
      <c r="R130" s="187" t="inlineStr">
        <is>
          <t>同伴儿童 + 动画角色</t>
        </is>
      </c>
      <c r="S130" s="187" t="inlineStr">
        <is>
          <t>电视</t>
        </is>
      </c>
      <c r="T130" s="187" t="inlineStr">
        <is>
          <t>研究人员</t>
        </is>
      </c>
      <c r="U130" s="187" t="inlineStr">
        <is>
          <t>诊所或治疗项目</t>
        </is>
      </c>
      <c r="V130" s="187" t="inlineStr">
        <is>
          <t>加3种及以上</t>
        </is>
      </c>
      <c r="W130" s="186" t="inlineStr">
        <is>
          <t>BL vs INT</t>
        </is>
      </c>
    </row>
    <row r="131" ht="44" customHeight="1" s="176">
      <c r="A131" s="186" t="inlineStr">
        <is>
          <t>K242</t>
        </is>
      </c>
      <c r="B131" s="186" t="inlineStr">
        <is>
          <t>035-二次</t>
        </is>
      </c>
      <c r="C131" s="186" t="inlineStr">
        <is>
          <t>James</t>
        </is>
      </c>
      <c r="D131" s="187" t="inlineStr">
        <is>
          <t>泛化</t>
        </is>
      </c>
      <c r="E131" s="186" t="inlineStr">
        <is>
          <t>6岁以下</t>
        </is>
      </c>
      <c r="F131" s="187" t="inlineStr">
        <is>
          <t>男</t>
        </is>
      </c>
      <c r="G131" s="188" t="inlineStr">
        <is>
          <t>不纳入该变量（原文未报告）</t>
        </is>
      </c>
      <c r="H131" s="187" t="inlineStr">
        <is>
          <t>同伴儿童+动画角色</t>
        </is>
      </c>
      <c r="I131" s="187" t="inlineStr">
        <is>
          <t>嵌入综合干预方案</t>
        </is>
      </c>
      <c r="J131" s="187" t="inlineStr">
        <is>
          <t>电视</t>
        </is>
      </c>
      <c r="K131" s="186" t="inlineStr">
        <is>
          <t>60分钟以上</t>
        </is>
      </c>
      <c r="L131" s="187" t="inlineStr">
        <is>
          <t>专用训练空间</t>
        </is>
      </c>
      <c r="M131" s="187" t="inlineStr">
        <is>
          <t>研究人员</t>
        </is>
      </c>
      <c r="N131" s="186" t="n"/>
      <c r="O131" s="186" t="inlineStr">
        <is>
          <t>5.08岁</t>
        </is>
      </c>
      <c r="P131" s="187" t="inlineStr">
        <is>
          <t>每次1.5–2小时</t>
        </is>
      </c>
      <c r="Q131" s="187" t="inlineStr">
        <is>
          <t>讲解、演练、现场示范、反馈、强化、家庭练习</t>
        </is>
      </c>
      <c r="R131" s="187" t="inlineStr">
        <is>
          <t>同伴儿童 + 动画角色</t>
        </is>
      </c>
      <c r="S131" s="187" t="inlineStr">
        <is>
          <t>电视</t>
        </is>
      </c>
      <c r="T131" s="187" t="inlineStr">
        <is>
          <t>研究人员</t>
        </is>
      </c>
      <c r="U131" s="187" t="inlineStr">
        <is>
          <t>诊所或治疗项目</t>
        </is>
      </c>
      <c r="V131" s="187" t="inlineStr">
        <is>
          <t>加3种及以上</t>
        </is>
      </c>
      <c r="W131" s="187" t="inlineStr">
        <is>
          <t>泛化 BL vs INT 期泛化探测（空心符号）</t>
        </is>
      </c>
    </row>
    <row r="132" ht="44" customHeight="1" s="176">
      <c r="A132" s="186" t="inlineStr">
        <is>
          <t>K243</t>
        </is>
      </c>
      <c r="B132" s="186" t="inlineStr">
        <is>
          <t>035-二次</t>
        </is>
      </c>
      <c r="C132" s="186" t="inlineStr">
        <is>
          <t>Ryan</t>
        </is>
      </c>
      <c r="D132" s="187" t="inlineStr">
        <is>
          <t>干预</t>
        </is>
      </c>
      <c r="E132" s="186" t="inlineStr">
        <is>
          <t>6岁以下</t>
        </is>
      </c>
      <c r="F132" s="187" t="inlineStr">
        <is>
          <t>男</t>
        </is>
      </c>
      <c r="G132" s="188" t="inlineStr">
        <is>
          <t>不纳入该变量（原文未报告）</t>
        </is>
      </c>
      <c r="H132" s="187" t="inlineStr">
        <is>
          <t>同伴儿童+动画角色</t>
        </is>
      </c>
      <c r="I132" s="187" t="inlineStr">
        <is>
          <t>嵌入综合干预方案</t>
        </is>
      </c>
      <c r="J132" s="187" t="inlineStr">
        <is>
          <t>电视</t>
        </is>
      </c>
      <c r="K132" s="186" t="inlineStr">
        <is>
          <t>60分钟以上</t>
        </is>
      </c>
      <c r="L132" s="187" t="inlineStr">
        <is>
          <t>专用训练空间</t>
        </is>
      </c>
      <c r="M132" s="187" t="inlineStr">
        <is>
          <t>研究人员</t>
        </is>
      </c>
      <c r="N132" s="186" t="n"/>
      <c r="O132" s="186" t="inlineStr">
        <is>
          <t>5.00岁</t>
        </is>
      </c>
      <c r="P132" s="187" t="inlineStr">
        <is>
          <t>每次1.5–2小时</t>
        </is>
      </c>
      <c r="Q132" s="187" t="inlineStr">
        <is>
          <t>讲解、演练、现场示范、反馈、强化、家庭练习</t>
        </is>
      </c>
      <c r="R132" s="187" t="inlineStr">
        <is>
          <t>同伴儿童 + 动画角色</t>
        </is>
      </c>
      <c r="S132" s="187" t="inlineStr">
        <is>
          <t>电视</t>
        </is>
      </c>
      <c r="T132" s="187" t="inlineStr">
        <is>
          <t>研究人员</t>
        </is>
      </c>
      <c r="U132" s="187" t="inlineStr">
        <is>
          <t>诊所或治疗项目</t>
        </is>
      </c>
      <c r="V132" s="187" t="inlineStr">
        <is>
          <t>加3种及以上</t>
        </is>
      </c>
      <c r="W132" s="186" t="inlineStr">
        <is>
          <t>BL vs INT</t>
        </is>
      </c>
    </row>
    <row r="133" ht="44" customHeight="1" s="176">
      <c r="A133" s="186" t="inlineStr">
        <is>
          <t>K244</t>
        </is>
      </c>
      <c r="B133" s="186" t="inlineStr">
        <is>
          <t>035-二次</t>
        </is>
      </c>
      <c r="C133" s="186" t="inlineStr">
        <is>
          <t>Ryan</t>
        </is>
      </c>
      <c r="D133" s="187" t="inlineStr">
        <is>
          <t>维持</t>
        </is>
      </c>
      <c r="E133" s="186" t="inlineStr">
        <is>
          <t>6岁以下</t>
        </is>
      </c>
      <c r="F133" s="187" t="inlineStr">
        <is>
          <t>男</t>
        </is>
      </c>
      <c r="G133" s="188" t="inlineStr">
        <is>
          <t>不纳入该变量（原文未报告）</t>
        </is>
      </c>
      <c r="H133" s="187" t="inlineStr">
        <is>
          <t>同伴儿童+动画角色</t>
        </is>
      </c>
      <c r="I133" s="187" t="inlineStr">
        <is>
          <t>嵌入综合干预方案</t>
        </is>
      </c>
      <c r="J133" s="187" t="inlineStr">
        <is>
          <t>电视</t>
        </is>
      </c>
      <c r="K133" s="186" t="inlineStr">
        <is>
          <t>60分钟以上</t>
        </is>
      </c>
      <c r="L133" s="187" t="inlineStr">
        <is>
          <t>专用训练空间</t>
        </is>
      </c>
      <c r="M133" s="187" t="inlineStr">
        <is>
          <t>研究人员</t>
        </is>
      </c>
      <c r="N133" s="186" t="n"/>
      <c r="O133" s="186" t="inlineStr">
        <is>
          <t>5.00岁</t>
        </is>
      </c>
      <c r="P133" s="187" t="inlineStr">
        <is>
          <t>每次1.5–2小时</t>
        </is>
      </c>
      <c r="Q133" s="187" t="inlineStr">
        <is>
          <t>讲解、演练、现场示范、反馈、强化、家庭练习</t>
        </is>
      </c>
      <c r="R133" s="187" t="inlineStr">
        <is>
          <t>同伴儿童 + 动画角色</t>
        </is>
      </c>
      <c r="S133" s="187" t="inlineStr">
        <is>
          <t>电视</t>
        </is>
      </c>
      <c r="T133" s="187" t="inlineStr">
        <is>
          <t>研究人员</t>
        </is>
      </c>
      <c r="U133" s="187" t="inlineStr">
        <is>
          <t>诊所或治疗项目</t>
        </is>
      </c>
      <c r="V133" s="187" t="inlineStr">
        <is>
          <t>加3种及以上</t>
        </is>
      </c>
      <c r="W133" s="186" t="inlineStr">
        <is>
          <t>BL vs MT（训练情境）</t>
        </is>
      </c>
    </row>
    <row r="134" ht="44" customHeight="1" s="176">
      <c r="A134" s="186" t="inlineStr">
        <is>
          <t>K245</t>
        </is>
      </c>
      <c r="B134" s="186" t="inlineStr">
        <is>
          <t>035-二次</t>
        </is>
      </c>
      <c r="C134" s="186" t="inlineStr">
        <is>
          <t>Ryan</t>
        </is>
      </c>
      <c r="D134" s="187" t="inlineStr">
        <is>
          <t>泛化</t>
        </is>
      </c>
      <c r="E134" s="186" t="inlineStr">
        <is>
          <t>6岁以下</t>
        </is>
      </c>
      <c r="F134" s="187" t="inlineStr">
        <is>
          <t>男</t>
        </is>
      </c>
      <c r="G134" s="188" t="inlineStr">
        <is>
          <t>不纳入该变量（原文未报告）</t>
        </is>
      </c>
      <c r="H134" s="187" t="inlineStr">
        <is>
          <t>同伴儿童+动画角色</t>
        </is>
      </c>
      <c r="I134" s="187" t="inlineStr">
        <is>
          <t>嵌入综合干预方案</t>
        </is>
      </c>
      <c r="J134" s="187" t="inlineStr">
        <is>
          <t>电视</t>
        </is>
      </c>
      <c r="K134" s="186" t="inlineStr">
        <is>
          <t>60分钟以上</t>
        </is>
      </c>
      <c r="L134" s="187" t="inlineStr">
        <is>
          <t>专用训练空间</t>
        </is>
      </c>
      <c r="M134" s="187" t="inlineStr">
        <is>
          <t>研究人员</t>
        </is>
      </c>
      <c r="N134" s="186" t="n"/>
      <c r="O134" s="186" t="inlineStr">
        <is>
          <t>5.00岁</t>
        </is>
      </c>
      <c r="P134" s="187" t="inlineStr">
        <is>
          <t>每次1.5–2小时</t>
        </is>
      </c>
      <c r="Q134" s="187" t="inlineStr">
        <is>
          <t>讲解、演练、现场示范、反馈、强化、家庭练习</t>
        </is>
      </c>
      <c r="R134" s="187" t="inlineStr">
        <is>
          <t>同伴儿童 + 动画角色</t>
        </is>
      </c>
      <c r="S134" s="187" t="inlineStr">
        <is>
          <t>电视</t>
        </is>
      </c>
      <c r="T134" s="187" t="inlineStr">
        <is>
          <t>研究人员</t>
        </is>
      </c>
      <c r="U134" s="187" t="inlineStr">
        <is>
          <t>诊所或治疗项目</t>
        </is>
      </c>
      <c r="V134" s="187" t="inlineStr">
        <is>
          <t>加3种及以上</t>
        </is>
      </c>
      <c r="W134" s="187" t="inlineStr">
        <is>
          <t>泛化 BL vs INT 期泛化探测（空心符号）</t>
        </is>
      </c>
    </row>
    <row r="135" ht="44" customHeight="1" s="176">
      <c r="A135" s="186" t="inlineStr">
        <is>
          <t>K246</t>
        </is>
      </c>
      <c r="B135" s="186" t="inlineStr">
        <is>
          <t>035-二次</t>
        </is>
      </c>
      <c r="C135" s="186" t="inlineStr">
        <is>
          <t>Ryan</t>
        </is>
      </c>
      <c r="D135" s="187" t="inlineStr">
        <is>
          <t>干预</t>
        </is>
      </c>
      <c r="E135" s="186" t="inlineStr">
        <is>
          <t>6岁以下</t>
        </is>
      </c>
      <c r="F135" s="187" t="inlineStr">
        <is>
          <t>男</t>
        </is>
      </c>
      <c r="G135" s="188" t="inlineStr">
        <is>
          <t>不纳入该变量（原文未报告）</t>
        </is>
      </c>
      <c r="H135" s="187" t="inlineStr">
        <is>
          <t>同伴儿童+动画角色</t>
        </is>
      </c>
      <c r="I135" s="187" t="inlineStr">
        <is>
          <t>嵌入综合干预方案</t>
        </is>
      </c>
      <c r="J135" s="187" t="inlineStr">
        <is>
          <t>电视</t>
        </is>
      </c>
      <c r="K135" s="186" t="inlineStr">
        <is>
          <t>60分钟以上</t>
        </is>
      </c>
      <c r="L135" s="187" t="inlineStr">
        <is>
          <t>专用训练空间</t>
        </is>
      </c>
      <c r="M135" s="187" t="inlineStr">
        <is>
          <t>研究人员</t>
        </is>
      </c>
      <c r="N135" s="186" t="n"/>
      <c r="O135" s="186" t="inlineStr">
        <is>
          <t>5.00岁</t>
        </is>
      </c>
      <c r="P135" s="187" t="inlineStr">
        <is>
          <t>每次1.5–2小时</t>
        </is>
      </c>
      <c r="Q135" s="187" t="inlineStr">
        <is>
          <t>讲解、演练、现场示范、反馈、强化、家庭练习</t>
        </is>
      </c>
      <c r="R135" s="187" t="inlineStr">
        <is>
          <t>同伴儿童 + 动画角色</t>
        </is>
      </c>
      <c r="S135" s="187" t="inlineStr">
        <is>
          <t>电视</t>
        </is>
      </c>
      <c r="T135" s="187" t="inlineStr">
        <is>
          <t>研究人员</t>
        </is>
      </c>
      <c r="U135" s="187" t="inlineStr">
        <is>
          <t>诊所或治疗项目</t>
        </is>
      </c>
      <c r="V135" s="187" t="inlineStr">
        <is>
          <t>加3种及以上</t>
        </is>
      </c>
      <c r="W135" s="186" t="inlineStr">
        <is>
          <t>BL vs INT</t>
        </is>
      </c>
    </row>
    <row r="136" ht="44" customHeight="1" s="176">
      <c r="A136" s="186" t="inlineStr">
        <is>
          <t>K247</t>
        </is>
      </c>
      <c r="B136" s="186" t="inlineStr">
        <is>
          <t>035-二次</t>
        </is>
      </c>
      <c r="C136" s="186" t="inlineStr">
        <is>
          <t>Ryan</t>
        </is>
      </c>
      <c r="D136" s="187" t="inlineStr">
        <is>
          <t>维持</t>
        </is>
      </c>
      <c r="E136" s="186" t="inlineStr">
        <is>
          <t>6岁以下</t>
        </is>
      </c>
      <c r="F136" s="187" t="inlineStr">
        <is>
          <t>男</t>
        </is>
      </c>
      <c r="G136" s="188" t="inlineStr">
        <is>
          <t>不纳入该变量（原文未报告）</t>
        </is>
      </c>
      <c r="H136" s="187" t="inlineStr">
        <is>
          <t>同伴儿童+动画角色</t>
        </is>
      </c>
      <c r="I136" s="187" t="inlineStr">
        <is>
          <t>嵌入综合干预方案</t>
        </is>
      </c>
      <c r="J136" s="187" t="inlineStr">
        <is>
          <t>电视</t>
        </is>
      </c>
      <c r="K136" s="186" t="inlineStr">
        <is>
          <t>60分钟以上</t>
        </is>
      </c>
      <c r="L136" s="187" t="inlineStr">
        <is>
          <t>专用训练空间</t>
        </is>
      </c>
      <c r="M136" s="187" t="inlineStr">
        <is>
          <t>研究人员</t>
        </is>
      </c>
      <c r="N136" s="186" t="n"/>
      <c r="O136" s="186" t="inlineStr">
        <is>
          <t>5.00岁</t>
        </is>
      </c>
      <c r="P136" s="187" t="inlineStr">
        <is>
          <t>每次1.5–2小时</t>
        </is>
      </c>
      <c r="Q136" s="187" t="inlineStr">
        <is>
          <t>讲解、演练、现场示范、反馈、强化、家庭练习</t>
        </is>
      </c>
      <c r="R136" s="187" t="inlineStr">
        <is>
          <t>同伴儿童 + 动画角色</t>
        </is>
      </c>
      <c r="S136" s="187" t="inlineStr">
        <is>
          <t>电视</t>
        </is>
      </c>
      <c r="T136" s="187" t="inlineStr">
        <is>
          <t>研究人员</t>
        </is>
      </c>
      <c r="U136" s="187" t="inlineStr">
        <is>
          <t>诊所或治疗项目</t>
        </is>
      </c>
      <c r="V136" s="187" t="inlineStr">
        <is>
          <t>加3种及以上</t>
        </is>
      </c>
      <c r="W136" s="186" t="inlineStr">
        <is>
          <t>BL vs MT（训练情境）</t>
        </is>
      </c>
    </row>
    <row r="137" ht="44" customHeight="1" s="176">
      <c r="A137" s="186" t="inlineStr">
        <is>
          <t>K248</t>
        </is>
      </c>
      <c r="B137" s="186" t="inlineStr">
        <is>
          <t>035-二次</t>
        </is>
      </c>
      <c r="C137" s="186" t="inlineStr">
        <is>
          <t>Ryan</t>
        </is>
      </c>
      <c r="D137" s="187" t="inlineStr">
        <is>
          <t>泛化</t>
        </is>
      </c>
      <c r="E137" s="186" t="inlineStr">
        <is>
          <t>6岁以下</t>
        </is>
      </c>
      <c r="F137" s="187" t="inlineStr">
        <is>
          <t>男</t>
        </is>
      </c>
      <c r="G137" s="188" t="inlineStr">
        <is>
          <t>不纳入该变量（原文未报告）</t>
        </is>
      </c>
      <c r="H137" s="187" t="inlineStr">
        <is>
          <t>同伴儿童+动画角色</t>
        </is>
      </c>
      <c r="I137" s="187" t="inlineStr">
        <is>
          <t>嵌入综合干预方案</t>
        </is>
      </c>
      <c r="J137" s="187" t="inlineStr">
        <is>
          <t>电视</t>
        </is>
      </c>
      <c r="K137" s="186" t="inlineStr">
        <is>
          <t>60分钟以上</t>
        </is>
      </c>
      <c r="L137" s="187" t="inlineStr">
        <is>
          <t>专用训练空间</t>
        </is>
      </c>
      <c r="M137" s="187" t="inlineStr">
        <is>
          <t>研究人员</t>
        </is>
      </c>
      <c r="N137" s="186" t="n"/>
      <c r="O137" s="186" t="inlineStr">
        <is>
          <t>5.00岁</t>
        </is>
      </c>
      <c r="P137" s="187" t="inlineStr">
        <is>
          <t>每次1.5–2小时</t>
        </is>
      </c>
      <c r="Q137" s="187" t="inlineStr">
        <is>
          <t>讲解、演练、现场示范、反馈、强化、家庭练习</t>
        </is>
      </c>
      <c r="R137" s="187" t="inlineStr">
        <is>
          <t>同伴儿童 + 动画角色</t>
        </is>
      </c>
      <c r="S137" s="187" t="inlineStr">
        <is>
          <t>电视</t>
        </is>
      </c>
      <c r="T137" s="187" t="inlineStr">
        <is>
          <t>研究人员</t>
        </is>
      </c>
      <c r="U137" s="187" t="inlineStr">
        <is>
          <t>诊所或治疗项目</t>
        </is>
      </c>
      <c r="V137" s="187" t="inlineStr">
        <is>
          <t>加3种及以上</t>
        </is>
      </c>
      <c r="W137" s="187" t="inlineStr">
        <is>
          <t>泛化 BL vs INT 期泛化探测（空心符号）</t>
        </is>
      </c>
    </row>
    <row r="138" ht="44" customHeight="1" s="176">
      <c r="A138" s="186" t="inlineStr">
        <is>
          <t>K249</t>
        </is>
      </c>
      <c r="B138" s="186" t="inlineStr">
        <is>
          <t>035-二次</t>
        </is>
      </c>
      <c r="C138" s="186" t="inlineStr">
        <is>
          <t>Ryan</t>
        </is>
      </c>
      <c r="D138" s="187" t="inlineStr">
        <is>
          <t>干预</t>
        </is>
      </c>
      <c r="E138" s="186" t="inlineStr">
        <is>
          <t>6岁以下</t>
        </is>
      </c>
      <c r="F138" s="187" t="inlineStr">
        <is>
          <t>男</t>
        </is>
      </c>
      <c r="G138" s="188" t="inlineStr">
        <is>
          <t>不纳入该变量（原文未报告）</t>
        </is>
      </c>
      <c r="H138" s="187" t="inlineStr">
        <is>
          <t>同伴儿童+动画角色</t>
        </is>
      </c>
      <c r="I138" s="187" t="inlineStr">
        <is>
          <t>嵌入综合干预方案</t>
        </is>
      </c>
      <c r="J138" s="187" t="inlineStr">
        <is>
          <t>电视</t>
        </is>
      </c>
      <c r="K138" s="186" t="inlineStr">
        <is>
          <t>60分钟以上</t>
        </is>
      </c>
      <c r="L138" s="187" t="inlineStr">
        <is>
          <t>专用训练空间</t>
        </is>
      </c>
      <c r="M138" s="187" t="inlineStr">
        <is>
          <t>研究人员</t>
        </is>
      </c>
      <c r="N138" s="186" t="n"/>
      <c r="O138" s="186" t="inlineStr">
        <is>
          <t>5.00岁</t>
        </is>
      </c>
      <c r="P138" s="187" t="inlineStr">
        <is>
          <t>每次1.5–2小时</t>
        </is>
      </c>
      <c r="Q138" s="187" t="inlineStr">
        <is>
          <t>讲解、演练、现场示范、反馈、强化、家庭练习</t>
        </is>
      </c>
      <c r="R138" s="187" t="inlineStr">
        <is>
          <t>同伴儿童 + 动画角色</t>
        </is>
      </c>
      <c r="S138" s="187" t="inlineStr">
        <is>
          <t>电视</t>
        </is>
      </c>
      <c r="T138" s="187" t="inlineStr">
        <is>
          <t>研究人员</t>
        </is>
      </c>
      <c r="U138" s="187" t="inlineStr">
        <is>
          <t>诊所或治疗项目</t>
        </is>
      </c>
      <c r="V138" s="187" t="inlineStr">
        <is>
          <t>加3种及以上</t>
        </is>
      </c>
      <c r="W138" s="186" t="inlineStr">
        <is>
          <t>BL vs INT</t>
        </is>
      </c>
    </row>
    <row r="139" ht="44" customHeight="1" s="176">
      <c r="A139" s="186" t="inlineStr">
        <is>
          <t>K250</t>
        </is>
      </c>
      <c r="B139" s="186" t="inlineStr">
        <is>
          <t>035-二次</t>
        </is>
      </c>
      <c r="C139" s="186" t="inlineStr">
        <is>
          <t>Ryan</t>
        </is>
      </c>
      <c r="D139" s="187" t="inlineStr">
        <is>
          <t>维持</t>
        </is>
      </c>
      <c r="E139" s="186" t="inlineStr">
        <is>
          <t>6岁以下</t>
        </is>
      </c>
      <c r="F139" s="187" t="inlineStr">
        <is>
          <t>男</t>
        </is>
      </c>
      <c r="G139" s="188" t="inlineStr">
        <is>
          <t>不纳入该变量（原文未报告）</t>
        </is>
      </c>
      <c r="H139" s="187" t="inlineStr">
        <is>
          <t>同伴儿童+动画角色</t>
        </is>
      </c>
      <c r="I139" s="187" t="inlineStr">
        <is>
          <t>嵌入综合干预方案</t>
        </is>
      </c>
      <c r="J139" s="187" t="inlineStr">
        <is>
          <t>电视</t>
        </is>
      </c>
      <c r="K139" s="186" t="inlineStr">
        <is>
          <t>60分钟以上</t>
        </is>
      </c>
      <c r="L139" s="187" t="inlineStr">
        <is>
          <t>专用训练空间</t>
        </is>
      </c>
      <c r="M139" s="187" t="inlineStr">
        <is>
          <t>研究人员</t>
        </is>
      </c>
      <c r="N139" s="186" t="n"/>
      <c r="O139" s="186" t="inlineStr">
        <is>
          <t>5.00岁</t>
        </is>
      </c>
      <c r="P139" s="187" t="inlineStr">
        <is>
          <t>每次1.5–2小时</t>
        </is>
      </c>
      <c r="Q139" s="187" t="inlineStr">
        <is>
          <t>讲解、演练、现场示范、反馈、强化、家庭练习</t>
        </is>
      </c>
      <c r="R139" s="187" t="inlineStr">
        <is>
          <t>同伴儿童 + 动画角色</t>
        </is>
      </c>
      <c r="S139" s="187" t="inlineStr">
        <is>
          <t>电视</t>
        </is>
      </c>
      <c r="T139" s="187" t="inlineStr">
        <is>
          <t>研究人员</t>
        </is>
      </c>
      <c r="U139" s="187" t="inlineStr">
        <is>
          <t>诊所或治疗项目</t>
        </is>
      </c>
      <c r="V139" s="187" t="inlineStr">
        <is>
          <t>加3种及以上</t>
        </is>
      </c>
      <c r="W139" s="186" t="inlineStr">
        <is>
          <t>BL vs MT（训练情境）</t>
        </is>
      </c>
    </row>
    <row r="140" ht="44" customHeight="1" s="176">
      <c r="A140" s="186" t="inlineStr">
        <is>
          <t>K251</t>
        </is>
      </c>
      <c r="B140" s="186" t="inlineStr">
        <is>
          <t>035-二次</t>
        </is>
      </c>
      <c r="C140" s="186" t="inlineStr">
        <is>
          <t>Ryan</t>
        </is>
      </c>
      <c r="D140" s="187" t="inlineStr">
        <is>
          <t>泛化</t>
        </is>
      </c>
      <c r="E140" s="186" t="inlineStr">
        <is>
          <t>6岁以下</t>
        </is>
      </c>
      <c r="F140" s="187" t="inlineStr">
        <is>
          <t>男</t>
        </is>
      </c>
      <c r="G140" s="188" t="inlineStr">
        <is>
          <t>不纳入该变量（原文未报告）</t>
        </is>
      </c>
      <c r="H140" s="187" t="inlineStr">
        <is>
          <t>同伴儿童+动画角色</t>
        </is>
      </c>
      <c r="I140" s="187" t="inlineStr">
        <is>
          <t>嵌入综合干预方案</t>
        </is>
      </c>
      <c r="J140" s="187" t="inlineStr">
        <is>
          <t>电视</t>
        </is>
      </c>
      <c r="K140" s="186" t="inlineStr">
        <is>
          <t>60分钟以上</t>
        </is>
      </c>
      <c r="L140" s="187" t="inlineStr">
        <is>
          <t>专用训练空间</t>
        </is>
      </c>
      <c r="M140" s="187" t="inlineStr">
        <is>
          <t>研究人员</t>
        </is>
      </c>
      <c r="N140" s="186" t="n"/>
      <c r="O140" s="186" t="inlineStr">
        <is>
          <t>5.00岁</t>
        </is>
      </c>
      <c r="P140" s="187" t="inlineStr">
        <is>
          <t>每次1.5–2小时</t>
        </is>
      </c>
      <c r="Q140" s="187" t="inlineStr">
        <is>
          <t>讲解、演练、现场示范、反馈、强化、家庭练习</t>
        </is>
      </c>
      <c r="R140" s="187" t="inlineStr">
        <is>
          <t>同伴儿童 + 动画角色</t>
        </is>
      </c>
      <c r="S140" s="187" t="inlineStr">
        <is>
          <t>电视</t>
        </is>
      </c>
      <c r="T140" s="187" t="inlineStr">
        <is>
          <t>研究人员</t>
        </is>
      </c>
      <c r="U140" s="187" t="inlineStr">
        <is>
          <t>诊所或治疗项目</t>
        </is>
      </c>
      <c r="V140" s="187" t="inlineStr">
        <is>
          <t>加3种及以上</t>
        </is>
      </c>
      <c r="W140" s="187" t="inlineStr">
        <is>
          <t>泛化 BL vs INT 期泛化探测（空心符号）</t>
        </is>
      </c>
    </row>
    <row r="141" ht="15" customHeight="1" s="176">
      <c r="A141" s="186" t="inlineStr">
        <is>
          <t>K252</t>
        </is>
      </c>
      <c r="B141" s="186" t="inlineStr">
        <is>
          <t>035-二次</t>
        </is>
      </c>
      <c r="C141" s="186" t="inlineStr">
        <is>
          <t>Ryan</t>
        </is>
      </c>
      <c r="D141" s="187" t="inlineStr">
        <is>
          <t>干预</t>
        </is>
      </c>
      <c r="E141" s="186" t="inlineStr">
        <is>
          <t>6岁以下</t>
        </is>
      </c>
      <c r="F141" s="187" t="inlineStr">
        <is>
          <t>男</t>
        </is>
      </c>
      <c r="G141" s="188" t="inlineStr">
        <is>
          <t>不纳入该变量（原文未报告）</t>
        </is>
      </c>
      <c r="H141" s="187" t="inlineStr">
        <is>
          <t>同伴儿童+动画角色</t>
        </is>
      </c>
      <c r="I141" s="187" t="inlineStr">
        <is>
          <t>嵌入综合干预方案</t>
        </is>
      </c>
      <c r="J141" s="187" t="inlineStr">
        <is>
          <t>电视</t>
        </is>
      </c>
      <c r="K141" s="186" t="inlineStr">
        <is>
          <t>60分钟以上</t>
        </is>
      </c>
      <c r="L141" s="187" t="inlineStr">
        <is>
          <t>专用训练空间</t>
        </is>
      </c>
      <c r="M141" s="187" t="inlineStr">
        <is>
          <t>研究人员</t>
        </is>
      </c>
      <c r="N141" s="186" t="n"/>
      <c r="O141" s="186" t="inlineStr">
        <is>
          <t>5.00岁</t>
        </is>
      </c>
      <c r="P141" s="187" t="inlineStr">
        <is>
          <t>每次1.5–2小时</t>
        </is>
      </c>
      <c r="Q141" s="187" t="inlineStr">
        <is>
          <t>讲解、演练、现场示范、反馈、强化、家庭练习</t>
        </is>
      </c>
      <c r="R141" s="187" t="inlineStr">
        <is>
          <t>同伴儿童 + 动画角色</t>
        </is>
      </c>
      <c r="S141" s="187" t="inlineStr">
        <is>
          <t>电视</t>
        </is>
      </c>
      <c r="T141" s="187" t="inlineStr">
        <is>
          <t>研究人员</t>
        </is>
      </c>
      <c r="U141" s="187" t="inlineStr">
        <is>
          <t>诊所或治疗项目</t>
        </is>
      </c>
      <c r="V141" s="187" t="inlineStr">
        <is>
          <t>加3种及以上</t>
        </is>
      </c>
      <c r="W141" s="186" t="inlineStr">
        <is>
          <t>BL vs INT</t>
        </is>
      </c>
    </row>
    <row r="142" ht="15" customHeight="1" s="176">
      <c r="A142" s="186" t="inlineStr">
        <is>
          <t>K253</t>
        </is>
      </c>
      <c r="B142" s="186" t="inlineStr">
        <is>
          <t>035-二次</t>
        </is>
      </c>
      <c r="C142" s="186" t="inlineStr">
        <is>
          <t>Ryan</t>
        </is>
      </c>
      <c r="D142" s="187" t="inlineStr">
        <is>
          <t>泛化</t>
        </is>
      </c>
      <c r="E142" s="186" t="inlineStr">
        <is>
          <t>6岁以下</t>
        </is>
      </c>
      <c r="F142" s="187" t="inlineStr">
        <is>
          <t>男</t>
        </is>
      </c>
      <c r="G142" s="188" t="inlineStr">
        <is>
          <t>不纳入该变量（原文未报告）</t>
        </is>
      </c>
      <c r="H142" s="187" t="inlineStr">
        <is>
          <t>同伴儿童+动画角色</t>
        </is>
      </c>
      <c r="I142" s="187" t="inlineStr">
        <is>
          <t>嵌入综合干预方案</t>
        </is>
      </c>
      <c r="J142" s="187" t="inlineStr">
        <is>
          <t>电视</t>
        </is>
      </c>
      <c r="K142" s="186" t="inlineStr">
        <is>
          <t>60分钟以上</t>
        </is>
      </c>
      <c r="L142" s="187" t="inlineStr">
        <is>
          <t>专用训练空间</t>
        </is>
      </c>
      <c r="M142" s="187" t="inlineStr">
        <is>
          <t>研究人员</t>
        </is>
      </c>
      <c r="N142" s="186" t="n"/>
      <c r="O142" s="186" t="inlineStr">
        <is>
          <t>5.00岁</t>
        </is>
      </c>
      <c r="P142" s="187" t="inlineStr">
        <is>
          <t>每次1.5–2小时</t>
        </is>
      </c>
      <c r="Q142" s="187" t="inlineStr">
        <is>
          <t>讲解、演练、现场示范、反馈、强化、家庭练习</t>
        </is>
      </c>
      <c r="R142" s="187" t="inlineStr">
        <is>
          <t>同伴儿童 + 动画角色</t>
        </is>
      </c>
      <c r="S142" s="187" t="inlineStr">
        <is>
          <t>电视</t>
        </is>
      </c>
      <c r="T142" s="187" t="inlineStr">
        <is>
          <t>研究人员</t>
        </is>
      </c>
      <c r="U142" s="187" t="inlineStr">
        <is>
          <t>诊所或治疗项目</t>
        </is>
      </c>
      <c r="V142" s="187" t="inlineStr">
        <is>
          <t>加3种及以上</t>
        </is>
      </c>
      <c r="W142" s="187" t="inlineStr">
        <is>
          <t>泛化 BL vs INT 期泛化探测（空心符号）</t>
        </is>
      </c>
    </row>
    <row r="143" ht="15" customHeight="1" s="176">
      <c r="A143" s="186" t="inlineStr">
        <is>
          <t>K254</t>
        </is>
      </c>
      <c r="B143" s="186" t="inlineStr">
        <is>
          <t>035-二次</t>
        </is>
      </c>
      <c r="C143" s="186" t="inlineStr">
        <is>
          <t>Andrew</t>
        </is>
      </c>
      <c r="D143" s="187" t="inlineStr">
        <is>
          <t>干预</t>
        </is>
      </c>
      <c r="E143" s="186" t="inlineStr">
        <is>
          <t>6岁以下</t>
        </is>
      </c>
      <c r="F143" s="187" t="inlineStr">
        <is>
          <t>男</t>
        </is>
      </c>
      <c r="G143" s="188" t="inlineStr">
        <is>
          <t>不纳入该变量（原文未报告）</t>
        </is>
      </c>
      <c r="H143" s="187" t="inlineStr">
        <is>
          <t>同伴儿童+动画角色</t>
        </is>
      </c>
      <c r="I143" s="187" t="inlineStr">
        <is>
          <t>嵌入综合干预方案</t>
        </is>
      </c>
      <c r="J143" s="187" t="inlineStr">
        <is>
          <t>电视</t>
        </is>
      </c>
      <c r="K143" s="186" t="inlineStr">
        <is>
          <t>60分钟以上</t>
        </is>
      </c>
      <c r="L143" s="187" t="inlineStr">
        <is>
          <t>专用训练空间</t>
        </is>
      </c>
      <c r="M143" s="187" t="inlineStr">
        <is>
          <t>研究人员</t>
        </is>
      </c>
      <c r="N143" s="186" t="n"/>
      <c r="O143" s="186" t="inlineStr">
        <is>
          <t>5.83岁</t>
        </is>
      </c>
      <c r="P143" s="187" t="inlineStr">
        <is>
          <t>每次1.5–2小时</t>
        </is>
      </c>
      <c r="Q143" s="187" t="inlineStr">
        <is>
          <t>讲解、演练、现场示范、反馈、强化、家庭练习</t>
        </is>
      </c>
      <c r="R143" s="187" t="inlineStr">
        <is>
          <t>同伴儿童 + 动画角色</t>
        </is>
      </c>
      <c r="S143" s="187" t="inlineStr">
        <is>
          <t>电视</t>
        </is>
      </c>
      <c r="T143" s="187" t="inlineStr">
        <is>
          <t>研究人员</t>
        </is>
      </c>
      <c r="U143" s="187" t="inlineStr">
        <is>
          <t>诊所或治疗项目</t>
        </is>
      </c>
      <c r="V143" s="187" t="inlineStr">
        <is>
          <t>加3种及以上</t>
        </is>
      </c>
      <c r="W143" s="186" t="inlineStr">
        <is>
          <t>BL vs INT</t>
        </is>
      </c>
    </row>
    <row r="144" ht="15" customHeight="1" s="176">
      <c r="A144" s="186" t="inlineStr">
        <is>
          <t>K255</t>
        </is>
      </c>
      <c r="B144" s="186" t="inlineStr">
        <is>
          <t>035-二次</t>
        </is>
      </c>
      <c r="C144" s="186" t="inlineStr">
        <is>
          <t>Andrew</t>
        </is>
      </c>
      <c r="D144" s="187" t="inlineStr">
        <is>
          <t>维持</t>
        </is>
      </c>
      <c r="E144" s="186" t="inlineStr">
        <is>
          <t>6岁以下</t>
        </is>
      </c>
      <c r="F144" s="187" t="inlineStr">
        <is>
          <t>男</t>
        </is>
      </c>
      <c r="G144" s="188" t="inlineStr">
        <is>
          <t>不纳入该变量（原文未报告）</t>
        </is>
      </c>
      <c r="H144" s="187" t="inlineStr">
        <is>
          <t>同伴儿童+动画角色</t>
        </is>
      </c>
      <c r="I144" s="187" t="inlineStr">
        <is>
          <t>嵌入综合干预方案</t>
        </is>
      </c>
      <c r="J144" s="187" t="inlineStr">
        <is>
          <t>电视</t>
        </is>
      </c>
      <c r="K144" s="186" t="inlineStr">
        <is>
          <t>60分钟以上</t>
        </is>
      </c>
      <c r="L144" s="187" t="inlineStr">
        <is>
          <t>专用训练空间</t>
        </is>
      </c>
      <c r="M144" s="187" t="inlineStr">
        <is>
          <t>研究人员</t>
        </is>
      </c>
      <c r="N144" s="186" t="n"/>
      <c r="O144" s="186" t="inlineStr">
        <is>
          <t>5.83岁</t>
        </is>
      </c>
      <c r="P144" s="187" t="inlineStr">
        <is>
          <t>每次1.5–2小时</t>
        </is>
      </c>
      <c r="Q144" s="187" t="inlineStr">
        <is>
          <t>讲解、演练、现场示范、反馈、强化、家庭练习</t>
        </is>
      </c>
      <c r="R144" s="187" t="inlineStr">
        <is>
          <t>同伴儿童 + 动画角色</t>
        </is>
      </c>
      <c r="S144" s="187" t="inlineStr">
        <is>
          <t>电视</t>
        </is>
      </c>
      <c r="T144" s="187" t="inlineStr">
        <is>
          <t>研究人员</t>
        </is>
      </c>
      <c r="U144" s="187" t="inlineStr">
        <is>
          <t>诊所或治疗项目</t>
        </is>
      </c>
      <c r="V144" s="187" t="inlineStr">
        <is>
          <t>加3种及以上</t>
        </is>
      </c>
      <c r="W144" s="186" t="inlineStr">
        <is>
          <t>BL vs MT（训练情境）</t>
        </is>
      </c>
    </row>
    <row r="145" ht="15" customHeight="1" s="176">
      <c r="A145" s="186" t="inlineStr">
        <is>
          <t>K256</t>
        </is>
      </c>
      <c r="B145" s="186" t="inlineStr">
        <is>
          <t>035-二次</t>
        </is>
      </c>
      <c r="C145" s="186" t="inlineStr">
        <is>
          <t>Andrew</t>
        </is>
      </c>
      <c r="D145" s="187" t="inlineStr">
        <is>
          <t>泛化</t>
        </is>
      </c>
      <c r="E145" s="186" t="inlineStr">
        <is>
          <t>6岁以下</t>
        </is>
      </c>
      <c r="F145" s="187" t="inlineStr">
        <is>
          <t>男</t>
        </is>
      </c>
      <c r="G145" s="188" t="inlineStr">
        <is>
          <t>不纳入该变量（原文未报告）</t>
        </is>
      </c>
      <c r="H145" s="187" t="inlineStr">
        <is>
          <t>同伴儿童+动画角色</t>
        </is>
      </c>
      <c r="I145" s="187" t="inlineStr">
        <is>
          <t>嵌入综合干预方案</t>
        </is>
      </c>
      <c r="J145" s="187" t="inlineStr">
        <is>
          <t>电视</t>
        </is>
      </c>
      <c r="K145" s="186" t="inlineStr">
        <is>
          <t>60分钟以上</t>
        </is>
      </c>
      <c r="L145" s="187" t="inlineStr">
        <is>
          <t>专用训练空间</t>
        </is>
      </c>
      <c r="M145" s="187" t="inlineStr">
        <is>
          <t>研究人员</t>
        </is>
      </c>
      <c r="N145" s="186" t="n"/>
      <c r="O145" s="186" t="inlineStr">
        <is>
          <t>5.83岁</t>
        </is>
      </c>
      <c r="P145" s="187" t="inlineStr">
        <is>
          <t>每次1.5–2小时</t>
        </is>
      </c>
      <c r="Q145" s="187" t="inlineStr">
        <is>
          <t>讲解、演练、现场示范、反馈、强化、家庭练习</t>
        </is>
      </c>
      <c r="R145" s="187" t="inlineStr">
        <is>
          <t>同伴儿童 + 动画角色</t>
        </is>
      </c>
      <c r="S145" s="187" t="inlineStr">
        <is>
          <t>电视</t>
        </is>
      </c>
      <c r="T145" s="187" t="inlineStr">
        <is>
          <t>研究人员</t>
        </is>
      </c>
      <c r="U145" s="187" t="inlineStr">
        <is>
          <t>诊所或治疗项目</t>
        </is>
      </c>
      <c r="V145" s="187" t="inlineStr">
        <is>
          <t>加3种及以上</t>
        </is>
      </c>
      <c r="W145" s="187" t="inlineStr">
        <is>
          <t>泛化 BL vs INT 期泛化探测（空心符号）</t>
        </is>
      </c>
    </row>
    <row r="146" ht="15" customHeight="1" s="176">
      <c r="A146" s="186" t="inlineStr">
        <is>
          <t>K257</t>
        </is>
      </c>
      <c r="B146" s="186" t="inlineStr">
        <is>
          <t>035-二次</t>
        </is>
      </c>
      <c r="C146" s="186" t="inlineStr">
        <is>
          <t>Andrew</t>
        </is>
      </c>
      <c r="D146" s="187" t="inlineStr">
        <is>
          <t>干预</t>
        </is>
      </c>
      <c r="E146" s="186" t="inlineStr">
        <is>
          <t>6岁以下</t>
        </is>
      </c>
      <c r="F146" s="187" t="inlineStr">
        <is>
          <t>男</t>
        </is>
      </c>
      <c r="G146" s="188" t="inlineStr">
        <is>
          <t>不纳入该变量（原文未报告）</t>
        </is>
      </c>
      <c r="H146" s="187" t="inlineStr">
        <is>
          <t>同伴儿童+动画角色</t>
        </is>
      </c>
      <c r="I146" s="187" t="inlineStr">
        <is>
          <t>嵌入综合干预方案</t>
        </is>
      </c>
      <c r="J146" s="187" t="inlineStr">
        <is>
          <t>电视</t>
        </is>
      </c>
      <c r="K146" s="186" t="inlineStr">
        <is>
          <t>60分钟以上</t>
        </is>
      </c>
      <c r="L146" s="187" t="inlineStr">
        <is>
          <t>专用训练空间</t>
        </is>
      </c>
      <c r="M146" s="187" t="inlineStr">
        <is>
          <t>研究人员</t>
        </is>
      </c>
      <c r="N146" s="186" t="n"/>
      <c r="O146" s="186" t="inlineStr">
        <is>
          <t>5.83岁</t>
        </is>
      </c>
      <c r="P146" s="187" t="inlineStr">
        <is>
          <t>每次1.5–2小时</t>
        </is>
      </c>
      <c r="Q146" s="187" t="inlineStr">
        <is>
          <t>讲解、演练、现场示范、反馈、强化、家庭练习</t>
        </is>
      </c>
      <c r="R146" s="187" t="inlineStr">
        <is>
          <t>同伴儿童 + 动画角色</t>
        </is>
      </c>
      <c r="S146" s="187" t="inlineStr">
        <is>
          <t>电视</t>
        </is>
      </c>
      <c r="T146" s="187" t="inlineStr">
        <is>
          <t>研究人员</t>
        </is>
      </c>
      <c r="U146" s="187" t="inlineStr">
        <is>
          <t>诊所或治疗项目</t>
        </is>
      </c>
      <c r="V146" s="187" t="inlineStr">
        <is>
          <t>加3种及以上</t>
        </is>
      </c>
      <c r="W146" s="186" t="inlineStr">
        <is>
          <t>BL vs INT</t>
        </is>
      </c>
    </row>
    <row r="147" ht="15" customHeight="1" s="176">
      <c r="A147" s="186" t="inlineStr">
        <is>
          <t>K258</t>
        </is>
      </c>
      <c r="B147" s="186" t="inlineStr">
        <is>
          <t>035-二次</t>
        </is>
      </c>
      <c r="C147" s="186" t="inlineStr">
        <is>
          <t>Andrew</t>
        </is>
      </c>
      <c r="D147" s="187" t="inlineStr">
        <is>
          <t>维持</t>
        </is>
      </c>
      <c r="E147" s="186" t="inlineStr">
        <is>
          <t>6岁以下</t>
        </is>
      </c>
      <c r="F147" s="187" t="inlineStr">
        <is>
          <t>男</t>
        </is>
      </c>
      <c r="G147" s="188" t="inlineStr">
        <is>
          <t>不纳入该变量（原文未报告）</t>
        </is>
      </c>
      <c r="H147" s="187" t="inlineStr">
        <is>
          <t>同伴儿童+动画角色</t>
        </is>
      </c>
      <c r="I147" s="187" t="inlineStr">
        <is>
          <t>嵌入综合干预方案</t>
        </is>
      </c>
      <c r="J147" s="187" t="inlineStr">
        <is>
          <t>电视</t>
        </is>
      </c>
      <c r="K147" s="186" t="inlineStr">
        <is>
          <t>60分钟以上</t>
        </is>
      </c>
      <c r="L147" s="187" t="inlineStr">
        <is>
          <t>专用训练空间</t>
        </is>
      </c>
      <c r="M147" s="187" t="inlineStr">
        <is>
          <t>研究人员</t>
        </is>
      </c>
      <c r="N147" s="186" t="n"/>
      <c r="O147" s="186" t="inlineStr">
        <is>
          <t>5.83岁</t>
        </is>
      </c>
      <c r="P147" s="187" t="inlineStr">
        <is>
          <t>每次1.5–2小时</t>
        </is>
      </c>
      <c r="Q147" s="187" t="inlineStr">
        <is>
          <t>讲解、演练、现场示范、反馈、强化、家庭练习</t>
        </is>
      </c>
      <c r="R147" s="187" t="inlineStr">
        <is>
          <t>同伴儿童 + 动画角色</t>
        </is>
      </c>
      <c r="S147" s="187" t="inlineStr">
        <is>
          <t>电视</t>
        </is>
      </c>
      <c r="T147" s="187" t="inlineStr">
        <is>
          <t>研究人员</t>
        </is>
      </c>
      <c r="U147" s="187" t="inlineStr">
        <is>
          <t>诊所或治疗项目</t>
        </is>
      </c>
      <c r="V147" s="187" t="inlineStr">
        <is>
          <t>加3种及以上</t>
        </is>
      </c>
      <c r="W147" s="186" t="inlineStr">
        <is>
          <t>BL vs MT（训练情境）</t>
        </is>
      </c>
    </row>
    <row r="148" ht="15" customHeight="1" s="176">
      <c r="A148" s="186" t="inlineStr">
        <is>
          <t>K259</t>
        </is>
      </c>
      <c r="B148" s="186" t="inlineStr">
        <is>
          <t>035-二次</t>
        </is>
      </c>
      <c r="C148" s="186" t="inlineStr">
        <is>
          <t>Andrew</t>
        </is>
      </c>
      <c r="D148" s="187" t="inlineStr">
        <is>
          <t>泛化</t>
        </is>
      </c>
      <c r="E148" s="186" t="inlineStr">
        <is>
          <t>6岁以下</t>
        </is>
      </c>
      <c r="F148" s="187" t="inlineStr">
        <is>
          <t>男</t>
        </is>
      </c>
      <c r="G148" s="188" t="inlineStr">
        <is>
          <t>不纳入该变量（原文未报告）</t>
        </is>
      </c>
      <c r="H148" s="187" t="inlineStr">
        <is>
          <t>同伴儿童+动画角色</t>
        </is>
      </c>
      <c r="I148" s="187" t="inlineStr">
        <is>
          <t>嵌入综合干预方案</t>
        </is>
      </c>
      <c r="J148" s="187" t="inlineStr">
        <is>
          <t>电视</t>
        </is>
      </c>
      <c r="K148" s="186" t="inlineStr">
        <is>
          <t>60分钟以上</t>
        </is>
      </c>
      <c r="L148" s="187" t="inlineStr">
        <is>
          <t>专用训练空间</t>
        </is>
      </c>
      <c r="M148" s="187" t="inlineStr">
        <is>
          <t>研究人员</t>
        </is>
      </c>
      <c r="N148" s="186" t="n"/>
      <c r="O148" s="186" t="inlineStr">
        <is>
          <t>5.83岁</t>
        </is>
      </c>
      <c r="P148" s="187" t="inlineStr">
        <is>
          <t>每次1.5–2小时</t>
        </is>
      </c>
      <c r="Q148" s="187" t="inlineStr">
        <is>
          <t>讲解、演练、现场示范、反馈、强化、家庭练习</t>
        </is>
      </c>
      <c r="R148" s="187" t="inlineStr">
        <is>
          <t>同伴儿童 + 动画角色</t>
        </is>
      </c>
      <c r="S148" s="187" t="inlineStr">
        <is>
          <t>电视</t>
        </is>
      </c>
      <c r="T148" s="187" t="inlineStr">
        <is>
          <t>研究人员</t>
        </is>
      </c>
      <c r="U148" s="187" t="inlineStr">
        <is>
          <t>诊所或治疗项目</t>
        </is>
      </c>
      <c r="V148" s="187" t="inlineStr">
        <is>
          <t>加3种及以上</t>
        </is>
      </c>
      <c r="W148" s="187" t="inlineStr">
        <is>
          <t>泛化 BL vs INT 期泛化探测（空心符号）</t>
        </is>
      </c>
    </row>
    <row r="149" ht="15" customHeight="1" s="176">
      <c r="A149" s="186" t="inlineStr">
        <is>
          <t>K260</t>
        </is>
      </c>
      <c r="B149" s="186" t="inlineStr">
        <is>
          <t>035-二次</t>
        </is>
      </c>
      <c r="C149" s="186" t="inlineStr">
        <is>
          <t>Andrew</t>
        </is>
      </c>
      <c r="D149" s="187" t="inlineStr">
        <is>
          <t>干预</t>
        </is>
      </c>
      <c r="E149" s="186" t="inlineStr">
        <is>
          <t>6岁以下</t>
        </is>
      </c>
      <c r="F149" s="187" t="inlineStr">
        <is>
          <t>男</t>
        </is>
      </c>
      <c r="G149" s="188" t="inlineStr">
        <is>
          <t>不纳入该变量（原文未报告）</t>
        </is>
      </c>
      <c r="H149" s="187" t="inlineStr">
        <is>
          <t>同伴儿童+动画角色</t>
        </is>
      </c>
      <c r="I149" s="187" t="inlineStr">
        <is>
          <t>嵌入综合干预方案</t>
        </is>
      </c>
      <c r="J149" s="187" t="inlineStr">
        <is>
          <t>电视</t>
        </is>
      </c>
      <c r="K149" s="186" t="inlineStr">
        <is>
          <t>60分钟以上</t>
        </is>
      </c>
      <c r="L149" s="187" t="inlineStr">
        <is>
          <t>专用训练空间</t>
        </is>
      </c>
      <c r="M149" s="187" t="inlineStr">
        <is>
          <t>研究人员</t>
        </is>
      </c>
      <c r="N149" s="186" t="n"/>
      <c r="O149" s="186" t="inlineStr">
        <is>
          <t>5.83岁</t>
        </is>
      </c>
      <c r="P149" s="187" t="inlineStr">
        <is>
          <t>每次1.5–2小时</t>
        </is>
      </c>
      <c r="Q149" s="187" t="inlineStr">
        <is>
          <t>讲解、演练、现场示范、反馈、强化、家庭练习</t>
        </is>
      </c>
      <c r="R149" s="187" t="inlineStr">
        <is>
          <t>同伴儿童 + 动画角色</t>
        </is>
      </c>
      <c r="S149" s="187" t="inlineStr">
        <is>
          <t>电视</t>
        </is>
      </c>
      <c r="T149" s="187" t="inlineStr">
        <is>
          <t>研究人员</t>
        </is>
      </c>
      <c r="U149" s="187" t="inlineStr">
        <is>
          <t>诊所或治疗项目</t>
        </is>
      </c>
      <c r="V149" s="187" t="inlineStr">
        <is>
          <t>加3种及以上</t>
        </is>
      </c>
      <c r="W149" s="186" t="inlineStr">
        <is>
          <t>BL vs INT</t>
        </is>
      </c>
    </row>
    <row r="150" ht="15" customHeight="1" s="176">
      <c r="A150" s="186" t="inlineStr">
        <is>
          <t>K261</t>
        </is>
      </c>
      <c r="B150" s="186" t="inlineStr">
        <is>
          <t>035-二次</t>
        </is>
      </c>
      <c r="C150" s="186" t="inlineStr">
        <is>
          <t>Andrew</t>
        </is>
      </c>
      <c r="D150" s="187" t="inlineStr">
        <is>
          <t>维持</t>
        </is>
      </c>
      <c r="E150" s="186" t="inlineStr">
        <is>
          <t>6岁以下</t>
        </is>
      </c>
      <c r="F150" s="187" t="inlineStr">
        <is>
          <t>男</t>
        </is>
      </c>
      <c r="G150" s="188" t="inlineStr">
        <is>
          <t>不纳入该变量（原文未报告）</t>
        </is>
      </c>
      <c r="H150" s="187" t="inlineStr">
        <is>
          <t>同伴儿童+动画角色</t>
        </is>
      </c>
      <c r="I150" s="187" t="inlineStr">
        <is>
          <t>嵌入综合干预方案</t>
        </is>
      </c>
      <c r="J150" s="187" t="inlineStr">
        <is>
          <t>电视</t>
        </is>
      </c>
      <c r="K150" s="186" t="inlineStr">
        <is>
          <t>60分钟以上</t>
        </is>
      </c>
      <c r="L150" s="187" t="inlineStr">
        <is>
          <t>专用训练空间</t>
        </is>
      </c>
      <c r="M150" s="187" t="inlineStr">
        <is>
          <t>研究人员</t>
        </is>
      </c>
      <c r="N150" s="186" t="n"/>
      <c r="O150" s="186" t="inlineStr">
        <is>
          <t>5.83岁</t>
        </is>
      </c>
      <c r="P150" s="187" t="inlineStr">
        <is>
          <t>每次1.5–2小时</t>
        </is>
      </c>
      <c r="Q150" s="187" t="inlineStr">
        <is>
          <t>讲解、演练、现场示范、反馈、强化、家庭练习</t>
        </is>
      </c>
      <c r="R150" s="187" t="inlineStr">
        <is>
          <t>同伴儿童 + 动画角色</t>
        </is>
      </c>
      <c r="S150" s="187" t="inlineStr">
        <is>
          <t>电视</t>
        </is>
      </c>
      <c r="T150" s="187" t="inlineStr">
        <is>
          <t>研究人员</t>
        </is>
      </c>
      <c r="U150" s="187" t="inlineStr">
        <is>
          <t>诊所或治疗项目</t>
        </is>
      </c>
      <c r="V150" s="187" t="inlineStr">
        <is>
          <t>加3种及以上</t>
        </is>
      </c>
      <c r="W150" s="186" t="inlineStr">
        <is>
          <t>BL vs MT（训练情境）</t>
        </is>
      </c>
    </row>
    <row r="151" ht="15" customHeight="1" s="176">
      <c r="A151" s="186" t="inlineStr">
        <is>
          <t>K262</t>
        </is>
      </c>
      <c r="B151" s="186" t="inlineStr">
        <is>
          <t>035-二次</t>
        </is>
      </c>
      <c r="C151" s="186" t="inlineStr">
        <is>
          <t>Andrew</t>
        </is>
      </c>
      <c r="D151" s="187" t="inlineStr">
        <is>
          <t>泛化</t>
        </is>
      </c>
      <c r="E151" s="186" t="inlineStr">
        <is>
          <t>6岁以下</t>
        </is>
      </c>
      <c r="F151" s="187" t="inlineStr">
        <is>
          <t>男</t>
        </is>
      </c>
      <c r="G151" s="188" t="inlineStr">
        <is>
          <t>不纳入该变量（原文未报告）</t>
        </is>
      </c>
      <c r="H151" s="187" t="inlineStr">
        <is>
          <t>同伴儿童+动画角色</t>
        </is>
      </c>
      <c r="I151" s="187" t="inlineStr">
        <is>
          <t>嵌入综合干预方案</t>
        </is>
      </c>
      <c r="J151" s="187" t="inlineStr">
        <is>
          <t>电视</t>
        </is>
      </c>
      <c r="K151" s="186" t="inlineStr">
        <is>
          <t>60分钟以上</t>
        </is>
      </c>
      <c r="L151" s="187" t="inlineStr">
        <is>
          <t>专用训练空间</t>
        </is>
      </c>
      <c r="M151" s="187" t="inlineStr">
        <is>
          <t>研究人员</t>
        </is>
      </c>
      <c r="N151" s="186" t="n"/>
      <c r="O151" s="186" t="inlineStr">
        <is>
          <t>5.83岁</t>
        </is>
      </c>
      <c r="P151" s="187" t="inlineStr">
        <is>
          <t>每次1.5–2小时</t>
        </is>
      </c>
      <c r="Q151" s="187" t="inlineStr">
        <is>
          <t>讲解、演练、现场示范、反馈、强化、家庭练习</t>
        </is>
      </c>
      <c r="R151" s="187" t="inlineStr">
        <is>
          <t>同伴儿童 + 动画角色</t>
        </is>
      </c>
      <c r="S151" s="187" t="inlineStr">
        <is>
          <t>电视</t>
        </is>
      </c>
      <c r="T151" s="187" t="inlineStr">
        <is>
          <t>研究人员</t>
        </is>
      </c>
      <c r="U151" s="187" t="inlineStr">
        <is>
          <t>诊所或治疗项目</t>
        </is>
      </c>
      <c r="V151" s="187" t="inlineStr">
        <is>
          <t>加3种及以上</t>
        </is>
      </c>
      <c r="W151" s="187" t="inlineStr">
        <is>
          <t>泛化 BL vs INT 期泛化探测（空心符号）</t>
        </is>
      </c>
    </row>
    <row r="152" ht="15" customHeight="1" s="176">
      <c r="A152" s="186" t="inlineStr">
        <is>
          <t>K263</t>
        </is>
      </c>
      <c r="B152" s="186" t="inlineStr">
        <is>
          <t>035-二次</t>
        </is>
      </c>
      <c r="C152" s="186" t="inlineStr">
        <is>
          <t>Andrew</t>
        </is>
      </c>
      <c r="D152" s="187" t="inlineStr">
        <is>
          <t>干预</t>
        </is>
      </c>
      <c r="E152" s="186" t="inlineStr">
        <is>
          <t>6岁以下</t>
        </is>
      </c>
      <c r="F152" s="187" t="inlineStr">
        <is>
          <t>男</t>
        </is>
      </c>
      <c r="G152" s="188" t="inlineStr">
        <is>
          <t>不纳入该变量（原文未报告）</t>
        </is>
      </c>
      <c r="H152" s="187" t="inlineStr">
        <is>
          <t>同伴儿童+动画角色</t>
        </is>
      </c>
      <c r="I152" s="187" t="inlineStr">
        <is>
          <t>嵌入综合干预方案</t>
        </is>
      </c>
      <c r="J152" s="187" t="inlineStr">
        <is>
          <t>电视</t>
        </is>
      </c>
      <c r="K152" s="186" t="inlineStr">
        <is>
          <t>60分钟以上</t>
        </is>
      </c>
      <c r="L152" s="187" t="inlineStr">
        <is>
          <t>专用训练空间</t>
        </is>
      </c>
      <c r="M152" s="187" t="inlineStr">
        <is>
          <t>研究人员</t>
        </is>
      </c>
      <c r="N152" s="186" t="n"/>
      <c r="O152" s="186" t="inlineStr">
        <is>
          <t>5.83岁</t>
        </is>
      </c>
      <c r="P152" s="187" t="inlineStr">
        <is>
          <t>每次1.5–2小时</t>
        </is>
      </c>
      <c r="Q152" s="187" t="inlineStr">
        <is>
          <t>讲解、演练、现场示范、反馈、强化、家庭练习</t>
        </is>
      </c>
      <c r="R152" s="187" t="inlineStr">
        <is>
          <t>同伴儿童 + 动画角色</t>
        </is>
      </c>
      <c r="S152" s="187" t="inlineStr">
        <is>
          <t>电视</t>
        </is>
      </c>
      <c r="T152" s="187" t="inlineStr">
        <is>
          <t>研究人员</t>
        </is>
      </c>
      <c r="U152" s="187" t="inlineStr">
        <is>
          <t>诊所或治疗项目</t>
        </is>
      </c>
      <c r="V152" s="187" t="inlineStr">
        <is>
          <t>加3种及以上</t>
        </is>
      </c>
      <c r="W152" s="186" t="inlineStr">
        <is>
          <t>BL vs INT</t>
        </is>
      </c>
    </row>
    <row r="153" ht="15" customHeight="1" s="176">
      <c r="A153" s="186" t="inlineStr">
        <is>
          <t>K264</t>
        </is>
      </c>
      <c r="B153" s="186" t="inlineStr">
        <is>
          <t>035-二次</t>
        </is>
      </c>
      <c r="C153" s="186" t="inlineStr">
        <is>
          <t>Andrew</t>
        </is>
      </c>
      <c r="D153" s="187" t="inlineStr">
        <is>
          <t>泛化</t>
        </is>
      </c>
      <c r="E153" s="186" t="inlineStr">
        <is>
          <t>6岁以下</t>
        </is>
      </c>
      <c r="F153" s="187" t="inlineStr">
        <is>
          <t>男</t>
        </is>
      </c>
      <c r="G153" s="188" t="inlineStr">
        <is>
          <t>不纳入该变量（原文未报告）</t>
        </is>
      </c>
      <c r="H153" s="187" t="inlineStr">
        <is>
          <t>同伴儿童+动画角色</t>
        </is>
      </c>
      <c r="I153" s="187" t="inlineStr">
        <is>
          <t>嵌入综合干预方案</t>
        </is>
      </c>
      <c r="J153" s="187" t="inlineStr">
        <is>
          <t>电视</t>
        </is>
      </c>
      <c r="K153" s="186" t="inlineStr">
        <is>
          <t>60分钟以上</t>
        </is>
      </c>
      <c r="L153" s="187" t="inlineStr">
        <is>
          <t>专用训练空间</t>
        </is>
      </c>
      <c r="M153" s="187" t="inlineStr">
        <is>
          <t>研究人员</t>
        </is>
      </c>
      <c r="N153" s="186" t="n"/>
      <c r="O153" s="186" t="inlineStr">
        <is>
          <t>5.83岁</t>
        </is>
      </c>
      <c r="P153" s="187" t="inlineStr">
        <is>
          <t>每次1.5–2小时</t>
        </is>
      </c>
      <c r="Q153" s="187" t="inlineStr">
        <is>
          <t>讲解、演练、现场示范、反馈、强化、家庭练习</t>
        </is>
      </c>
      <c r="R153" s="187" t="inlineStr">
        <is>
          <t>同伴儿童 + 动画角色</t>
        </is>
      </c>
      <c r="S153" s="187" t="inlineStr">
        <is>
          <t>电视</t>
        </is>
      </c>
      <c r="T153" s="187" t="inlineStr">
        <is>
          <t>研究人员</t>
        </is>
      </c>
      <c r="U153" s="187" t="inlineStr">
        <is>
          <t>诊所或治疗项目</t>
        </is>
      </c>
      <c r="V153" s="187" t="inlineStr">
        <is>
          <t>加3种及以上</t>
        </is>
      </c>
      <c r="W153" s="187" t="inlineStr">
        <is>
          <t>泛化 BL vs INT 期泛化探测（空心符号）</t>
        </is>
      </c>
    </row>
    <row r="154" ht="15" customHeight="1" s="176">
      <c r="A154" s="186" t="inlineStr">
        <is>
          <t>K265</t>
        </is>
      </c>
      <c r="B154" s="186" t="inlineStr">
        <is>
          <t>037-二次</t>
        </is>
      </c>
      <c r="C154" s="186" t="inlineStr">
        <is>
          <t>Matt</t>
        </is>
      </c>
      <c r="D154" s="187" t="inlineStr">
        <is>
          <t>干预</t>
        </is>
      </c>
      <c r="E154" s="186" t="inlineStr">
        <is>
          <t>9–12岁</t>
        </is>
      </c>
      <c r="F154" s="187" t="inlineStr">
        <is>
          <t>男</t>
        </is>
      </c>
      <c r="G154" s="188" t="inlineStr">
        <is>
          <t>不纳入该变量（原文未报告）</t>
        </is>
      </c>
      <c r="H154" s="187" t="inlineStr">
        <is>
          <t>儿童本人</t>
        </is>
      </c>
      <c r="I154" s="187" t="inlineStr">
        <is>
          <t>单独实施</t>
        </is>
      </c>
      <c r="J154" s="187" t="inlineStr">
        <is>
          <t>电视</t>
        </is>
      </c>
      <c r="K154" s="186" t="inlineStr">
        <is>
          <t>60分钟以上</t>
        </is>
      </c>
      <c r="L154" s="187" t="inlineStr">
        <is>
          <t>家庭社区</t>
        </is>
      </c>
      <c r="M154" s="187" t="inlineStr">
        <is>
          <t>研究人员</t>
        </is>
      </c>
      <c r="N154" s="189" t="inlineStr">
        <is>
          <t>视频设备依据：年份推定（原文播放终端未明确，按确认方案归组）</t>
        </is>
      </c>
      <c r="O154" s="186" t="inlineStr">
        <is>
          <t>11.25岁</t>
        </is>
      </c>
      <c r="P154" s="187" t="inlineStr">
        <is>
          <t>每次至少30分钟，多为1.5小时</t>
        </is>
      </c>
      <c r="Q154" s="187" t="inlineStr">
        <is>
          <t>无</t>
        </is>
      </c>
      <c r="R154" s="187" t="inlineStr">
        <is>
          <t>儿童本人</t>
        </is>
      </c>
      <c r="S154" s="187" t="inlineStr">
        <is>
          <t>缺失</t>
        </is>
      </c>
      <c r="T154" s="187" t="inlineStr">
        <is>
          <t>研究人员</t>
        </is>
      </c>
      <c r="U154" s="187" t="inlineStr">
        <is>
          <t>家庭</t>
        </is>
      </c>
      <c r="V154" s="187" t="inlineStr">
        <is>
          <t>只用视频</t>
        </is>
      </c>
      <c r="W154" s="186" t="inlineStr">
        <is>
          <t>Baseline vs Intervention（VSM）</t>
        </is>
      </c>
    </row>
    <row r="155" ht="15" customHeight="1" s="176">
      <c r="A155" s="186" t="inlineStr">
        <is>
          <t>K266</t>
        </is>
      </c>
      <c r="B155" s="186" t="inlineStr">
        <is>
          <t>037-二次</t>
        </is>
      </c>
      <c r="C155" s="186" t="inlineStr">
        <is>
          <t>Matt</t>
        </is>
      </c>
      <c r="D155" s="187" t="inlineStr">
        <is>
          <t>维持</t>
        </is>
      </c>
      <c r="E155" s="186" t="inlineStr">
        <is>
          <t>9–12岁</t>
        </is>
      </c>
      <c r="F155" s="187" t="inlineStr">
        <is>
          <t>男</t>
        </is>
      </c>
      <c r="G155" s="188" t="inlineStr">
        <is>
          <t>不纳入该变量（原文未报告）</t>
        </is>
      </c>
      <c r="H155" s="187" t="inlineStr">
        <is>
          <t>儿童本人</t>
        </is>
      </c>
      <c r="I155" s="187" t="inlineStr">
        <is>
          <t>单独实施</t>
        </is>
      </c>
      <c r="J155" s="187" t="inlineStr">
        <is>
          <t>电视</t>
        </is>
      </c>
      <c r="K155" s="186" t="inlineStr">
        <is>
          <t>60分钟以上</t>
        </is>
      </c>
      <c r="L155" s="187" t="inlineStr">
        <is>
          <t>家庭社区</t>
        </is>
      </c>
      <c r="M155" s="187" t="inlineStr">
        <is>
          <t>研究人员</t>
        </is>
      </c>
      <c r="N155" s="189" t="inlineStr">
        <is>
          <t>视频设备依据：年份推定（原文播放终端未明确，按确认方案归组）</t>
        </is>
      </c>
      <c r="O155" s="186" t="inlineStr">
        <is>
          <t>11.25岁</t>
        </is>
      </c>
      <c r="P155" s="187" t="inlineStr">
        <is>
          <t>每次至少30分钟，多为1.5小时</t>
        </is>
      </c>
      <c r="Q155" s="187" t="inlineStr">
        <is>
          <t>无</t>
        </is>
      </c>
      <c r="R155" s="187" t="inlineStr">
        <is>
          <t>儿童本人</t>
        </is>
      </c>
      <c r="S155" s="187" t="inlineStr">
        <is>
          <t>缺失</t>
        </is>
      </c>
      <c r="T155" s="187" t="inlineStr">
        <is>
          <t>研究人员</t>
        </is>
      </c>
      <c r="U155" s="187" t="inlineStr">
        <is>
          <t>家庭</t>
        </is>
      </c>
      <c r="V155" s="187" t="inlineStr">
        <is>
          <t>只用视频</t>
        </is>
      </c>
      <c r="W155" s="186" t="inlineStr">
        <is>
          <t>Baseline vs Withdrawal</t>
        </is>
      </c>
    </row>
    <row r="156" ht="15" customHeight="1" s="176">
      <c r="A156" s="186" t="inlineStr">
        <is>
          <t>K267</t>
        </is>
      </c>
      <c r="B156" s="186" t="inlineStr">
        <is>
          <t>037-二次</t>
        </is>
      </c>
      <c r="C156" s="186" t="inlineStr">
        <is>
          <t>Esther</t>
        </is>
      </c>
      <c r="D156" s="187" t="inlineStr">
        <is>
          <t>干预</t>
        </is>
      </c>
      <c r="E156" s="186" t="inlineStr">
        <is>
          <t>9–12岁</t>
        </is>
      </c>
      <c r="F156" s="187" t="inlineStr">
        <is>
          <t>女</t>
        </is>
      </c>
      <c r="G156" s="188" t="inlineStr">
        <is>
          <t>不纳入该变量（原文未报告）</t>
        </is>
      </c>
      <c r="H156" s="187" t="inlineStr">
        <is>
          <t>儿童本人</t>
        </is>
      </c>
      <c r="I156" s="187" t="inlineStr">
        <is>
          <t>单独实施</t>
        </is>
      </c>
      <c r="J156" s="187" t="inlineStr">
        <is>
          <t>电视</t>
        </is>
      </c>
      <c r="K156" s="186" t="inlineStr">
        <is>
          <t>60分钟以上</t>
        </is>
      </c>
      <c r="L156" s="187" t="inlineStr">
        <is>
          <t>家庭社区</t>
        </is>
      </c>
      <c r="M156" s="187" t="inlineStr">
        <is>
          <t>研究人员</t>
        </is>
      </c>
      <c r="N156" s="189" t="inlineStr">
        <is>
          <t>视频设备依据：年份推定（原文播放终端未明确，按确认方案归组）</t>
        </is>
      </c>
      <c r="O156" s="186" t="inlineStr">
        <is>
          <t>11.25岁</t>
        </is>
      </c>
      <c r="P156" s="187" t="inlineStr">
        <is>
          <t>每次至少30分钟，多为1.5小时</t>
        </is>
      </c>
      <c r="Q156" s="187" t="inlineStr">
        <is>
          <t>无</t>
        </is>
      </c>
      <c r="R156" s="187" t="inlineStr">
        <is>
          <t>儿童本人</t>
        </is>
      </c>
      <c r="S156" s="187" t="inlineStr">
        <is>
          <t>缺失</t>
        </is>
      </c>
      <c r="T156" s="187" t="inlineStr">
        <is>
          <t>研究人员</t>
        </is>
      </c>
      <c r="U156" s="187" t="inlineStr">
        <is>
          <t>家庭</t>
        </is>
      </c>
      <c r="V156" s="187" t="inlineStr">
        <is>
          <t>只用视频</t>
        </is>
      </c>
      <c r="W156" s="186" t="inlineStr">
        <is>
          <t>Baseline vs Intervention（VSM）</t>
        </is>
      </c>
    </row>
    <row r="157" ht="15" customHeight="1" s="176">
      <c r="A157" s="186" t="inlineStr">
        <is>
          <t>K268</t>
        </is>
      </c>
      <c r="B157" s="186" t="inlineStr">
        <is>
          <t>037-二次</t>
        </is>
      </c>
      <c r="C157" s="186" t="inlineStr">
        <is>
          <t>Fred</t>
        </is>
      </c>
      <c r="D157" s="187" t="inlineStr">
        <is>
          <t>干预</t>
        </is>
      </c>
      <c r="E157" s="186" t="inlineStr">
        <is>
          <t>6–8岁</t>
        </is>
      </c>
      <c r="F157" s="187" t="inlineStr">
        <is>
          <t>男</t>
        </is>
      </c>
      <c r="G157" s="188" t="inlineStr">
        <is>
          <t>不纳入该变量（原文未报告）</t>
        </is>
      </c>
      <c r="H157" s="187" t="inlineStr">
        <is>
          <t>儿童本人</t>
        </is>
      </c>
      <c r="I157" s="187" t="inlineStr">
        <is>
          <t>单独实施</t>
        </is>
      </c>
      <c r="J157" s="187" t="inlineStr">
        <is>
          <t>电视</t>
        </is>
      </c>
      <c r="K157" s="186" t="inlineStr">
        <is>
          <t>60分钟以上</t>
        </is>
      </c>
      <c r="L157" s="187" t="inlineStr">
        <is>
          <t>家庭社区</t>
        </is>
      </c>
      <c r="M157" s="187" t="inlineStr">
        <is>
          <t>研究人员</t>
        </is>
      </c>
      <c r="N157" s="189" t="inlineStr">
        <is>
          <t>视频设备依据：年份推定（原文播放终端未明确，按确认方案归组）</t>
        </is>
      </c>
      <c r="O157" s="186" t="inlineStr">
        <is>
          <t>8.75岁</t>
        </is>
      </c>
      <c r="P157" s="187" t="inlineStr">
        <is>
          <t>每次至少30分钟，多为1.5小时</t>
        </is>
      </c>
      <c r="Q157" s="187" t="inlineStr">
        <is>
          <t>无</t>
        </is>
      </c>
      <c r="R157" s="187" t="inlineStr">
        <is>
          <t>儿童本人</t>
        </is>
      </c>
      <c r="S157" s="187" t="inlineStr">
        <is>
          <t>缺失</t>
        </is>
      </c>
      <c r="T157" s="187" t="inlineStr">
        <is>
          <t>研究人员</t>
        </is>
      </c>
      <c r="U157" s="187" t="inlineStr">
        <is>
          <t>家庭</t>
        </is>
      </c>
      <c r="V157" s="187" t="inlineStr">
        <is>
          <t>只用视频</t>
        </is>
      </c>
      <c r="W157" s="186" t="inlineStr">
        <is>
          <t>Baseline vs Intervention（VSM）</t>
        </is>
      </c>
    </row>
    <row r="158" ht="15" customHeight="1" s="176">
      <c r="A158" s="186" t="inlineStr">
        <is>
          <t>K269</t>
        </is>
      </c>
      <c r="B158" s="186" t="inlineStr">
        <is>
          <t>038-滚雪球</t>
        </is>
      </c>
      <c r="C158" s="186" t="inlineStr">
        <is>
          <t>Ben</t>
        </is>
      </c>
      <c r="D158" s="187" t="inlineStr">
        <is>
          <t>干预</t>
        </is>
      </c>
      <c r="E158" s="186" t="inlineStr">
        <is>
          <t>9–12岁</t>
        </is>
      </c>
      <c r="F158" s="187" t="inlineStr">
        <is>
          <t>男</t>
        </is>
      </c>
      <c r="G158" s="188" t="inlineStr">
        <is>
          <t>不纳入该变量（原文未报告）</t>
        </is>
      </c>
      <c r="H158" s="187" t="inlineStr">
        <is>
          <t>同伴儿童+动画角色</t>
        </is>
      </c>
      <c r="I158" s="187" t="inlineStr">
        <is>
          <t>嵌入综合干预方案</t>
        </is>
      </c>
      <c r="J158" s="187" t="inlineStr">
        <is>
          <t>电脑</t>
        </is>
      </c>
      <c r="K158" s="186" t="inlineStr">
        <is>
          <t>11～60分钟</t>
        </is>
      </c>
      <c r="L158" s="187" t="inlineStr">
        <is>
          <t>教室</t>
        </is>
      </c>
      <c r="M158" s="187" t="inlineStr">
        <is>
          <t>研究人员</t>
        </is>
      </c>
      <c r="N158" s="186" t="n"/>
      <c r="O158" s="187" t="inlineStr">
        <is>
          <t>按年级（5–6年级）</t>
        </is>
      </c>
      <c r="P158" s="187" t="inlineStr">
        <is>
          <t>每次20–30分钟</t>
        </is>
      </c>
      <c r="Q158" s="187" t="inlineStr">
        <is>
          <t>演练、现场示范、反馈、强化</t>
        </is>
      </c>
      <c r="R158" s="187" t="inlineStr">
        <is>
          <t>同伴儿童 + 动画角色</t>
        </is>
      </c>
      <c r="S158" s="187" t="inlineStr">
        <is>
          <t>电脑</t>
        </is>
      </c>
      <c r="T158" s="187" t="inlineStr">
        <is>
          <t>研究人员</t>
        </is>
      </c>
      <c r="U158" s="187" t="inlineStr">
        <is>
          <t>学校</t>
        </is>
      </c>
      <c r="V158" s="187" t="inlineStr">
        <is>
          <t>加3种及以上</t>
        </is>
      </c>
      <c r="W158" s="186" t="inlineStr">
        <is>
          <t>BL vs INT</t>
        </is>
      </c>
    </row>
    <row r="159" ht="15" customHeight="1" s="176">
      <c r="A159" s="186" t="inlineStr">
        <is>
          <t>K270</t>
        </is>
      </c>
      <c r="B159" s="186" t="inlineStr">
        <is>
          <t>038-滚雪球</t>
        </is>
      </c>
      <c r="C159" s="186" t="inlineStr">
        <is>
          <t>Ben</t>
        </is>
      </c>
      <c r="D159" s="187" t="inlineStr">
        <is>
          <t>维持</t>
        </is>
      </c>
      <c r="E159" s="186" t="inlineStr">
        <is>
          <t>9–12岁</t>
        </is>
      </c>
      <c r="F159" s="187" t="inlineStr">
        <is>
          <t>男</t>
        </is>
      </c>
      <c r="G159" s="188" t="inlineStr">
        <is>
          <t>不纳入该变量（原文未报告）</t>
        </is>
      </c>
      <c r="H159" s="187" t="inlineStr">
        <is>
          <t>同伴儿童+动画角色</t>
        </is>
      </c>
      <c r="I159" s="187" t="inlineStr">
        <is>
          <t>嵌入综合干预方案</t>
        </is>
      </c>
      <c r="J159" s="187" t="inlineStr">
        <is>
          <t>电脑</t>
        </is>
      </c>
      <c r="K159" s="186" t="inlineStr">
        <is>
          <t>11～60分钟</t>
        </is>
      </c>
      <c r="L159" s="187" t="inlineStr">
        <is>
          <t>教室</t>
        </is>
      </c>
      <c r="M159" s="187" t="inlineStr">
        <is>
          <t>研究人员</t>
        </is>
      </c>
      <c r="N159" s="186" t="n"/>
      <c r="O159" s="187" t="inlineStr">
        <is>
          <t>按年级（5–6年级）</t>
        </is>
      </c>
      <c r="P159" s="187" t="inlineStr">
        <is>
          <t>每次20–30分钟</t>
        </is>
      </c>
      <c r="Q159" s="187" t="inlineStr">
        <is>
          <t>演练、现场示范、反馈、强化</t>
        </is>
      </c>
      <c r="R159" s="187" t="inlineStr">
        <is>
          <t>同伴儿童 + 动画角色</t>
        </is>
      </c>
      <c r="S159" s="187" t="inlineStr">
        <is>
          <t>电脑</t>
        </is>
      </c>
      <c r="T159" s="187" t="inlineStr">
        <is>
          <t>研究人员</t>
        </is>
      </c>
      <c r="U159" s="187" t="inlineStr">
        <is>
          <t>学校</t>
        </is>
      </c>
      <c r="V159" s="187" t="inlineStr">
        <is>
          <t>加3种及以上</t>
        </is>
      </c>
      <c r="W159" s="186" t="inlineStr">
        <is>
          <t>BL vs MT（训练情境）</t>
        </is>
      </c>
    </row>
    <row r="160" ht="15" customHeight="1" s="176">
      <c r="A160" s="186" t="inlineStr">
        <is>
          <t>K271</t>
        </is>
      </c>
      <c r="B160" s="186" t="inlineStr">
        <is>
          <t>038-滚雪球</t>
        </is>
      </c>
      <c r="C160" s="186" t="inlineStr">
        <is>
          <t>Ben</t>
        </is>
      </c>
      <c r="D160" s="187" t="inlineStr">
        <is>
          <t>泛化</t>
        </is>
      </c>
      <c r="E160" s="186" t="inlineStr">
        <is>
          <t>9–12岁</t>
        </is>
      </c>
      <c r="F160" s="187" t="inlineStr">
        <is>
          <t>男</t>
        </is>
      </c>
      <c r="G160" s="188" t="inlineStr">
        <is>
          <t>不纳入该变量（原文未报告）</t>
        </is>
      </c>
      <c r="H160" s="187" t="inlineStr">
        <is>
          <t>同伴儿童+动画角色</t>
        </is>
      </c>
      <c r="I160" s="187" t="inlineStr">
        <is>
          <t>嵌入综合干预方案</t>
        </is>
      </c>
      <c r="J160" s="187" t="inlineStr">
        <is>
          <t>电脑</t>
        </is>
      </c>
      <c r="K160" s="186" t="inlineStr">
        <is>
          <t>11～60分钟</t>
        </is>
      </c>
      <c r="L160" s="187" t="inlineStr">
        <is>
          <t>教室</t>
        </is>
      </c>
      <c r="M160" s="187" t="inlineStr">
        <is>
          <t>研究人员</t>
        </is>
      </c>
      <c r="N160" s="186" t="n"/>
      <c r="O160" s="187" t="inlineStr">
        <is>
          <t>按年级（5–6年级）</t>
        </is>
      </c>
      <c r="P160" s="187" t="inlineStr">
        <is>
          <t>每次20–30分钟</t>
        </is>
      </c>
      <c r="Q160" s="187" t="inlineStr">
        <is>
          <t>演练、现场示范、反馈、强化</t>
        </is>
      </c>
      <c r="R160" s="187" t="inlineStr">
        <is>
          <t>同伴儿童 + 动画角色</t>
        </is>
      </c>
      <c r="S160" s="187" t="inlineStr">
        <is>
          <t>电脑</t>
        </is>
      </c>
      <c r="T160" s="187" t="inlineStr">
        <is>
          <t>研究人员</t>
        </is>
      </c>
      <c r="U160" s="187" t="inlineStr">
        <is>
          <t>学校</t>
        </is>
      </c>
      <c r="V160" s="187" t="inlineStr">
        <is>
          <t>加3种及以上</t>
        </is>
      </c>
      <c r="W160" s="187" t="inlineStr">
        <is>
          <t>泛化 BL vs INT 期泛化探测（空心符号）</t>
        </is>
      </c>
    </row>
    <row r="161" ht="15" customHeight="1" s="176">
      <c r="A161" s="186" t="inlineStr">
        <is>
          <t>K272</t>
        </is>
      </c>
      <c r="B161" s="186" t="inlineStr">
        <is>
          <t>038-滚雪球</t>
        </is>
      </c>
      <c r="C161" s="186" t="inlineStr">
        <is>
          <t>Ben</t>
        </is>
      </c>
      <c r="D161" s="187" t="inlineStr">
        <is>
          <t>干预</t>
        </is>
      </c>
      <c r="E161" s="186" t="inlineStr">
        <is>
          <t>9–12岁</t>
        </is>
      </c>
      <c r="F161" s="187" t="inlineStr">
        <is>
          <t>男</t>
        </is>
      </c>
      <c r="G161" s="188" t="inlineStr">
        <is>
          <t>不纳入该变量（原文未报告）</t>
        </is>
      </c>
      <c r="H161" s="187" t="inlineStr">
        <is>
          <t>同伴儿童+动画角色</t>
        </is>
      </c>
      <c r="I161" s="187" t="inlineStr">
        <is>
          <t>嵌入综合干预方案</t>
        </is>
      </c>
      <c r="J161" s="187" t="inlineStr">
        <is>
          <t>电脑</t>
        </is>
      </c>
      <c r="K161" s="186" t="inlineStr">
        <is>
          <t>11～60分钟</t>
        </is>
      </c>
      <c r="L161" s="187" t="inlineStr">
        <is>
          <t>教室</t>
        </is>
      </c>
      <c r="M161" s="187" t="inlineStr">
        <is>
          <t>研究人员</t>
        </is>
      </c>
      <c r="N161" s="186" t="n"/>
      <c r="O161" s="187" t="inlineStr">
        <is>
          <t>按年级（5–6年级）</t>
        </is>
      </c>
      <c r="P161" s="187" t="inlineStr">
        <is>
          <t>每次20–30分钟</t>
        </is>
      </c>
      <c r="Q161" s="187" t="inlineStr">
        <is>
          <t>演练、现场示范、反馈、强化</t>
        </is>
      </c>
      <c r="R161" s="187" t="inlineStr">
        <is>
          <t>同伴儿童 + 动画角色</t>
        </is>
      </c>
      <c r="S161" s="187" t="inlineStr">
        <is>
          <t>电脑</t>
        </is>
      </c>
      <c r="T161" s="187" t="inlineStr">
        <is>
          <t>研究人员</t>
        </is>
      </c>
      <c r="U161" s="187" t="inlineStr">
        <is>
          <t>学校</t>
        </is>
      </c>
      <c r="V161" s="187" t="inlineStr">
        <is>
          <t>加3种及以上</t>
        </is>
      </c>
      <c r="W161" s="186" t="inlineStr">
        <is>
          <t>BL vs INT</t>
        </is>
      </c>
    </row>
    <row r="162" ht="15" customHeight="1" s="176">
      <c r="A162" s="186" t="inlineStr">
        <is>
          <t>K273</t>
        </is>
      </c>
      <c r="B162" s="186" t="inlineStr">
        <is>
          <t>038-滚雪球</t>
        </is>
      </c>
      <c r="C162" s="186" t="inlineStr">
        <is>
          <t>Ben</t>
        </is>
      </c>
      <c r="D162" s="187" t="inlineStr">
        <is>
          <t>维持</t>
        </is>
      </c>
      <c r="E162" s="186" t="inlineStr">
        <is>
          <t>9–12岁</t>
        </is>
      </c>
      <c r="F162" s="187" t="inlineStr">
        <is>
          <t>男</t>
        </is>
      </c>
      <c r="G162" s="188" t="inlineStr">
        <is>
          <t>不纳入该变量（原文未报告）</t>
        </is>
      </c>
      <c r="H162" s="187" t="inlineStr">
        <is>
          <t>同伴儿童+动画角色</t>
        </is>
      </c>
      <c r="I162" s="187" t="inlineStr">
        <is>
          <t>嵌入综合干预方案</t>
        </is>
      </c>
      <c r="J162" s="187" t="inlineStr">
        <is>
          <t>电脑</t>
        </is>
      </c>
      <c r="K162" s="186" t="inlineStr">
        <is>
          <t>11～60分钟</t>
        </is>
      </c>
      <c r="L162" s="187" t="inlineStr">
        <is>
          <t>教室</t>
        </is>
      </c>
      <c r="M162" s="187" t="inlineStr">
        <is>
          <t>研究人员</t>
        </is>
      </c>
      <c r="N162" s="186" t="n"/>
      <c r="O162" s="187" t="inlineStr">
        <is>
          <t>按年级（5–6年级）</t>
        </is>
      </c>
      <c r="P162" s="187" t="inlineStr">
        <is>
          <t>每次20–30分钟</t>
        </is>
      </c>
      <c r="Q162" s="187" t="inlineStr">
        <is>
          <t>演练、现场示范、反馈、强化</t>
        </is>
      </c>
      <c r="R162" s="187" t="inlineStr">
        <is>
          <t>同伴儿童 + 动画角色</t>
        </is>
      </c>
      <c r="S162" s="187" t="inlineStr">
        <is>
          <t>电脑</t>
        </is>
      </c>
      <c r="T162" s="187" t="inlineStr">
        <is>
          <t>研究人员</t>
        </is>
      </c>
      <c r="U162" s="187" t="inlineStr">
        <is>
          <t>学校</t>
        </is>
      </c>
      <c r="V162" s="187" t="inlineStr">
        <is>
          <t>加3种及以上</t>
        </is>
      </c>
      <c r="W162" s="186" t="inlineStr">
        <is>
          <t>BL vs MT（训练情境）</t>
        </is>
      </c>
    </row>
    <row r="163" ht="15" customHeight="1" s="176">
      <c r="A163" s="186" t="inlineStr">
        <is>
          <t>K274</t>
        </is>
      </c>
      <c r="B163" s="186" t="inlineStr">
        <is>
          <t>038-滚雪球</t>
        </is>
      </c>
      <c r="C163" s="186" t="inlineStr">
        <is>
          <t>Ben</t>
        </is>
      </c>
      <c r="D163" s="187" t="inlineStr">
        <is>
          <t>泛化</t>
        </is>
      </c>
      <c r="E163" s="186" t="inlineStr">
        <is>
          <t>9–12岁</t>
        </is>
      </c>
      <c r="F163" s="187" t="inlineStr">
        <is>
          <t>男</t>
        </is>
      </c>
      <c r="G163" s="188" t="inlineStr">
        <is>
          <t>不纳入该变量（原文未报告）</t>
        </is>
      </c>
      <c r="H163" s="187" t="inlineStr">
        <is>
          <t>同伴儿童+动画角色</t>
        </is>
      </c>
      <c r="I163" s="187" t="inlineStr">
        <is>
          <t>嵌入综合干预方案</t>
        </is>
      </c>
      <c r="J163" s="187" t="inlineStr">
        <is>
          <t>电脑</t>
        </is>
      </c>
      <c r="K163" s="186" t="inlineStr">
        <is>
          <t>11～60分钟</t>
        </is>
      </c>
      <c r="L163" s="187" t="inlineStr">
        <is>
          <t>教室</t>
        </is>
      </c>
      <c r="M163" s="187" t="inlineStr">
        <is>
          <t>研究人员</t>
        </is>
      </c>
      <c r="N163" s="186" t="n"/>
      <c r="O163" s="187" t="inlineStr">
        <is>
          <t>按年级（5–6年级）</t>
        </is>
      </c>
      <c r="P163" s="187" t="inlineStr">
        <is>
          <t>每次20–30分钟</t>
        </is>
      </c>
      <c r="Q163" s="187" t="inlineStr">
        <is>
          <t>演练、现场示范、反馈、强化</t>
        </is>
      </c>
      <c r="R163" s="187" t="inlineStr">
        <is>
          <t>同伴儿童 + 动画角色</t>
        </is>
      </c>
      <c r="S163" s="187" t="inlineStr">
        <is>
          <t>电脑</t>
        </is>
      </c>
      <c r="T163" s="187" t="inlineStr">
        <is>
          <t>研究人员</t>
        </is>
      </c>
      <c r="U163" s="187" t="inlineStr">
        <is>
          <t>学校</t>
        </is>
      </c>
      <c r="V163" s="187" t="inlineStr">
        <is>
          <t>加3种及以上</t>
        </is>
      </c>
      <c r="W163" s="187" t="inlineStr">
        <is>
          <t>泛化 BL vs INT 期泛化探测（空心符号）</t>
        </is>
      </c>
    </row>
    <row r="164" ht="15" customHeight="1" s="176">
      <c r="A164" s="186" t="inlineStr">
        <is>
          <t>K275</t>
        </is>
      </c>
      <c r="B164" s="186" t="inlineStr">
        <is>
          <t>038-滚雪球</t>
        </is>
      </c>
      <c r="C164" s="186" t="inlineStr">
        <is>
          <t>Ben</t>
        </is>
      </c>
      <c r="D164" s="187" t="inlineStr">
        <is>
          <t>干预</t>
        </is>
      </c>
      <c r="E164" s="186" t="inlineStr">
        <is>
          <t>9–12岁</t>
        </is>
      </c>
      <c r="F164" s="187" t="inlineStr">
        <is>
          <t>男</t>
        </is>
      </c>
      <c r="G164" s="188" t="inlineStr">
        <is>
          <t>不纳入该变量（原文未报告）</t>
        </is>
      </c>
      <c r="H164" s="187" t="inlineStr">
        <is>
          <t>同伴儿童+动画角色</t>
        </is>
      </c>
      <c r="I164" s="187" t="inlineStr">
        <is>
          <t>嵌入综合干预方案</t>
        </is>
      </c>
      <c r="J164" s="187" t="inlineStr">
        <is>
          <t>电脑</t>
        </is>
      </c>
      <c r="K164" s="186" t="inlineStr">
        <is>
          <t>11～60分钟</t>
        </is>
      </c>
      <c r="L164" s="187" t="inlineStr">
        <is>
          <t>教室</t>
        </is>
      </c>
      <c r="M164" s="187" t="inlineStr">
        <is>
          <t>研究人员</t>
        </is>
      </c>
      <c r="N164" s="186" t="n"/>
      <c r="O164" s="187" t="inlineStr">
        <is>
          <t>按年级（5–6年级）</t>
        </is>
      </c>
      <c r="P164" s="187" t="inlineStr">
        <is>
          <t>每次20–30分钟</t>
        </is>
      </c>
      <c r="Q164" s="187" t="inlineStr">
        <is>
          <t>演练、现场示范、反馈、强化</t>
        </is>
      </c>
      <c r="R164" s="187" t="inlineStr">
        <is>
          <t>同伴儿童 + 动画角色</t>
        </is>
      </c>
      <c r="S164" s="187" t="inlineStr">
        <is>
          <t>电脑</t>
        </is>
      </c>
      <c r="T164" s="187" t="inlineStr">
        <is>
          <t>研究人员</t>
        </is>
      </c>
      <c r="U164" s="187" t="inlineStr">
        <is>
          <t>学校</t>
        </is>
      </c>
      <c r="V164" s="187" t="inlineStr">
        <is>
          <t>加3种及以上</t>
        </is>
      </c>
      <c r="W164" s="186" t="inlineStr">
        <is>
          <t>BL vs INT</t>
        </is>
      </c>
    </row>
    <row r="165" ht="15" customHeight="1" s="176">
      <c r="A165" s="186" t="inlineStr">
        <is>
          <t>K276</t>
        </is>
      </c>
      <c r="B165" s="186" t="inlineStr">
        <is>
          <t>038-滚雪球</t>
        </is>
      </c>
      <c r="C165" s="186" t="inlineStr">
        <is>
          <t>Ben</t>
        </is>
      </c>
      <c r="D165" s="187" t="inlineStr">
        <is>
          <t>泛化</t>
        </is>
      </c>
      <c r="E165" s="186" t="inlineStr">
        <is>
          <t>9–12岁</t>
        </is>
      </c>
      <c r="F165" s="187" t="inlineStr">
        <is>
          <t>男</t>
        </is>
      </c>
      <c r="G165" s="188" t="inlineStr">
        <is>
          <t>不纳入该变量（原文未报告）</t>
        </is>
      </c>
      <c r="H165" s="187" t="inlineStr">
        <is>
          <t>同伴儿童+动画角色</t>
        </is>
      </c>
      <c r="I165" s="187" t="inlineStr">
        <is>
          <t>嵌入综合干预方案</t>
        </is>
      </c>
      <c r="J165" s="187" t="inlineStr">
        <is>
          <t>电脑</t>
        </is>
      </c>
      <c r="K165" s="186" t="inlineStr">
        <is>
          <t>11～60分钟</t>
        </is>
      </c>
      <c r="L165" s="187" t="inlineStr">
        <is>
          <t>教室</t>
        </is>
      </c>
      <c r="M165" s="187" t="inlineStr">
        <is>
          <t>研究人员</t>
        </is>
      </c>
      <c r="N165" s="186" t="n"/>
      <c r="O165" s="187" t="inlineStr">
        <is>
          <t>按年级（5–6年级）</t>
        </is>
      </c>
      <c r="P165" s="187" t="inlineStr">
        <is>
          <t>每次20–30分钟</t>
        </is>
      </c>
      <c r="Q165" s="187" t="inlineStr">
        <is>
          <t>演练、现场示范、反馈、强化</t>
        </is>
      </c>
      <c r="R165" s="187" t="inlineStr">
        <is>
          <t>同伴儿童 + 动画角色</t>
        </is>
      </c>
      <c r="S165" s="187" t="inlineStr">
        <is>
          <t>电脑</t>
        </is>
      </c>
      <c r="T165" s="187" t="inlineStr">
        <is>
          <t>研究人员</t>
        </is>
      </c>
      <c r="U165" s="187" t="inlineStr">
        <is>
          <t>学校</t>
        </is>
      </c>
      <c r="V165" s="187" t="inlineStr">
        <is>
          <t>加3种及以上</t>
        </is>
      </c>
      <c r="W165" s="187" t="inlineStr">
        <is>
          <t>泛化 BL vs INT 期泛化探测（空心符号）</t>
        </is>
      </c>
    </row>
    <row r="166" ht="15" customHeight="1" s="176">
      <c r="A166" s="186" t="inlineStr">
        <is>
          <t>K277</t>
        </is>
      </c>
      <c r="B166" s="186" t="inlineStr">
        <is>
          <t>038-滚雪球</t>
        </is>
      </c>
      <c r="C166" s="186" t="inlineStr">
        <is>
          <t>Nick</t>
        </is>
      </c>
      <c r="D166" s="187" t="inlineStr">
        <is>
          <t>干预</t>
        </is>
      </c>
      <c r="E166" s="186" t="inlineStr">
        <is>
          <t>9–12岁</t>
        </is>
      </c>
      <c r="F166" s="187" t="inlineStr">
        <is>
          <t>男</t>
        </is>
      </c>
      <c r="G166" s="188" t="inlineStr">
        <is>
          <t>不纳入该变量（原文未报告）</t>
        </is>
      </c>
      <c r="H166" s="187" t="inlineStr">
        <is>
          <t>同伴儿童+动画角色</t>
        </is>
      </c>
      <c r="I166" s="187" t="inlineStr">
        <is>
          <t>嵌入综合干预方案</t>
        </is>
      </c>
      <c r="J166" s="187" t="inlineStr">
        <is>
          <t>电脑</t>
        </is>
      </c>
      <c r="K166" s="186" t="inlineStr">
        <is>
          <t>11～60分钟</t>
        </is>
      </c>
      <c r="L166" s="187" t="inlineStr">
        <is>
          <t>教室</t>
        </is>
      </c>
      <c r="M166" s="187" t="inlineStr">
        <is>
          <t>研究人员</t>
        </is>
      </c>
      <c r="N166" s="186" t="n"/>
      <c r="O166" s="187" t="inlineStr">
        <is>
          <t>按年级（5–6年级）</t>
        </is>
      </c>
      <c r="P166" s="187" t="inlineStr">
        <is>
          <t>每次20–30分钟</t>
        </is>
      </c>
      <c r="Q166" s="187" t="inlineStr">
        <is>
          <t>演练、现场示范、反馈、强化</t>
        </is>
      </c>
      <c r="R166" s="187" t="inlineStr">
        <is>
          <t>同伴儿童 + 动画角色</t>
        </is>
      </c>
      <c r="S166" s="187" t="inlineStr">
        <is>
          <t>电脑</t>
        </is>
      </c>
      <c r="T166" s="187" t="inlineStr">
        <is>
          <t>研究人员</t>
        </is>
      </c>
      <c r="U166" s="187" t="inlineStr">
        <is>
          <t>学校</t>
        </is>
      </c>
      <c r="V166" s="187" t="inlineStr">
        <is>
          <t>加3种及以上</t>
        </is>
      </c>
      <c r="W166" s="186" t="inlineStr">
        <is>
          <t>BL vs INT</t>
        </is>
      </c>
    </row>
    <row r="167" ht="15" customHeight="1" s="176">
      <c r="A167" s="186" t="inlineStr">
        <is>
          <t>K278</t>
        </is>
      </c>
      <c r="B167" s="186" t="inlineStr">
        <is>
          <t>038-滚雪球</t>
        </is>
      </c>
      <c r="C167" s="186" t="inlineStr">
        <is>
          <t>Nick</t>
        </is>
      </c>
      <c r="D167" s="187" t="inlineStr">
        <is>
          <t>维持</t>
        </is>
      </c>
      <c r="E167" s="186" t="inlineStr">
        <is>
          <t>9–12岁</t>
        </is>
      </c>
      <c r="F167" s="187" t="inlineStr">
        <is>
          <t>男</t>
        </is>
      </c>
      <c r="G167" s="188" t="inlineStr">
        <is>
          <t>不纳入该变量（原文未报告）</t>
        </is>
      </c>
      <c r="H167" s="187" t="inlineStr">
        <is>
          <t>同伴儿童+动画角色</t>
        </is>
      </c>
      <c r="I167" s="187" t="inlineStr">
        <is>
          <t>嵌入综合干预方案</t>
        </is>
      </c>
      <c r="J167" s="187" t="inlineStr">
        <is>
          <t>电脑</t>
        </is>
      </c>
      <c r="K167" s="186" t="inlineStr">
        <is>
          <t>11～60分钟</t>
        </is>
      </c>
      <c r="L167" s="187" t="inlineStr">
        <is>
          <t>教室</t>
        </is>
      </c>
      <c r="M167" s="187" t="inlineStr">
        <is>
          <t>研究人员</t>
        </is>
      </c>
      <c r="N167" s="186" t="n"/>
      <c r="O167" s="187" t="inlineStr">
        <is>
          <t>按年级（5–6年级）</t>
        </is>
      </c>
      <c r="P167" s="187" t="inlineStr">
        <is>
          <t>每次20–30分钟</t>
        </is>
      </c>
      <c r="Q167" s="187" t="inlineStr">
        <is>
          <t>演练、现场示范、反馈、强化</t>
        </is>
      </c>
      <c r="R167" s="187" t="inlineStr">
        <is>
          <t>同伴儿童 + 动画角色</t>
        </is>
      </c>
      <c r="S167" s="187" t="inlineStr">
        <is>
          <t>电脑</t>
        </is>
      </c>
      <c r="T167" s="187" t="inlineStr">
        <is>
          <t>研究人员</t>
        </is>
      </c>
      <c r="U167" s="187" t="inlineStr">
        <is>
          <t>学校</t>
        </is>
      </c>
      <c r="V167" s="187" t="inlineStr">
        <is>
          <t>加3种及以上</t>
        </is>
      </c>
      <c r="W167" s="186" t="inlineStr">
        <is>
          <t>BL vs MT（训练情境）</t>
        </is>
      </c>
    </row>
    <row r="168" ht="15" customHeight="1" s="176">
      <c r="A168" s="186" t="inlineStr">
        <is>
          <t>K279</t>
        </is>
      </c>
      <c r="B168" s="186" t="inlineStr">
        <is>
          <t>038-滚雪球</t>
        </is>
      </c>
      <c r="C168" s="186" t="inlineStr">
        <is>
          <t>Nick</t>
        </is>
      </c>
      <c r="D168" s="187" t="inlineStr">
        <is>
          <t>泛化</t>
        </is>
      </c>
      <c r="E168" s="186" t="inlineStr">
        <is>
          <t>9–12岁</t>
        </is>
      </c>
      <c r="F168" s="187" t="inlineStr">
        <is>
          <t>男</t>
        </is>
      </c>
      <c r="G168" s="188" t="inlineStr">
        <is>
          <t>不纳入该变量（原文未报告）</t>
        </is>
      </c>
      <c r="H168" s="187" t="inlineStr">
        <is>
          <t>同伴儿童+动画角色</t>
        </is>
      </c>
      <c r="I168" s="187" t="inlineStr">
        <is>
          <t>嵌入综合干预方案</t>
        </is>
      </c>
      <c r="J168" s="187" t="inlineStr">
        <is>
          <t>电脑</t>
        </is>
      </c>
      <c r="K168" s="186" t="inlineStr">
        <is>
          <t>11～60分钟</t>
        </is>
      </c>
      <c r="L168" s="187" t="inlineStr">
        <is>
          <t>教室</t>
        </is>
      </c>
      <c r="M168" s="187" t="inlineStr">
        <is>
          <t>研究人员</t>
        </is>
      </c>
      <c r="N168" s="186" t="n"/>
      <c r="O168" s="187" t="inlineStr">
        <is>
          <t>按年级（5–6年级）</t>
        </is>
      </c>
      <c r="P168" s="187" t="inlineStr">
        <is>
          <t>每次20–30分钟</t>
        </is>
      </c>
      <c r="Q168" s="187" t="inlineStr">
        <is>
          <t>演练、现场示范、反馈、强化</t>
        </is>
      </c>
      <c r="R168" s="187" t="inlineStr">
        <is>
          <t>同伴儿童 + 动画角色</t>
        </is>
      </c>
      <c r="S168" s="187" t="inlineStr">
        <is>
          <t>电脑</t>
        </is>
      </c>
      <c r="T168" s="187" t="inlineStr">
        <is>
          <t>研究人员</t>
        </is>
      </c>
      <c r="U168" s="187" t="inlineStr">
        <is>
          <t>学校</t>
        </is>
      </c>
      <c r="V168" s="187" t="inlineStr">
        <is>
          <t>加3种及以上</t>
        </is>
      </c>
      <c r="W168" s="187" t="inlineStr">
        <is>
          <t>泛化 BL vs INT 期泛化探测（空心符号）</t>
        </is>
      </c>
    </row>
    <row r="169" ht="15" customHeight="1" s="176">
      <c r="A169" s="186" t="inlineStr">
        <is>
          <t>K280</t>
        </is>
      </c>
      <c r="B169" s="186" t="inlineStr">
        <is>
          <t>038-滚雪球</t>
        </is>
      </c>
      <c r="C169" s="186" t="inlineStr">
        <is>
          <t>Nick</t>
        </is>
      </c>
      <c r="D169" s="187" t="inlineStr">
        <is>
          <t>干预</t>
        </is>
      </c>
      <c r="E169" s="186" t="inlineStr">
        <is>
          <t>9–12岁</t>
        </is>
      </c>
      <c r="F169" s="187" t="inlineStr">
        <is>
          <t>男</t>
        </is>
      </c>
      <c r="G169" s="188" t="inlineStr">
        <is>
          <t>不纳入该变量（原文未报告）</t>
        </is>
      </c>
      <c r="H169" s="187" t="inlineStr">
        <is>
          <t>同伴儿童+动画角色</t>
        </is>
      </c>
      <c r="I169" s="187" t="inlineStr">
        <is>
          <t>嵌入综合干预方案</t>
        </is>
      </c>
      <c r="J169" s="187" t="inlineStr">
        <is>
          <t>电脑</t>
        </is>
      </c>
      <c r="K169" s="186" t="inlineStr">
        <is>
          <t>11～60分钟</t>
        </is>
      </c>
      <c r="L169" s="187" t="inlineStr">
        <is>
          <t>教室</t>
        </is>
      </c>
      <c r="M169" s="187" t="inlineStr">
        <is>
          <t>研究人员</t>
        </is>
      </c>
      <c r="N169" s="186" t="n"/>
      <c r="O169" s="187" t="inlineStr">
        <is>
          <t>按年级（5–6年级）</t>
        </is>
      </c>
      <c r="P169" s="187" t="inlineStr">
        <is>
          <t>每次20–30分钟</t>
        </is>
      </c>
      <c r="Q169" s="187" t="inlineStr">
        <is>
          <t>演练、现场示范、反馈、强化</t>
        </is>
      </c>
      <c r="R169" s="187" t="inlineStr">
        <is>
          <t>同伴儿童 + 动画角色</t>
        </is>
      </c>
      <c r="S169" s="187" t="inlineStr">
        <is>
          <t>电脑</t>
        </is>
      </c>
      <c r="T169" s="187" t="inlineStr">
        <is>
          <t>研究人员</t>
        </is>
      </c>
      <c r="U169" s="187" t="inlineStr">
        <is>
          <t>学校</t>
        </is>
      </c>
      <c r="V169" s="187" t="inlineStr">
        <is>
          <t>加3种及以上</t>
        </is>
      </c>
      <c r="W169" s="186" t="inlineStr">
        <is>
          <t>BL vs INT</t>
        </is>
      </c>
    </row>
    <row r="170" ht="15" customHeight="1" s="176">
      <c r="A170" s="186" t="inlineStr">
        <is>
          <t>K281</t>
        </is>
      </c>
      <c r="B170" s="186" t="inlineStr">
        <is>
          <t>038-滚雪球</t>
        </is>
      </c>
      <c r="C170" s="186" t="inlineStr">
        <is>
          <t>Nick</t>
        </is>
      </c>
      <c r="D170" s="187" t="inlineStr">
        <is>
          <t>维持</t>
        </is>
      </c>
      <c r="E170" s="186" t="inlineStr">
        <is>
          <t>9–12岁</t>
        </is>
      </c>
      <c r="F170" s="187" t="inlineStr">
        <is>
          <t>男</t>
        </is>
      </c>
      <c r="G170" s="188" t="inlineStr">
        <is>
          <t>不纳入该变量（原文未报告）</t>
        </is>
      </c>
      <c r="H170" s="187" t="inlineStr">
        <is>
          <t>同伴儿童+动画角色</t>
        </is>
      </c>
      <c r="I170" s="187" t="inlineStr">
        <is>
          <t>嵌入综合干预方案</t>
        </is>
      </c>
      <c r="J170" s="187" t="inlineStr">
        <is>
          <t>电脑</t>
        </is>
      </c>
      <c r="K170" s="186" t="inlineStr">
        <is>
          <t>11～60分钟</t>
        </is>
      </c>
      <c r="L170" s="187" t="inlineStr">
        <is>
          <t>教室</t>
        </is>
      </c>
      <c r="M170" s="187" t="inlineStr">
        <is>
          <t>研究人员</t>
        </is>
      </c>
      <c r="N170" s="186" t="n"/>
      <c r="O170" s="187" t="inlineStr">
        <is>
          <t>按年级（5–6年级）</t>
        </is>
      </c>
      <c r="P170" s="187" t="inlineStr">
        <is>
          <t>每次20–30分钟</t>
        </is>
      </c>
      <c r="Q170" s="187" t="inlineStr">
        <is>
          <t>演练、现场示范、反馈、强化</t>
        </is>
      </c>
      <c r="R170" s="187" t="inlineStr">
        <is>
          <t>同伴儿童 + 动画角色</t>
        </is>
      </c>
      <c r="S170" s="187" t="inlineStr">
        <is>
          <t>电脑</t>
        </is>
      </c>
      <c r="T170" s="187" t="inlineStr">
        <is>
          <t>研究人员</t>
        </is>
      </c>
      <c r="U170" s="187" t="inlineStr">
        <is>
          <t>学校</t>
        </is>
      </c>
      <c r="V170" s="187" t="inlineStr">
        <is>
          <t>加3种及以上</t>
        </is>
      </c>
      <c r="W170" s="186" t="inlineStr">
        <is>
          <t>BL vs MT（训练情境）</t>
        </is>
      </c>
    </row>
    <row r="171" ht="15" customHeight="1" s="176">
      <c r="A171" s="186" t="inlineStr">
        <is>
          <t>K282</t>
        </is>
      </c>
      <c r="B171" s="186" t="inlineStr">
        <is>
          <t>038-滚雪球</t>
        </is>
      </c>
      <c r="C171" s="186" t="inlineStr">
        <is>
          <t>Nick</t>
        </is>
      </c>
      <c r="D171" s="187" t="inlineStr">
        <is>
          <t>泛化</t>
        </is>
      </c>
      <c r="E171" s="186" t="inlineStr">
        <is>
          <t>9–12岁</t>
        </is>
      </c>
      <c r="F171" s="187" t="inlineStr">
        <is>
          <t>男</t>
        </is>
      </c>
      <c r="G171" s="188" t="inlineStr">
        <is>
          <t>不纳入该变量（原文未报告）</t>
        </is>
      </c>
      <c r="H171" s="187" t="inlineStr">
        <is>
          <t>同伴儿童+动画角色</t>
        </is>
      </c>
      <c r="I171" s="187" t="inlineStr">
        <is>
          <t>嵌入综合干预方案</t>
        </is>
      </c>
      <c r="J171" s="187" t="inlineStr">
        <is>
          <t>电脑</t>
        </is>
      </c>
      <c r="K171" s="186" t="inlineStr">
        <is>
          <t>11～60分钟</t>
        </is>
      </c>
      <c r="L171" s="187" t="inlineStr">
        <is>
          <t>教室</t>
        </is>
      </c>
      <c r="M171" s="187" t="inlineStr">
        <is>
          <t>研究人员</t>
        </is>
      </c>
      <c r="N171" s="186" t="n"/>
      <c r="O171" s="187" t="inlineStr">
        <is>
          <t>按年级（5–6年级）</t>
        </is>
      </c>
      <c r="P171" s="187" t="inlineStr">
        <is>
          <t>每次20–30分钟</t>
        </is>
      </c>
      <c r="Q171" s="187" t="inlineStr">
        <is>
          <t>演练、现场示范、反馈、强化</t>
        </is>
      </c>
      <c r="R171" s="187" t="inlineStr">
        <is>
          <t>同伴儿童 + 动画角色</t>
        </is>
      </c>
      <c r="S171" s="187" t="inlineStr">
        <is>
          <t>电脑</t>
        </is>
      </c>
      <c r="T171" s="187" t="inlineStr">
        <is>
          <t>研究人员</t>
        </is>
      </c>
      <c r="U171" s="187" t="inlineStr">
        <is>
          <t>学校</t>
        </is>
      </c>
      <c r="V171" s="187" t="inlineStr">
        <is>
          <t>加3种及以上</t>
        </is>
      </c>
      <c r="W171" s="187" t="inlineStr">
        <is>
          <t>泛化 BL vs INT 期泛化探测（空心符号）</t>
        </is>
      </c>
    </row>
    <row r="172" ht="15" customHeight="1" s="176">
      <c r="A172" s="186" t="inlineStr">
        <is>
          <t>K283</t>
        </is>
      </c>
      <c r="B172" s="186" t="inlineStr">
        <is>
          <t>038-滚雪球</t>
        </is>
      </c>
      <c r="C172" s="186" t="inlineStr">
        <is>
          <t>Nick</t>
        </is>
      </c>
      <c r="D172" s="187" t="inlineStr">
        <is>
          <t>干预</t>
        </is>
      </c>
      <c r="E172" s="186" t="inlineStr">
        <is>
          <t>9–12岁</t>
        </is>
      </c>
      <c r="F172" s="187" t="inlineStr">
        <is>
          <t>男</t>
        </is>
      </c>
      <c r="G172" s="188" t="inlineStr">
        <is>
          <t>不纳入该变量（原文未报告）</t>
        </is>
      </c>
      <c r="H172" s="187" t="inlineStr">
        <is>
          <t>同伴儿童+动画角色</t>
        </is>
      </c>
      <c r="I172" s="187" t="inlineStr">
        <is>
          <t>嵌入综合干预方案</t>
        </is>
      </c>
      <c r="J172" s="187" t="inlineStr">
        <is>
          <t>电脑</t>
        </is>
      </c>
      <c r="K172" s="186" t="inlineStr">
        <is>
          <t>11～60分钟</t>
        </is>
      </c>
      <c r="L172" s="187" t="inlineStr">
        <is>
          <t>教室</t>
        </is>
      </c>
      <c r="M172" s="187" t="inlineStr">
        <is>
          <t>研究人员</t>
        </is>
      </c>
      <c r="N172" s="186" t="n"/>
      <c r="O172" s="187" t="inlineStr">
        <is>
          <t>按年级（5–6年级）</t>
        </is>
      </c>
      <c r="P172" s="187" t="inlineStr">
        <is>
          <t>每次20–30分钟</t>
        </is>
      </c>
      <c r="Q172" s="187" t="inlineStr">
        <is>
          <t>演练、现场示范、反馈、强化</t>
        </is>
      </c>
      <c r="R172" s="187" t="inlineStr">
        <is>
          <t>同伴儿童 + 动画角色</t>
        </is>
      </c>
      <c r="S172" s="187" t="inlineStr">
        <is>
          <t>电脑</t>
        </is>
      </c>
      <c r="T172" s="187" t="inlineStr">
        <is>
          <t>研究人员</t>
        </is>
      </c>
      <c r="U172" s="187" t="inlineStr">
        <is>
          <t>学校</t>
        </is>
      </c>
      <c r="V172" s="187" t="inlineStr">
        <is>
          <t>加3种及以上</t>
        </is>
      </c>
      <c r="W172" s="186" t="inlineStr">
        <is>
          <t>BL vs INT</t>
        </is>
      </c>
    </row>
    <row r="173" ht="15" customHeight="1" s="176">
      <c r="A173" s="186" t="inlineStr">
        <is>
          <t>K284</t>
        </is>
      </c>
      <c r="B173" s="186" t="inlineStr">
        <is>
          <t>038-滚雪球</t>
        </is>
      </c>
      <c r="C173" s="186" t="inlineStr">
        <is>
          <t>Nick</t>
        </is>
      </c>
      <c r="D173" s="187" t="inlineStr">
        <is>
          <t>泛化</t>
        </is>
      </c>
      <c r="E173" s="186" t="inlineStr">
        <is>
          <t>9–12岁</t>
        </is>
      </c>
      <c r="F173" s="187" t="inlineStr">
        <is>
          <t>男</t>
        </is>
      </c>
      <c r="G173" s="188" t="inlineStr">
        <is>
          <t>不纳入该变量（原文未报告）</t>
        </is>
      </c>
      <c r="H173" s="187" t="inlineStr">
        <is>
          <t>同伴儿童+动画角色</t>
        </is>
      </c>
      <c r="I173" s="187" t="inlineStr">
        <is>
          <t>嵌入综合干预方案</t>
        </is>
      </c>
      <c r="J173" s="187" t="inlineStr">
        <is>
          <t>电脑</t>
        </is>
      </c>
      <c r="K173" s="186" t="inlineStr">
        <is>
          <t>11～60分钟</t>
        </is>
      </c>
      <c r="L173" s="187" t="inlineStr">
        <is>
          <t>教室</t>
        </is>
      </c>
      <c r="M173" s="187" t="inlineStr">
        <is>
          <t>研究人员</t>
        </is>
      </c>
      <c r="N173" s="186" t="n"/>
      <c r="O173" s="187" t="inlineStr">
        <is>
          <t>按年级（5–6年级）</t>
        </is>
      </c>
      <c r="P173" s="187" t="inlineStr">
        <is>
          <t>每次20–30分钟</t>
        </is>
      </c>
      <c r="Q173" s="187" t="inlineStr">
        <is>
          <t>演练、现场示范、反馈、强化</t>
        </is>
      </c>
      <c r="R173" s="187" t="inlineStr">
        <is>
          <t>同伴儿童 + 动画角色</t>
        </is>
      </c>
      <c r="S173" s="187" t="inlineStr">
        <is>
          <t>电脑</t>
        </is>
      </c>
      <c r="T173" s="187" t="inlineStr">
        <is>
          <t>研究人员</t>
        </is>
      </c>
      <c r="U173" s="187" t="inlineStr">
        <is>
          <t>学校</t>
        </is>
      </c>
      <c r="V173" s="187" t="inlineStr">
        <is>
          <t>加3种及以上</t>
        </is>
      </c>
      <c r="W173" s="187" t="inlineStr">
        <is>
          <t>泛化 BL vs INT 期泛化探测（空心符号）</t>
        </is>
      </c>
    </row>
    <row r="174" ht="44" customHeight="1" s="176">
      <c r="A174" s="186" t="inlineStr">
        <is>
          <t>K285</t>
        </is>
      </c>
      <c r="B174" s="186" t="inlineStr">
        <is>
          <t>039-二次</t>
        </is>
      </c>
      <c r="C174" s="186" t="inlineStr">
        <is>
          <t>J.</t>
        </is>
      </c>
      <c r="D174" s="187" t="inlineStr">
        <is>
          <t>干预</t>
        </is>
      </c>
      <c r="E174" s="186" t="inlineStr">
        <is>
          <t>6–8岁</t>
        </is>
      </c>
      <c r="F174" s="187" t="inlineStr">
        <is>
          <t>男</t>
        </is>
      </c>
      <c r="G174" s="187" t="inlineStr">
        <is>
          <t>轻中度</t>
        </is>
      </c>
      <c r="H174" s="187" t="inlineStr">
        <is>
          <t>同伴儿童（含兄弟姐妹）</t>
        </is>
      </c>
      <c r="I174" s="187" t="inlineStr">
        <is>
          <t>单独实施</t>
        </is>
      </c>
      <c r="J174" s="187" t="inlineStr">
        <is>
          <t>电视</t>
        </is>
      </c>
      <c r="K174" s="186" t="inlineStr">
        <is>
          <t>10分钟及以下</t>
        </is>
      </c>
      <c r="L174" s="187" t="inlineStr">
        <is>
          <t>专用训练空间</t>
        </is>
      </c>
      <c r="M174" s="187" t="inlineStr">
        <is>
          <t>研究人员</t>
        </is>
      </c>
      <c r="N174" s="187" t="inlineStr">
        <is>
          <t>干预者回原文补齐</t>
        </is>
      </c>
      <c r="O174" s="186" t="inlineStr">
        <is>
          <t>6.50岁</t>
        </is>
      </c>
      <c r="P174" s="187" t="inlineStr">
        <is>
          <t>约5分钟</t>
        </is>
      </c>
      <c r="Q174" s="187" t="inlineStr">
        <is>
          <t>无</t>
        </is>
      </c>
      <c r="R174" s="187" t="inlineStr">
        <is>
          <t>同伴儿童</t>
        </is>
      </c>
      <c r="S174" s="187" t="inlineStr">
        <is>
          <t>电视</t>
        </is>
      </c>
      <c r="T174" s="187" t="inlineStr">
        <is>
          <t>缺失</t>
        </is>
      </c>
      <c r="U174" s="187" t="inlineStr">
        <is>
          <t>学校</t>
        </is>
      </c>
      <c r="V174" s="187" t="inlineStr">
        <is>
          <t>只用视频</t>
        </is>
      </c>
      <c r="W174" s="186" t="inlineStr">
        <is>
          <t>Baseline A vs Video 1–3 合并段（Video 4 不用）</t>
        </is>
      </c>
    </row>
    <row r="175" ht="44" customHeight="1" s="176">
      <c r="A175" s="186" t="inlineStr">
        <is>
          <t>K286</t>
        </is>
      </c>
      <c r="B175" s="186" t="inlineStr">
        <is>
          <t>039-二次</t>
        </is>
      </c>
      <c r="C175" s="186" t="inlineStr">
        <is>
          <t>J.</t>
        </is>
      </c>
      <c r="D175" s="187" t="inlineStr">
        <is>
          <t>维持</t>
        </is>
      </c>
      <c r="E175" s="186" t="inlineStr">
        <is>
          <t>6–8岁</t>
        </is>
      </c>
      <c r="F175" s="187" t="inlineStr">
        <is>
          <t>男</t>
        </is>
      </c>
      <c r="G175" s="187" t="inlineStr">
        <is>
          <t>轻中度</t>
        </is>
      </c>
      <c r="H175" s="187" t="inlineStr">
        <is>
          <t>同伴儿童（含兄弟姐妹）</t>
        </is>
      </c>
      <c r="I175" s="187" t="inlineStr">
        <is>
          <t>单独实施</t>
        </is>
      </c>
      <c r="J175" s="187" t="inlineStr">
        <is>
          <t>电视</t>
        </is>
      </c>
      <c r="K175" s="186" t="inlineStr">
        <is>
          <t>10分钟及以下</t>
        </is>
      </c>
      <c r="L175" s="187" t="inlineStr">
        <is>
          <t>专用训练空间</t>
        </is>
      </c>
      <c r="M175" s="187" t="inlineStr">
        <is>
          <t>研究人员</t>
        </is>
      </c>
      <c r="N175" s="187" t="inlineStr">
        <is>
          <t>干预者回原文补齐</t>
        </is>
      </c>
      <c r="O175" s="186" t="inlineStr">
        <is>
          <t>6.50岁</t>
        </is>
      </c>
      <c r="P175" s="187" t="inlineStr">
        <is>
          <t>约5分钟</t>
        </is>
      </c>
      <c r="Q175" s="187" t="inlineStr">
        <is>
          <t>无</t>
        </is>
      </c>
      <c r="R175" s="187" t="inlineStr">
        <is>
          <t>同伴儿童</t>
        </is>
      </c>
      <c r="S175" s="187" t="inlineStr">
        <is>
          <t>电视</t>
        </is>
      </c>
      <c r="T175" s="187" t="inlineStr">
        <is>
          <t>缺失</t>
        </is>
      </c>
      <c r="U175" s="187" t="inlineStr">
        <is>
          <t>学校</t>
        </is>
      </c>
      <c r="V175" s="187" t="inlineStr">
        <is>
          <t>只用视频</t>
        </is>
      </c>
      <c r="W175" s="186" t="inlineStr">
        <is>
          <t>Baseline A vs 1 个月＋2 个月 Follow-up</t>
        </is>
      </c>
    </row>
    <row r="176" ht="44" customHeight="1" s="176">
      <c r="A176" s="186" t="inlineStr">
        <is>
          <t>K287</t>
        </is>
      </c>
      <c r="B176" s="186" t="inlineStr">
        <is>
          <t>039-二次</t>
        </is>
      </c>
      <c r="C176" s="186" t="inlineStr">
        <is>
          <t>J.</t>
        </is>
      </c>
      <c r="D176" s="187" t="inlineStr">
        <is>
          <t>干预</t>
        </is>
      </c>
      <c r="E176" s="186" t="inlineStr">
        <is>
          <t>6–8岁</t>
        </is>
      </c>
      <c r="F176" s="187" t="inlineStr">
        <is>
          <t>男</t>
        </is>
      </c>
      <c r="G176" s="187" t="inlineStr">
        <is>
          <t>轻中度</t>
        </is>
      </c>
      <c r="H176" s="187" t="inlineStr">
        <is>
          <t>同伴儿童（含兄弟姐妹）</t>
        </is>
      </c>
      <c r="I176" s="187" t="inlineStr">
        <is>
          <t>单独实施</t>
        </is>
      </c>
      <c r="J176" s="187" t="inlineStr">
        <is>
          <t>电视</t>
        </is>
      </c>
      <c r="K176" s="186" t="inlineStr">
        <is>
          <t>10分钟及以下</t>
        </is>
      </c>
      <c r="L176" s="187" t="inlineStr">
        <is>
          <t>专用训练空间</t>
        </is>
      </c>
      <c r="M176" s="187" t="inlineStr">
        <is>
          <t>研究人员</t>
        </is>
      </c>
      <c r="N176" s="187" t="inlineStr">
        <is>
          <t>干预者回原文补齐</t>
        </is>
      </c>
      <c r="O176" s="186" t="inlineStr">
        <is>
          <t>6.50岁</t>
        </is>
      </c>
      <c r="P176" s="187" t="inlineStr">
        <is>
          <t>约5分钟</t>
        </is>
      </c>
      <c r="Q176" s="187" t="inlineStr">
        <is>
          <t>无</t>
        </is>
      </c>
      <c r="R176" s="187" t="inlineStr">
        <is>
          <t>同伴儿童</t>
        </is>
      </c>
      <c r="S176" s="187" t="inlineStr">
        <is>
          <t>电视</t>
        </is>
      </c>
      <c r="T176" s="187" t="inlineStr">
        <is>
          <t>缺失</t>
        </is>
      </c>
      <c r="U176" s="187" t="inlineStr">
        <is>
          <t>学校</t>
        </is>
      </c>
      <c r="V176" s="187" t="inlineStr">
        <is>
          <t>只用视频</t>
        </is>
      </c>
      <c r="W176" s="186" t="inlineStr">
        <is>
          <t>Baseline A vs Video 1–3 合并段（Video 4 不用）</t>
        </is>
      </c>
    </row>
    <row r="177" ht="44" customHeight="1" s="176">
      <c r="A177" s="186" t="inlineStr">
        <is>
          <t>K288</t>
        </is>
      </c>
      <c r="B177" s="186" t="inlineStr">
        <is>
          <t>039-二次</t>
        </is>
      </c>
      <c r="C177" s="186" t="inlineStr">
        <is>
          <t>J.</t>
        </is>
      </c>
      <c r="D177" s="187" t="inlineStr">
        <is>
          <t>维持</t>
        </is>
      </c>
      <c r="E177" s="186" t="inlineStr">
        <is>
          <t>6–8岁</t>
        </is>
      </c>
      <c r="F177" s="187" t="inlineStr">
        <is>
          <t>男</t>
        </is>
      </c>
      <c r="G177" s="187" t="inlineStr">
        <is>
          <t>轻中度</t>
        </is>
      </c>
      <c r="H177" s="187" t="inlineStr">
        <is>
          <t>同伴儿童（含兄弟姐妹）</t>
        </is>
      </c>
      <c r="I177" s="187" t="inlineStr">
        <is>
          <t>单独实施</t>
        </is>
      </c>
      <c r="J177" s="187" t="inlineStr">
        <is>
          <t>电视</t>
        </is>
      </c>
      <c r="K177" s="186" t="inlineStr">
        <is>
          <t>10分钟及以下</t>
        </is>
      </c>
      <c r="L177" s="187" t="inlineStr">
        <is>
          <t>专用训练空间</t>
        </is>
      </c>
      <c r="M177" s="187" t="inlineStr">
        <is>
          <t>研究人员</t>
        </is>
      </c>
      <c r="N177" s="187" t="inlineStr">
        <is>
          <t>干预者回原文补齐</t>
        </is>
      </c>
      <c r="O177" s="186" t="inlineStr">
        <is>
          <t>6.50岁</t>
        </is>
      </c>
      <c r="P177" s="187" t="inlineStr">
        <is>
          <t>约5分钟</t>
        </is>
      </c>
      <c r="Q177" s="187" t="inlineStr">
        <is>
          <t>无</t>
        </is>
      </c>
      <c r="R177" s="187" t="inlineStr">
        <is>
          <t>同伴儿童</t>
        </is>
      </c>
      <c r="S177" s="187" t="inlineStr">
        <is>
          <t>电视</t>
        </is>
      </c>
      <c r="T177" s="187" t="inlineStr">
        <is>
          <t>缺失</t>
        </is>
      </c>
      <c r="U177" s="187" t="inlineStr">
        <is>
          <t>学校</t>
        </is>
      </c>
      <c r="V177" s="187" t="inlineStr">
        <is>
          <t>只用视频</t>
        </is>
      </c>
      <c r="W177" s="186" t="inlineStr">
        <is>
          <t>Baseline A vs 1 个月＋2 个月 Follow-up</t>
        </is>
      </c>
    </row>
    <row r="178" ht="15" customHeight="1" s="176">
      <c r="A178" s="186" t="inlineStr">
        <is>
          <t>K289</t>
        </is>
      </c>
      <c r="B178" s="186" t="inlineStr">
        <is>
          <t>039-二次</t>
        </is>
      </c>
      <c r="C178" s="186" t="inlineStr">
        <is>
          <t>J.</t>
        </is>
      </c>
      <c r="D178" s="187" t="inlineStr">
        <is>
          <t>干预</t>
        </is>
      </c>
      <c r="E178" s="186" t="inlineStr">
        <is>
          <t>6–8岁</t>
        </is>
      </c>
      <c r="F178" s="187" t="inlineStr">
        <is>
          <t>男</t>
        </is>
      </c>
      <c r="G178" s="187" t="inlineStr">
        <is>
          <t>轻中度</t>
        </is>
      </c>
      <c r="H178" s="187" t="inlineStr">
        <is>
          <t>同伴儿童（含兄弟姐妹）</t>
        </is>
      </c>
      <c r="I178" s="187" t="inlineStr">
        <is>
          <t>单独实施</t>
        </is>
      </c>
      <c r="J178" s="187" t="inlineStr">
        <is>
          <t>电视</t>
        </is>
      </c>
      <c r="K178" s="186" t="inlineStr">
        <is>
          <t>10分钟及以下</t>
        </is>
      </c>
      <c r="L178" s="187" t="inlineStr">
        <is>
          <t>专用训练空间</t>
        </is>
      </c>
      <c r="M178" s="187" t="inlineStr">
        <is>
          <t>研究人员</t>
        </is>
      </c>
      <c r="N178" s="187" t="inlineStr">
        <is>
          <t>干预者回原文补齐</t>
        </is>
      </c>
      <c r="O178" s="186" t="inlineStr">
        <is>
          <t>6.50岁</t>
        </is>
      </c>
      <c r="P178" s="187" t="inlineStr">
        <is>
          <t>约5分钟</t>
        </is>
      </c>
      <c r="Q178" s="187" t="inlineStr">
        <is>
          <t>无</t>
        </is>
      </c>
      <c r="R178" s="187" t="inlineStr">
        <is>
          <t>同伴儿童</t>
        </is>
      </c>
      <c r="S178" s="187" t="inlineStr">
        <is>
          <t>电视</t>
        </is>
      </c>
      <c r="T178" s="187" t="inlineStr">
        <is>
          <t>缺失</t>
        </is>
      </c>
      <c r="U178" s="187" t="inlineStr">
        <is>
          <t>学校</t>
        </is>
      </c>
      <c r="V178" s="187" t="inlineStr">
        <is>
          <t>只用视频</t>
        </is>
      </c>
      <c r="W178" s="186" t="inlineStr">
        <is>
          <t>Baseline A vs Video 1–3 合并段（Video 4 不用）</t>
        </is>
      </c>
    </row>
    <row r="179" ht="15" customHeight="1" s="176">
      <c r="A179" s="186" t="inlineStr">
        <is>
          <t>K290</t>
        </is>
      </c>
      <c r="B179" s="186" t="inlineStr">
        <is>
          <t>039-二次</t>
        </is>
      </c>
      <c r="C179" s="186" t="inlineStr">
        <is>
          <t>J.</t>
        </is>
      </c>
      <c r="D179" s="187" t="inlineStr">
        <is>
          <t>维持</t>
        </is>
      </c>
      <c r="E179" s="186" t="inlineStr">
        <is>
          <t>6–8岁</t>
        </is>
      </c>
      <c r="F179" s="187" t="inlineStr">
        <is>
          <t>男</t>
        </is>
      </c>
      <c r="G179" s="187" t="inlineStr">
        <is>
          <t>轻中度</t>
        </is>
      </c>
      <c r="H179" s="187" t="inlineStr">
        <is>
          <t>同伴儿童（含兄弟姐妹）</t>
        </is>
      </c>
      <c r="I179" s="187" t="inlineStr">
        <is>
          <t>单独实施</t>
        </is>
      </c>
      <c r="J179" s="187" t="inlineStr">
        <is>
          <t>电视</t>
        </is>
      </c>
      <c r="K179" s="186" t="inlineStr">
        <is>
          <t>10分钟及以下</t>
        </is>
      </c>
      <c r="L179" s="187" t="inlineStr">
        <is>
          <t>专用训练空间</t>
        </is>
      </c>
      <c r="M179" s="187" t="inlineStr">
        <is>
          <t>研究人员</t>
        </is>
      </c>
      <c r="N179" s="187" t="inlineStr">
        <is>
          <t>干预者回原文补齐</t>
        </is>
      </c>
      <c r="O179" s="186" t="inlineStr">
        <is>
          <t>6.50岁</t>
        </is>
      </c>
      <c r="P179" s="187" t="inlineStr">
        <is>
          <t>约5分钟</t>
        </is>
      </c>
      <c r="Q179" s="187" t="inlineStr">
        <is>
          <t>无</t>
        </is>
      </c>
      <c r="R179" s="187" t="inlineStr">
        <is>
          <t>同伴儿童</t>
        </is>
      </c>
      <c r="S179" s="187" t="inlineStr">
        <is>
          <t>电视</t>
        </is>
      </c>
      <c r="T179" s="187" t="inlineStr">
        <is>
          <t>缺失</t>
        </is>
      </c>
      <c r="U179" s="187" t="inlineStr">
        <is>
          <t>学校</t>
        </is>
      </c>
      <c r="V179" s="187" t="inlineStr">
        <is>
          <t>只用视频</t>
        </is>
      </c>
      <c r="W179" s="186" t="inlineStr">
        <is>
          <t>Baseline A vs 1 个月＋2 个月 Follow-up</t>
        </is>
      </c>
    </row>
    <row r="180" ht="15" customHeight="1" s="176">
      <c r="A180" s="186" t="inlineStr">
        <is>
          <t>K291</t>
        </is>
      </c>
      <c r="B180" s="186" t="inlineStr">
        <is>
          <t>039-二次</t>
        </is>
      </c>
      <c r="C180" s="186" t="inlineStr">
        <is>
          <t>J.</t>
        </is>
      </c>
      <c r="D180" s="187" t="inlineStr">
        <is>
          <t>干预</t>
        </is>
      </c>
      <c r="E180" s="186" t="inlineStr">
        <is>
          <t>6–8岁</t>
        </is>
      </c>
      <c r="F180" s="187" t="inlineStr">
        <is>
          <t>男</t>
        </is>
      </c>
      <c r="G180" s="187" t="inlineStr">
        <is>
          <t>轻中度</t>
        </is>
      </c>
      <c r="H180" s="187" t="inlineStr">
        <is>
          <t>同伴儿童（含兄弟姐妹）</t>
        </is>
      </c>
      <c r="I180" s="187" t="inlineStr">
        <is>
          <t>单独实施</t>
        </is>
      </c>
      <c r="J180" s="187" t="inlineStr">
        <is>
          <t>电视</t>
        </is>
      </c>
      <c r="K180" s="186" t="inlineStr">
        <is>
          <t>10分钟及以下</t>
        </is>
      </c>
      <c r="L180" s="187" t="inlineStr">
        <is>
          <t>专用训练空间</t>
        </is>
      </c>
      <c r="M180" s="187" t="inlineStr">
        <is>
          <t>研究人员</t>
        </is>
      </c>
      <c r="N180" s="187" t="inlineStr">
        <is>
          <t>干预者回原文补齐</t>
        </is>
      </c>
      <c r="O180" s="186" t="inlineStr">
        <is>
          <t>6.50岁</t>
        </is>
      </c>
      <c r="P180" s="187" t="inlineStr">
        <is>
          <t>约5分钟</t>
        </is>
      </c>
      <c r="Q180" s="187" t="inlineStr">
        <is>
          <t>无</t>
        </is>
      </c>
      <c r="R180" s="187" t="inlineStr">
        <is>
          <t>同伴儿童</t>
        </is>
      </c>
      <c r="S180" s="187" t="inlineStr">
        <is>
          <t>电视</t>
        </is>
      </c>
      <c r="T180" s="187" t="inlineStr">
        <is>
          <t>缺失</t>
        </is>
      </c>
      <c r="U180" s="187" t="inlineStr">
        <is>
          <t>学校</t>
        </is>
      </c>
      <c r="V180" s="187" t="inlineStr">
        <is>
          <t>只用视频</t>
        </is>
      </c>
      <c r="W180" s="186" t="inlineStr">
        <is>
          <t>Baseline A vs Video 1–3 合并段（Video 4 不用）</t>
        </is>
      </c>
    </row>
    <row r="181" ht="15" customHeight="1" s="176">
      <c r="A181" s="186" t="inlineStr">
        <is>
          <t>K292</t>
        </is>
      </c>
      <c r="B181" s="186" t="inlineStr">
        <is>
          <t>039-二次</t>
        </is>
      </c>
      <c r="C181" s="186" t="inlineStr">
        <is>
          <t>J.</t>
        </is>
      </c>
      <c r="D181" s="187" t="inlineStr">
        <is>
          <t>维持</t>
        </is>
      </c>
      <c r="E181" s="186" t="inlineStr">
        <is>
          <t>6–8岁</t>
        </is>
      </c>
      <c r="F181" s="187" t="inlineStr">
        <is>
          <t>男</t>
        </is>
      </c>
      <c r="G181" s="187" t="inlineStr">
        <is>
          <t>轻中度</t>
        </is>
      </c>
      <c r="H181" s="187" t="inlineStr">
        <is>
          <t>同伴儿童（含兄弟姐妹）</t>
        </is>
      </c>
      <c r="I181" s="187" t="inlineStr">
        <is>
          <t>单独实施</t>
        </is>
      </c>
      <c r="J181" s="187" t="inlineStr">
        <is>
          <t>电视</t>
        </is>
      </c>
      <c r="K181" s="186" t="inlineStr">
        <is>
          <t>10分钟及以下</t>
        </is>
      </c>
      <c r="L181" s="187" t="inlineStr">
        <is>
          <t>专用训练空间</t>
        </is>
      </c>
      <c r="M181" s="187" t="inlineStr">
        <is>
          <t>研究人员</t>
        </is>
      </c>
      <c r="N181" s="187" t="inlineStr">
        <is>
          <t>干预者回原文补齐</t>
        </is>
      </c>
      <c r="O181" s="186" t="inlineStr">
        <is>
          <t>6.50岁</t>
        </is>
      </c>
      <c r="P181" s="187" t="inlineStr">
        <is>
          <t>约5分钟</t>
        </is>
      </c>
      <c r="Q181" s="187" t="inlineStr">
        <is>
          <t>无</t>
        </is>
      </c>
      <c r="R181" s="187" t="inlineStr">
        <is>
          <t>同伴儿童</t>
        </is>
      </c>
      <c r="S181" s="187" t="inlineStr">
        <is>
          <t>电视</t>
        </is>
      </c>
      <c r="T181" s="187" t="inlineStr">
        <is>
          <t>缺失</t>
        </is>
      </c>
      <c r="U181" s="187" t="inlineStr">
        <is>
          <t>学校</t>
        </is>
      </c>
      <c r="V181" s="187" t="inlineStr">
        <is>
          <t>只用视频</t>
        </is>
      </c>
      <c r="W181" s="186" t="inlineStr">
        <is>
          <t>Baseline A vs 1 个月＋2 个月 Follow-up</t>
        </is>
      </c>
    </row>
    <row r="182" ht="15" customHeight="1" s="176">
      <c r="A182" s="186" t="inlineStr">
        <is>
          <t>K293</t>
        </is>
      </c>
      <c r="B182" s="186" t="inlineStr">
        <is>
          <t>039-二次</t>
        </is>
      </c>
      <c r="C182" s="186" t="inlineStr">
        <is>
          <t>P.</t>
        </is>
      </c>
      <c r="D182" s="187" t="inlineStr">
        <is>
          <t>干预</t>
        </is>
      </c>
      <c r="E182" s="186" t="inlineStr">
        <is>
          <t>6–8岁</t>
        </is>
      </c>
      <c r="F182" s="187" t="inlineStr">
        <is>
          <t>男</t>
        </is>
      </c>
      <c r="G182" s="187" t="inlineStr">
        <is>
          <t>重度</t>
        </is>
      </c>
      <c r="H182" s="187" t="inlineStr">
        <is>
          <t>同伴儿童（含兄弟姐妹）</t>
        </is>
      </c>
      <c r="I182" s="187" t="inlineStr">
        <is>
          <t>单独实施</t>
        </is>
      </c>
      <c r="J182" s="187" t="inlineStr">
        <is>
          <t>电视</t>
        </is>
      </c>
      <c r="K182" s="186" t="inlineStr">
        <is>
          <t>10分钟及以下</t>
        </is>
      </c>
      <c r="L182" s="187" t="inlineStr">
        <is>
          <t>专用训练空间</t>
        </is>
      </c>
      <c r="M182" s="187" t="inlineStr">
        <is>
          <t>研究人员</t>
        </is>
      </c>
      <c r="N182" s="187" t="inlineStr">
        <is>
          <t>干预者回原文补齐</t>
        </is>
      </c>
      <c r="O182" s="186" t="inlineStr">
        <is>
          <t>6.50岁</t>
        </is>
      </c>
      <c r="P182" s="187" t="inlineStr">
        <is>
          <t>约5分钟</t>
        </is>
      </c>
      <c r="Q182" s="187" t="inlineStr">
        <is>
          <t>无</t>
        </is>
      </c>
      <c r="R182" s="187" t="inlineStr">
        <is>
          <t>同伴儿童</t>
        </is>
      </c>
      <c r="S182" s="187" t="inlineStr">
        <is>
          <t>电视</t>
        </is>
      </c>
      <c r="T182" s="187" t="inlineStr">
        <is>
          <t>缺失</t>
        </is>
      </c>
      <c r="U182" s="187" t="inlineStr">
        <is>
          <t>学校</t>
        </is>
      </c>
      <c r="V182" s="187" t="inlineStr">
        <is>
          <t>只用视频</t>
        </is>
      </c>
      <c r="W182" s="186" t="inlineStr">
        <is>
          <t>Baseline A vs Video 1–3 合并段（Video 4 不用）</t>
        </is>
      </c>
    </row>
    <row r="183" ht="15" customHeight="1" s="176">
      <c r="A183" s="186" t="inlineStr">
        <is>
          <t>K294</t>
        </is>
      </c>
      <c r="B183" s="186" t="inlineStr">
        <is>
          <t>039-二次</t>
        </is>
      </c>
      <c r="C183" s="186" t="inlineStr">
        <is>
          <t>P.</t>
        </is>
      </c>
      <c r="D183" s="187" t="inlineStr">
        <is>
          <t>维持</t>
        </is>
      </c>
      <c r="E183" s="186" t="inlineStr">
        <is>
          <t>6–8岁</t>
        </is>
      </c>
      <c r="F183" s="187" t="inlineStr">
        <is>
          <t>男</t>
        </is>
      </c>
      <c r="G183" s="187" t="inlineStr">
        <is>
          <t>重度</t>
        </is>
      </c>
      <c r="H183" s="187" t="inlineStr">
        <is>
          <t>同伴儿童（含兄弟姐妹）</t>
        </is>
      </c>
      <c r="I183" s="187" t="inlineStr">
        <is>
          <t>单独实施</t>
        </is>
      </c>
      <c r="J183" s="187" t="inlineStr">
        <is>
          <t>电视</t>
        </is>
      </c>
      <c r="K183" s="186" t="inlineStr">
        <is>
          <t>10分钟及以下</t>
        </is>
      </c>
      <c r="L183" s="187" t="inlineStr">
        <is>
          <t>专用训练空间</t>
        </is>
      </c>
      <c r="M183" s="187" t="inlineStr">
        <is>
          <t>研究人员</t>
        </is>
      </c>
      <c r="N183" s="187" t="inlineStr">
        <is>
          <t>干预者回原文补齐</t>
        </is>
      </c>
      <c r="O183" s="186" t="inlineStr">
        <is>
          <t>6.50岁</t>
        </is>
      </c>
      <c r="P183" s="187" t="inlineStr">
        <is>
          <t>约5分钟</t>
        </is>
      </c>
      <c r="Q183" s="187" t="inlineStr">
        <is>
          <t>无</t>
        </is>
      </c>
      <c r="R183" s="187" t="inlineStr">
        <is>
          <t>同伴儿童</t>
        </is>
      </c>
      <c r="S183" s="187" t="inlineStr">
        <is>
          <t>电视</t>
        </is>
      </c>
      <c r="T183" s="187" t="inlineStr">
        <is>
          <t>缺失</t>
        </is>
      </c>
      <c r="U183" s="187" t="inlineStr">
        <is>
          <t>学校</t>
        </is>
      </c>
      <c r="V183" s="187" t="inlineStr">
        <is>
          <t>只用视频</t>
        </is>
      </c>
      <c r="W183" s="186" t="inlineStr">
        <is>
          <t>Baseline A vs 1 个月＋2 个月 Follow-up</t>
        </is>
      </c>
    </row>
    <row r="184" ht="15" customHeight="1" s="176">
      <c r="A184" s="186" t="inlineStr">
        <is>
          <t>K295</t>
        </is>
      </c>
      <c r="B184" s="186" t="inlineStr">
        <is>
          <t>039-二次</t>
        </is>
      </c>
      <c r="C184" s="186" t="inlineStr">
        <is>
          <t>P.</t>
        </is>
      </c>
      <c r="D184" s="187" t="inlineStr">
        <is>
          <t>干预</t>
        </is>
      </c>
      <c r="E184" s="186" t="inlineStr">
        <is>
          <t>6–8岁</t>
        </is>
      </c>
      <c r="F184" s="187" t="inlineStr">
        <is>
          <t>男</t>
        </is>
      </c>
      <c r="G184" s="187" t="inlineStr">
        <is>
          <t>重度</t>
        </is>
      </c>
      <c r="H184" s="187" t="inlineStr">
        <is>
          <t>同伴儿童（含兄弟姐妹）</t>
        </is>
      </c>
      <c r="I184" s="187" t="inlineStr">
        <is>
          <t>单独实施</t>
        </is>
      </c>
      <c r="J184" s="187" t="inlineStr">
        <is>
          <t>电视</t>
        </is>
      </c>
      <c r="K184" s="186" t="inlineStr">
        <is>
          <t>10分钟及以下</t>
        </is>
      </c>
      <c r="L184" s="187" t="inlineStr">
        <is>
          <t>专用训练空间</t>
        </is>
      </c>
      <c r="M184" s="187" t="inlineStr">
        <is>
          <t>研究人员</t>
        </is>
      </c>
      <c r="N184" s="187" t="inlineStr">
        <is>
          <t>干预者回原文补齐</t>
        </is>
      </c>
      <c r="O184" s="186" t="inlineStr">
        <is>
          <t>6.50岁</t>
        </is>
      </c>
      <c r="P184" s="187" t="inlineStr">
        <is>
          <t>约5分钟</t>
        </is>
      </c>
      <c r="Q184" s="187" t="inlineStr">
        <is>
          <t>无</t>
        </is>
      </c>
      <c r="R184" s="187" t="inlineStr">
        <is>
          <t>同伴儿童</t>
        </is>
      </c>
      <c r="S184" s="187" t="inlineStr">
        <is>
          <t>电视</t>
        </is>
      </c>
      <c r="T184" s="187" t="inlineStr">
        <is>
          <t>缺失</t>
        </is>
      </c>
      <c r="U184" s="187" t="inlineStr">
        <is>
          <t>学校</t>
        </is>
      </c>
      <c r="V184" s="187" t="inlineStr">
        <is>
          <t>只用视频</t>
        </is>
      </c>
      <c r="W184" s="186" t="inlineStr">
        <is>
          <t>Baseline A vs Video 1–3 合并段（Video 4 不用）</t>
        </is>
      </c>
    </row>
    <row r="185" ht="15" customHeight="1" s="176">
      <c r="A185" s="186" t="inlineStr">
        <is>
          <t>K296</t>
        </is>
      </c>
      <c r="B185" s="186" t="inlineStr">
        <is>
          <t>039-二次</t>
        </is>
      </c>
      <c r="C185" s="186" t="inlineStr">
        <is>
          <t>P.</t>
        </is>
      </c>
      <c r="D185" s="187" t="inlineStr">
        <is>
          <t>维持</t>
        </is>
      </c>
      <c r="E185" s="186" t="inlineStr">
        <is>
          <t>6–8岁</t>
        </is>
      </c>
      <c r="F185" s="187" t="inlineStr">
        <is>
          <t>男</t>
        </is>
      </c>
      <c r="G185" s="187" t="inlineStr">
        <is>
          <t>重度</t>
        </is>
      </c>
      <c r="H185" s="187" t="inlineStr">
        <is>
          <t>同伴儿童（含兄弟姐妹）</t>
        </is>
      </c>
      <c r="I185" s="187" t="inlineStr">
        <is>
          <t>单独实施</t>
        </is>
      </c>
      <c r="J185" s="187" t="inlineStr">
        <is>
          <t>电视</t>
        </is>
      </c>
      <c r="K185" s="186" t="inlineStr">
        <is>
          <t>10分钟及以下</t>
        </is>
      </c>
      <c r="L185" s="187" t="inlineStr">
        <is>
          <t>专用训练空间</t>
        </is>
      </c>
      <c r="M185" s="187" t="inlineStr">
        <is>
          <t>研究人员</t>
        </is>
      </c>
      <c r="N185" s="187" t="inlineStr">
        <is>
          <t>干预者回原文补齐</t>
        </is>
      </c>
      <c r="O185" s="186" t="inlineStr">
        <is>
          <t>6.50岁</t>
        </is>
      </c>
      <c r="P185" s="187" t="inlineStr">
        <is>
          <t>约5分钟</t>
        </is>
      </c>
      <c r="Q185" s="187" t="inlineStr">
        <is>
          <t>无</t>
        </is>
      </c>
      <c r="R185" s="187" t="inlineStr">
        <is>
          <t>同伴儿童</t>
        </is>
      </c>
      <c r="S185" s="187" t="inlineStr">
        <is>
          <t>电视</t>
        </is>
      </c>
      <c r="T185" s="187" t="inlineStr">
        <is>
          <t>缺失</t>
        </is>
      </c>
      <c r="U185" s="187" t="inlineStr">
        <is>
          <t>学校</t>
        </is>
      </c>
      <c r="V185" s="187" t="inlineStr">
        <is>
          <t>只用视频</t>
        </is>
      </c>
      <c r="W185" s="186" t="inlineStr">
        <is>
          <t>Baseline A vs 1 个月＋2 个月 Follow-up</t>
        </is>
      </c>
    </row>
    <row r="186" ht="15" customHeight="1" s="176">
      <c r="A186" s="186" t="inlineStr">
        <is>
          <t>K297</t>
        </is>
      </c>
      <c r="B186" s="186" t="inlineStr">
        <is>
          <t>039-二次</t>
        </is>
      </c>
      <c r="C186" s="186" t="inlineStr">
        <is>
          <t>P.</t>
        </is>
      </c>
      <c r="D186" s="187" t="inlineStr">
        <is>
          <t>干预</t>
        </is>
      </c>
      <c r="E186" s="186" t="inlineStr">
        <is>
          <t>6–8岁</t>
        </is>
      </c>
      <c r="F186" s="187" t="inlineStr">
        <is>
          <t>男</t>
        </is>
      </c>
      <c r="G186" s="187" t="inlineStr">
        <is>
          <t>重度</t>
        </is>
      </c>
      <c r="H186" s="187" t="inlineStr">
        <is>
          <t>同伴儿童（含兄弟姐妹）</t>
        </is>
      </c>
      <c r="I186" s="187" t="inlineStr">
        <is>
          <t>单独实施</t>
        </is>
      </c>
      <c r="J186" s="187" t="inlineStr">
        <is>
          <t>电视</t>
        </is>
      </c>
      <c r="K186" s="186" t="inlineStr">
        <is>
          <t>10分钟及以下</t>
        </is>
      </c>
      <c r="L186" s="187" t="inlineStr">
        <is>
          <t>专用训练空间</t>
        </is>
      </c>
      <c r="M186" s="187" t="inlineStr">
        <is>
          <t>研究人员</t>
        </is>
      </c>
      <c r="N186" s="187" t="inlineStr">
        <is>
          <t>干预者回原文补齐</t>
        </is>
      </c>
      <c r="O186" s="186" t="inlineStr">
        <is>
          <t>6.50岁</t>
        </is>
      </c>
      <c r="P186" s="187" t="inlineStr">
        <is>
          <t>约5分钟</t>
        </is>
      </c>
      <c r="Q186" s="187" t="inlineStr">
        <is>
          <t>无</t>
        </is>
      </c>
      <c r="R186" s="187" t="inlineStr">
        <is>
          <t>同伴儿童</t>
        </is>
      </c>
      <c r="S186" s="187" t="inlineStr">
        <is>
          <t>电视</t>
        </is>
      </c>
      <c r="T186" s="187" t="inlineStr">
        <is>
          <t>缺失</t>
        </is>
      </c>
      <c r="U186" s="187" t="inlineStr">
        <is>
          <t>学校</t>
        </is>
      </c>
      <c r="V186" s="187" t="inlineStr">
        <is>
          <t>只用视频</t>
        </is>
      </c>
      <c r="W186" s="186" t="inlineStr">
        <is>
          <t>Baseline A vs Video 1–3 合并段（Video 4 不用）</t>
        </is>
      </c>
    </row>
    <row r="187" ht="15" customHeight="1" s="176">
      <c r="A187" s="186" t="inlineStr">
        <is>
          <t>K298</t>
        </is>
      </c>
      <c r="B187" s="186" t="inlineStr">
        <is>
          <t>039-二次</t>
        </is>
      </c>
      <c r="C187" s="186" t="inlineStr">
        <is>
          <t>P.</t>
        </is>
      </c>
      <c r="D187" s="187" t="inlineStr">
        <is>
          <t>维持</t>
        </is>
      </c>
      <c r="E187" s="186" t="inlineStr">
        <is>
          <t>6–8岁</t>
        </is>
      </c>
      <c r="F187" s="187" t="inlineStr">
        <is>
          <t>男</t>
        </is>
      </c>
      <c r="G187" s="187" t="inlineStr">
        <is>
          <t>重度</t>
        </is>
      </c>
      <c r="H187" s="187" t="inlineStr">
        <is>
          <t>同伴儿童（含兄弟姐妹）</t>
        </is>
      </c>
      <c r="I187" s="187" t="inlineStr">
        <is>
          <t>单独实施</t>
        </is>
      </c>
      <c r="J187" s="187" t="inlineStr">
        <is>
          <t>电视</t>
        </is>
      </c>
      <c r="K187" s="186" t="inlineStr">
        <is>
          <t>10分钟及以下</t>
        </is>
      </c>
      <c r="L187" s="187" t="inlineStr">
        <is>
          <t>专用训练空间</t>
        </is>
      </c>
      <c r="M187" s="187" t="inlineStr">
        <is>
          <t>研究人员</t>
        </is>
      </c>
      <c r="N187" s="187" t="inlineStr">
        <is>
          <t>干预者回原文补齐</t>
        </is>
      </c>
      <c r="O187" s="186" t="inlineStr">
        <is>
          <t>6.50岁</t>
        </is>
      </c>
      <c r="P187" s="187" t="inlineStr">
        <is>
          <t>约5分钟</t>
        </is>
      </c>
      <c r="Q187" s="187" t="inlineStr">
        <is>
          <t>无</t>
        </is>
      </c>
      <c r="R187" s="187" t="inlineStr">
        <is>
          <t>同伴儿童</t>
        </is>
      </c>
      <c r="S187" s="187" t="inlineStr">
        <is>
          <t>电视</t>
        </is>
      </c>
      <c r="T187" s="187" t="inlineStr">
        <is>
          <t>缺失</t>
        </is>
      </c>
      <c r="U187" s="187" t="inlineStr">
        <is>
          <t>学校</t>
        </is>
      </c>
      <c r="V187" s="187" t="inlineStr">
        <is>
          <t>只用视频</t>
        </is>
      </c>
      <c r="W187" s="186" t="inlineStr">
        <is>
          <t>Baseline A vs 1 个月＋2 个月 Follow-up</t>
        </is>
      </c>
    </row>
    <row r="188" ht="15" customHeight="1" s="176">
      <c r="A188" s="186" t="inlineStr">
        <is>
          <t>K299</t>
        </is>
      </c>
      <c r="B188" s="186" t="inlineStr">
        <is>
          <t>039-二次</t>
        </is>
      </c>
      <c r="C188" s="186" t="inlineStr">
        <is>
          <t>P.</t>
        </is>
      </c>
      <c r="D188" s="187" t="inlineStr">
        <is>
          <t>干预</t>
        </is>
      </c>
      <c r="E188" s="186" t="inlineStr">
        <is>
          <t>6–8岁</t>
        </is>
      </c>
      <c r="F188" s="187" t="inlineStr">
        <is>
          <t>男</t>
        </is>
      </c>
      <c r="G188" s="187" t="inlineStr">
        <is>
          <t>重度</t>
        </is>
      </c>
      <c r="H188" s="187" t="inlineStr">
        <is>
          <t>同伴儿童（含兄弟姐妹）</t>
        </is>
      </c>
      <c r="I188" s="187" t="inlineStr">
        <is>
          <t>单独实施</t>
        </is>
      </c>
      <c r="J188" s="187" t="inlineStr">
        <is>
          <t>电视</t>
        </is>
      </c>
      <c r="K188" s="186" t="inlineStr">
        <is>
          <t>10分钟及以下</t>
        </is>
      </c>
      <c r="L188" s="187" t="inlineStr">
        <is>
          <t>专用训练空间</t>
        </is>
      </c>
      <c r="M188" s="187" t="inlineStr">
        <is>
          <t>研究人员</t>
        </is>
      </c>
      <c r="N188" s="187" t="inlineStr">
        <is>
          <t>干预者回原文补齐</t>
        </is>
      </c>
      <c r="O188" s="186" t="inlineStr">
        <is>
          <t>6.50岁</t>
        </is>
      </c>
      <c r="P188" s="187" t="inlineStr">
        <is>
          <t>约5分钟</t>
        </is>
      </c>
      <c r="Q188" s="187" t="inlineStr">
        <is>
          <t>无</t>
        </is>
      </c>
      <c r="R188" s="187" t="inlineStr">
        <is>
          <t>同伴儿童</t>
        </is>
      </c>
      <c r="S188" s="187" t="inlineStr">
        <is>
          <t>电视</t>
        </is>
      </c>
      <c r="T188" s="187" t="inlineStr">
        <is>
          <t>缺失</t>
        </is>
      </c>
      <c r="U188" s="187" t="inlineStr">
        <is>
          <t>学校</t>
        </is>
      </c>
      <c r="V188" s="187" t="inlineStr">
        <is>
          <t>只用视频</t>
        </is>
      </c>
      <c r="W188" s="186" t="inlineStr">
        <is>
          <t>Baseline A vs Video 1–3 合并段（Video 4 不用）</t>
        </is>
      </c>
    </row>
    <row r="189" ht="15" customHeight="1" s="176">
      <c r="A189" s="186" t="inlineStr">
        <is>
          <t>K300</t>
        </is>
      </c>
      <c r="B189" s="186" t="inlineStr">
        <is>
          <t>039-二次</t>
        </is>
      </c>
      <c r="C189" s="186" t="inlineStr">
        <is>
          <t>P.</t>
        </is>
      </c>
      <c r="D189" s="187" t="inlineStr">
        <is>
          <t>维持</t>
        </is>
      </c>
      <c r="E189" s="186" t="inlineStr">
        <is>
          <t>6–8岁</t>
        </is>
      </c>
      <c r="F189" s="187" t="inlineStr">
        <is>
          <t>男</t>
        </is>
      </c>
      <c r="G189" s="187" t="inlineStr">
        <is>
          <t>重度</t>
        </is>
      </c>
      <c r="H189" s="187" t="inlineStr">
        <is>
          <t>同伴儿童（含兄弟姐妹）</t>
        </is>
      </c>
      <c r="I189" s="187" t="inlineStr">
        <is>
          <t>单独实施</t>
        </is>
      </c>
      <c r="J189" s="187" t="inlineStr">
        <is>
          <t>电视</t>
        </is>
      </c>
      <c r="K189" s="186" t="inlineStr">
        <is>
          <t>10分钟及以下</t>
        </is>
      </c>
      <c r="L189" s="187" t="inlineStr">
        <is>
          <t>专用训练空间</t>
        </is>
      </c>
      <c r="M189" s="187" t="inlineStr">
        <is>
          <t>研究人员</t>
        </is>
      </c>
      <c r="N189" s="187" t="inlineStr">
        <is>
          <t>干预者回原文补齐</t>
        </is>
      </c>
      <c r="O189" s="186" t="inlineStr">
        <is>
          <t>6.50岁</t>
        </is>
      </c>
      <c r="P189" s="187" t="inlineStr">
        <is>
          <t>约5分钟</t>
        </is>
      </c>
      <c r="Q189" s="187" t="inlineStr">
        <is>
          <t>无</t>
        </is>
      </c>
      <c r="R189" s="187" t="inlineStr">
        <is>
          <t>同伴儿童</t>
        </is>
      </c>
      <c r="S189" s="187" t="inlineStr">
        <is>
          <t>电视</t>
        </is>
      </c>
      <c r="T189" s="187" t="inlineStr">
        <is>
          <t>缺失</t>
        </is>
      </c>
      <c r="U189" s="187" t="inlineStr">
        <is>
          <t>学校</t>
        </is>
      </c>
      <c r="V189" s="187" t="inlineStr">
        <is>
          <t>只用视频</t>
        </is>
      </c>
      <c r="W189" s="186" t="inlineStr">
        <is>
          <t>Baseline A vs 1 个月＋2 个月 Follow-up</t>
        </is>
      </c>
    </row>
    <row r="190" ht="15" customHeight="1" s="176">
      <c r="A190" s="186" t="inlineStr">
        <is>
          <t>K301</t>
        </is>
      </c>
      <c r="B190" s="186" t="inlineStr">
        <is>
          <t>039-二次</t>
        </is>
      </c>
      <c r="C190" s="186" t="inlineStr">
        <is>
          <t>S.</t>
        </is>
      </c>
      <c r="D190" s="187" t="inlineStr">
        <is>
          <t>干预</t>
        </is>
      </c>
      <c r="E190" s="186" t="inlineStr">
        <is>
          <t>6–8岁</t>
        </is>
      </c>
      <c r="F190" s="187" t="inlineStr">
        <is>
          <t>男</t>
        </is>
      </c>
      <c r="G190" s="187" t="inlineStr">
        <is>
          <t>重度</t>
        </is>
      </c>
      <c r="H190" s="187" t="inlineStr">
        <is>
          <t>同伴儿童（含兄弟姐妹）</t>
        </is>
      </c>
      <c r="I190" s="187" t="inlineStr">
        <is>
          <t>单独实施</t>
        </is>
      </c>
      <c r="J190" s="187" t="inlineStr">
        <is>
          <t>电视</t>
        </is>
      </c>
      <c r="K190" s="186" t="inlineStr">
        <is>
          <t>10分钟及以下</t>
        </is>
      </c>
      <c r="L190" s="187" t="inlineStr">
        <is>
          <t>专用训练空间</t>
        </is>
      </c>
      <c r="M190" s="187" t="inlineStr">
        <is>
          <t>研究人员</t>
        </is>
      </c>
      <c r="N190" s="187" t="inlineStr">
        <is>
          <t>干预者回原文补齐</t>
        </is>
      </c>
      <c r="O190" s="186" t="inlineStr">
        <is>
          <t>7.00岁</t>
        </is>
      </c>
      <c r="P190" s="187" t="inlineStr">
        <is>
          <t>约5分钟</t>
        </is>
      </c>
      <c r="Q190" s="187" t="inlineStr">
        <is>
          <t>无</t>
        </is>
      </c>
      <c r="R190" s="187" t="inlineStr">
        <is>
          <t>同伴儿童</t>
        </is>
      </c>
      <c r="S190" s="187" t="inlineStr">
        <is>
          <t>电视</t>
        </is>
      </c>
      <c r="T190" s="187" t="inlineStr">
        <is>
          <t>缺失</t>
        </is>
      </c>
      <c r="U190" s="187" t="inlineStr">
        <is>
          <t>学校</t>
        </is>
      </c>
      <c r="V190" s="187" t="inlineStr">
        <is>
          <t>只用视频</t>
        </is>
      </c>
      <c r="W190" s="186" t="inlineStr">
        <is>
          <t>Baseline A vs Video 1–3 合并段（Video 4 不用）</t>
        </is>
      </c>
    </row>
    <row r="191" ht="15" customHeight="1" s="176">
      <c r="A191" s="186" t="inlineStr">
        <is>
          <t>K302</t>
        </is>
      </c>
      <c r="B191" s="186" t="inlineStr">
        <is>
          <t>039-二次</t>
        </is>
      </c>
      <c r="C191" s="186" t="inlineStr">
        <is>
          <t>S.</t>
        </is>
      </c>
      <c r="D191" s="187" t="inlineStr">
        <is>
          <t>维持</t>
        </is>
      </c>
      <c r="E191" s="186" t="inlineStr">
        <is>
          <t>6–8岁</t>
        </is>
      </c>
      <c r="F191" s="187" t="inlineStr">
        <is>
          <t>男</t>
        </is>
      </c>
      <c r="G191" s="187" t="inlineStr">
        <is>
          <t>重度</t>
        </is>
      </c>
      <c r="H191" s="187" t="inlineStr">
        <is>
          <t>同伴儿童（含兄弟姐妹）</t>
        </is>
      </c>
      <c r="I191" s="187" t="inlineStr">
        <is>
          <t>单独实施</t>
        </is>
      </c>
      <c r="J191" s="187" t="inlineStr">
        <is>
          <t>电视</t>
        </is>
      </c>
      <c r="K191" s="186" t="inlineStr">
        <is>
          <t>10分钟及以下</t>
        </is>
      </c>
      <c r="L191" s="187" t="inlineStr">
        <is>
          <t>专用训练空间</t>
        </is>
      </c>
      <c r="M191" s="187" t="inlineStr">
        <is>
          <t>研究人员</t>
        </is>
      </c>
      <c r="N191" s="187" t="inlineStr">
        <is>
          <t>干预者回原文补齐</t>
        </is>
      </c>
      <c r="O191" s="186" t="inlineStr">
        <is>
          <t>7.00岁</t>
        </is>
      </c>
      <c r="P191" s="187" t="inlineStr">
        <is>
          <t>约5分钟</t>
        </is>
      </c>
      <c r="Q191" s="187" t="inlineStr">
        <is>
          <t>无</t>
        </is>
      </c>
      <c r="R191" s="187" t="inlineStr">
        <is>
          <t>同伴儿童</t>
        </is>
      </c>
      <c r="S191" s="187" t="inlineStr">
        <is>
          <t>电视</t>
        </is>
      </c>
      <c r="T191" s="187" t="inlineStr">
        <is>
          <t>缺失</t>
        </is>
      </c>
      <c r="U191" s="187" t="inlineStr">
        <is>
          <t>学校</t>
        </is>
      </c>
      <c r="V191" s="187" t="inlineStr">
        <is>
          <t>只用视频</t>
        </is>
      </c>
      <c r="W191" s="186" t="inlineStr">
        <is>
          <t>Baseline A vs 1 个月＋2 个月 Follow-up</t>
        </is>
      </c>
    </row>
    <row r="192" ht="15" customHeight="1" s="176">
      <c r="A192" s="186" t="inlineStr">
        <is>
          <t>K303</t>
        </is>
      </c>
      <c r="B192" s="186" t="inlineStr">
        <is>
          <t>039-二次</t>
        </is>
      </c>
      <c r="C192" s="186" t="inlineStr">
        <is>
          <t>S.</t>
        </is>
      </c>
      <c r="D192" s="187" t="inlineStr">
        <is>
          <t>干预</t>
        </is>
      </c>
      <c r="E192" s="186" t="inlineStr">
        <is>
          <t>6–8岁</t>
        </is>
      </c>
      <c r="F192" s="187" t="inlineStr">
        <is>
          <t>男</t>
        </is>
      </c>
      <c r="G192" s="187" t="inlineStr">
        <is>
          <t>重度</t>
        </is>
      </c>
      <c r="H192" s="187" t="inlineStr">
        <is>
          <t>同伴儿童（含兄弟姐妹）</t>
        </is>
      </c>
      <c r="I192" s="187" t="inlineStr">
        <is>
          <t>单独实施</t>
        </is>
      </c>
      <c r="J192" s="187" t="inlineStr">
        <is>
          <t>电视</t>
        </is>
      </c>
      <c r="K192" s="186" t="inlineStr">
        <is>
          <t>10分钟及以下</t>
        </is>
      </c>
      <c r="L192" s="187" t="inlineStr">
        <is>
          <t>专用训练空间</t>
        </is>
      </c>
      <c r="M192" s="187" t="inlineStr">
        <is>
          <t>研究人员</t>
        </is>
      </c>
      <c r="N192" s="187" t="inlineStr">
        <is>
          <t>干预者回原文补齐</t>
        </is>
      </c>
      <c r="O192" s="186" t="inlineStr">
        <is>
          <t>7.00岁</t>
        </is>
      </c>
      <c r="P192" s="187" t="inlineStr">
        <is>
          <t>约5分钟</t>
        </is>
      </c>
      <c r="Q192" s="187" t="inlineStr">
        <is>
          <t>无</t>
        </is>
      </c>
      <c r="R192" s="187" t="inlineStr">
        <is>
          <t>同伴儿童</t>
        </is>
      </c>
      <c r="S192" s="187" t="inlineStr">
        <is>
          <t>电视</t>
        </is>
      </c>
      <c r="T192" s="187" t="inlineStr">
        <is>
          <t>缺失</t>
        </is>
      </c>
      <c r="U192" s="187" t="inlineStr">
        <is>
          <t>学校</t>
        </is>
      </c>
      <c r="V192" s="187" t="inlineStr">
        <is>
          <t>只用视频</t>
        </is>
      </c>
      <c r="W192" s="186" t="inlineStr">
        <is>
          <t>Baseline A vs Video 1–3 合并段（Video 4 不用）</t>
        </is>
      </c>
    </row>
    <row r="193" ht="15" customHeight="1" s="176">
      <c r="A193" s="186" t="inlineStr">
        <is>
          <t>K304</t>
        </is>
      </c>
      <c r="B193" s="186" t="inlineStr">
        <is>
          <t>039-二次</t>
        </is>
      </c>
      <c r="C193" s="186" t="inlineStr">
        <is>
          <t>S.</t>
        </is>
      </c>
      <c r="D193" s="187" t="inlineStr">
        <is>
          <t>维持</t>
        </is>
      </c>
      <c r="E193" s="186" t="inlineStr">
        <is>
          <t>6–8岁</t>
        </is>
      </c>
      <c r="F193" s="187" t="inlineStr">
        <is>
          <t>男</t>
        </is>
      </c>
      <c r="G193" s="187" t="inlineStr">
        <is>
          <t>重度</t>
        </is>
      </c>
      <c r="H193" s="187" t="inlineStr">
        <is>
          <t>同伴儿童（含兄弟姐妹）</t>
        </is>
      </c>
      <c r="I193" s="187" t="inlineStr">
        <is>
          <t>单独实施</t>
        </is>
      </c>
      <c r="J193" s="187" t="inlineStr">
        <is>
          <t>电视</t>
        </is>
      </c>
      <c r="K193" s="186" t="inlineStr">
        <is>
          <t>10分钟及以下</t>
        </is>
      </c>
      <c r="L193" s="187" t="inlineStr">
        <is>
          <t>专用训练空间</t>
        </is>
      </c>
      <c r="M193" s="187" t="inlineStr">
        <is>
          <t>研究人员</t>
        </is>
      </c>
      <c r="N193" s="187" t="inlineStr">
        <is>
          <t>干预者回原文补齐</t>
        </is>
      </c>
      <c r="O193" s="186" t="inlineStr">
        <is>
          <t>7.00岁</t>
        </is>
      </c>
      <c r="P193" s="187" t="inlineStr">
        <is>
          <t>约5分钟</t>
        </is>
      </c>
      <c r="Q193" s="187" t="inlineStr">
        <is>
          <t>无</t>
        </is>
      </c>
      <c r="R193" s="187" t="inlineStr">
        <is>
          <t>同伴儿童</t>
        </is>
      </c>
      <c r="S193" s="187" t="inlineStr">
        <is>
          <t>电视</t>
        </is>
      </c>
      <c r="T193" s="187" t="inlineStr">
        <is>
          <t>缺失</t>
        </is>
      </c>
      <c r="U193" s="187" t="inlineStr">
        <is>
          <t>学校</t>
        </is>
      </c>
      <c r="V193" s="187" t="inlineStr">
        <is>
          <t>只用视频</t>
        </is>
      </c>
      <c r="W193" s="186" t="inlineStr">
        <is>
          <t>Baseline A vs 1 个月＋2 个月 Follow-up</t>
        </is>
      </c>
    </row>
    <row r="194" ht="15" customHeight="1" s="176">
      <c r="A194" s="186" t="inlineStr">
        <is>
          <t>K305</t>
        </is>
      </c>
      <c r="B194" s="186" t="inlineStr">
        <is>
          <t>039-二次</t>
        </is>
      </c>
      <c r="C194" s="186" t="inlineStr">
        <is>
          <t>S.</t>
        </is>
      </c>
      <c r="D194" s="187" t="inlineStr">
        <is>
          <t>干预</t>
        </is>
      </c>
      <c r="E194" s="186" t="inlineStr">
        <is>
          <t>6–8岁</t>
        </is>
      </c>
      <c r="F194" s="187" t="inlineStr">
        <is>
          <t>男</t>
        </is>
      </c>
      <c r="G194" s="187" t="inlineStr">
        <is>
          <t>重度</t>
        </is>
      </c>
      <c r="H194" s="187" t="inlineStr">
        <is>
          <t>同伴儿童（含兄弟姐妹）</t>
        </is>
      </c>
      <c r="I194" s="187" t="inlineStr">
        <is>
          <t>单独实施</t>
        </is>
      </c>
      <c r="J194" s="187" t="inlineStr">
        <is>
          <t>电视</t>
        </is>
      </c>
      <c r="K194" s="186" t="inlineStr">
        <is>
          <t>10分钟及以下</t>
        </is>
      </c>
      <c r="L194" s="187" t="inlineStr">
        <is>
          <t>专用训练空间</t>
        </is>
      </c>
      <c r="M194" s="187" t="inlineStr">
        <is>
          <t>研究人员</t>
        </is>
      </c>
      <c r="N194" s="187" t="inlineStr">
        <is>
          <t>干预者回原文补齐</t>
        </is>
      </c>
      <c r="O194" s="186" t="inlineStr">
        <is>
          <t>7.00岁</t>
        </is>
      </c>
      <c r="P194" s="187" t="inlineStr">
        <is>
          <t>约5分钟</t>
        </is>
      </c>
      <c r="Q194" s="187" t="inlineStr">
        <is>
          <t>无</t>
        </is>
      </c>
      <c r="R194" s="187" t="inlineStr">
        <is>
          <t>同伴儿童</t>
        </is>
      </c>
      <c r="S194" s="187" t="inlineStr">
        <is>
          <t>电视</t>
        </is>
      </c>
      <c r="T194" s="187" t="inlineStr">
        <is>
          <t>缺失</t>
        </is>
      </c>
      <c r="U194" s="187" t="inlineStr">
        <is>
          <t>学校</t>
        </is>
      </c>
      <c r="V194" s="187" t="inlineStr">
        <is>
          <t>只用视频</t>
        </is>
      </c>
      <c r="W194" s="186" t="inlineStr">
        <is>
          <t>Baseline A vs Video 1–3 合并段（Video 4 不用）</t>
        </is>
      </c>
    </row>
    <row r="195" ht="15" customHeight="1" s="176">
      <c r="A195" s="186" t="inlineStr">
        <is>
          <t>K306</t>
        </is>
      </c>
      <c r="B195" s="186" t="inlineStr">
        <is>
          <t>039-二次</t>
        </is>
      </c>
      <c r="C195" s="186" t="inlineStr">
        <is>
          <t>S.</t>
        </is>
      </c>
      <c r="D195" s="187" t="inlineStr">
        <is>
          <t>维持</t>
        </is>
      </c>
      <c r="E195" s="186" t="inlineStr">
        <is>
          <t>6–8岁</t>
        </is>
      </c>
      <c r="F195" s="187" t="inlineStr">
        <is>
          <t>男</t>
        </is>
      </c>
      <c r="G195" s="187" t="inlineStr">
        <is>
          <t>重度</t>
        </is>
      </c>
      <c r="H195" s="187" t="inlineStr">
        <is>
          <t>同伴儿童（含兄弟姐妹）</t>
        </is>
      </c>
      <c r="I195" s="187" t="inlineStr">
        <is>
          <t>单独实施</t>
        </is>
      </c>
      <c r="J195" s="187" t="inlineStr">
        <is>
          <t>电视</t>
        </is>
      </c>
      <c r="K195" s="186" t="inlineStr">
        <is>
          <t>10分钟及以下</t>
        </is>
      </c>
      <c r="L195" s="187" t="inlineStr">
        <is>
          <t>专用训练空间</t>
        </is>
      </c>
      <c r="M195" s="187" t="inlineStr">
        <is>
          <t>研究人员</t>
        </is>
      </c>
      <c r="N195" s="187" t="inlineStr">
        <is>
          <t>干预者回原文补齐</t>
        </is>
      </c>
      <c r="O195" s="186" t="inlineStr">
        <is>
          <t>7.00岁</t>
        </is>
      </c>
      <c r="P195" s="187" t="inlineStr">
        <is>
          <t>约5分钟</t>
        </is>
      </c>
      <c r="Q195" s="187" t="inlineStr">
        <is>
          <t>无</t>
        </is>
      </c>
      <c r="R195" s="187" t="inlineStr">
        <is>
          <t>同伴儿童</t>
        </is>
      </c>
      <c r="S195" s="187" t="inlineStr">
        <is>
          <t>电视</t>
        </is>
      </c>
      <c r="T195" s="187" t="inlineStr">
        <is>
          <t>缺失</t>
        </is>
      </c>
      <c r="U195" s="187" t="inlineStr">
        <is>
          <t>学校</t>
        </is>
      </c>
      <c r="V195" s="187" t="inlineStr">
        <is>
          <t>只用视频</t>
        </is>
      </c>
      <c r="W195" s="186" t="inlineStr">
        <is>
          <t>Baseline A vs 1 个月＋2 个月 Follow-up</t>
        </is>
      </c>
    </row>
    <row r="196" ht="15" customHeight="1" s="176">
      <c r="A196" s="186" t="inlineStr">
        <is>
          <t>K307</t>
        </is>
      </c>
      <c r="B196" s="186" t="inlineStr">
        <is>
          <t>039-二次</t>
        </is>
      </c>
      <c r="C196" s="186" t="inlineStr">
        <is>
          <t>S.</t>
        </is>
      </c>
      <c r="D196" s="187" t="inlineStr">
        <is>
          <t>干预</t>
        </is>
      </c>
      <c r="E196" s="186" t="inlineStr">
        <is>
          <t>6–8岁</t>
        </is>
      </c>
      <c r="F196" s="187" t="inlineStr">
        <is>
          <t>男</t>
        </is>
      </c>
      <c r="G196" s="187" t="inlineStr">
        <is>
          <t>重度</t>
        </is>
      </c>
      <c r="H196" s="187" t="inlineStr">
        <is>
          <t>同伴儿童（含兄弟姐妹）</t>
        </is>
      </c>
      <c r="I196" s="187" t="inlineStr">
        <is>
          <t>单独实施</t>
        </is>
      </c>
      <c r="J196" s="187" t="inlineStr">
        <is>
          <t>电视</t>
        </is>
      </c>
      <c r="K196" s="186" t="inlineStr">
        <is>
          <t>10分钟及以下</t>
        </is>
      </c>
      <c r="L196" s="187" t="inlineStr">
        <is>
          <t>专用训练空间</t>
        </is>
      </c>
      <c r="M196" s="187" t="inlineStr">
        <is>
          <t>研究人员</t>
        </is>
      </c>
      <c r="N196" s="187" t="inlineStr">
        <is>
          <t>干预者回原文补齐</t>
        </is>
      </c>
      <c r="O196" s="186" t="inlineStr">
        <is>
          <t>7.00岁</t>
        </is>
      </c>
      <c r="P196" s="187" t="inlineStr">
        <is>
          <t>约5分钟</t>
        </is>
      </c>
      <c r="Q196" s="187" t="inlineStr">
        <is>
          <t>无</t>
        </is>
      </c>
      <c r="R196" s="187" t="inlineStr">
        <is>
          <t>同伴儿童</t>
        </is>
      </c>
      <c r="S196" s="187" t="inlineStr">
        <is>
          <t>电视</t>
        </is>
      </c>
      <c r="T196" s="187" t="inlineStr">
        <is>
          <t>缺失</t>
        </is>
      </c>
      <c r="U196" s="187" t="inlineStr">
        <is>
          <t>学校</t>
        </is>
      </c>
      <c r="V196" s="187" t="inlineStr">
        <is>
          <t>只用视频</t>
        </is>
      </c>
      <c r="W196" s="186" t="inlineStr">
        <is>
          <t>Baseline A vs Video 1–3 合并段（Video 4 不用）</t>
        </is>
      </c>
    </row>
    <row r="197" ht="15" customHeight="1" s="176">
      <c r="A197" s="186" t="inlineStr">
        <is>
          <t>K308</t>
        </is>
      </c>
      <c r="B197" s="186" t="inlineStr">
        <is>
          <t>039-二次</t>
        </is>
      </c>
      <c r="C197" s="186" t="inlineStr">
        <is>
          <t>S.</t>
        </is>
      </c>
      <c r="D197" s="187" t="inlineStr">
        <is>
          <t>维持</t>
        </is>
      </c>
      <c r="E197" s="186" t="inlineStr">
        <is>
          <t>6–8岁</t>
        </is>
      </c>
      <c r="F197" s="187" t="inlineStr">
        <is>
          <t>男</t>
        </is>
      </c>
      <c r="G197" s="187" t="inlineStr">
        <is>
          <t>重度</t>
        </is>
      </c>
      <c r="H197" s="187" t="inlineStr">
        <is>
          <t>同伴儿童（含兄弟姐妹）</t>
        </is>
      </c>
      <c r="I197" s="187" t="inlineStr">
        <is>
          <t>单独实施</t>
        </is>
      </c>
      <c r="J197" s="187" t="inlineStr">
        <is>
          <t>电视</t>
        </is>
      </c>
      <c r="K197" s="186" t="inlineStr">
        <is>
          <t>10分钟及以下</t>
        </is>
      </c>
      <c r="L197" s="187" t="inlineStr">
        <is>
          <t>专用训练空间</t>
        </is>
      </c>
      <c r="M197" s="187" t="inlineStr">
        <is>
          <t>研究人员</t>
        </is>
      </c>
      <c r="N197" s="187" t="inlineStr">
        <is>
          <t>干预者回原文补齐</t>
        </is>
      </c>
      <c r="O197" s="186" t="inlineStr">
        <is>
          <t>7.00岁</t>
        </is>
      </c>
      <c r="P197" s="187" t="inlineStr">
        <is>
          <t>约5分钟</t>
        </is>
      </c>
      <c r="Q197" s="187" t="inlineStr">
        <is>
          <t>无</t>
        </is>
      </c>
      <c r="R197" s="187" t="inlineStr">
        <is>
          <t>同伴儿童</t>
        </is>
      </c>
      <c r="S197" s="187" t="inlineStr">
        <is>
          <t>电视</t>
        </is>
      </c>
      <c r="T197" s="187" t="inlineStr">
        <is>
          <t>缺失</t>
        </is>
      </c>
      <c r="U197" s="187" t="inlineStr">
        <is>
          <t>学校</t>
        </is>
      </c>
      <c r="V197" s="187" t="inlineStr">
        <is>
          <t>只用视频</t>
        </is>
      </c>
      <c r="W197" s="186" t="inlineStr">
        <is>
          <t>Baseline A vs 1 个月＋2 个月 Follow-up</t>
        </is>
      </c>
    </row>
    <row r="198" ht="15" customHeight="1" s="176">
      <c r="A198" s="186" t="inlineStr">
        <is>
          <t>K341</t>
        </is>
      </c>
      <c r="B198" s="186" t="inlineStr">
        <is>
          <t>043-二次</t>
        </is>
      </c>
      <c r="C198" s="186" t="inlineStr">
        <is>
          <t>Daniel</t>
        </is>
      </c>
      <c r="D198" s="187" t="inlineStr">
        <is>
          <t>干预</t>
        </is>
      </c>
      <c r="E198" s="186" t="inlineStr">
        <is>
          <t>6–8岁</t>
        </is>
      </c>
      <c r="F198" s="188" t="inlineStr">
        <is>
          <t>不纳入该变量（原文未报告）</t>
        </is>
      </c>
      <c r="G198" s="187" t="inlineStr">
        <is>
          <t>轻中度</t>
        </is>
      </c>
      <c r="H198" s="187" t="inlineStr">
        <is>
          <t>同伴儿童（含兄弟姐妹）</t>
        </is>
      </c>
      <c r="I198" s="187" t="inlineStr">
        <is>
          <t>单独实施</t>
        </is>
      </c>
      <c r="J198" s="187" t="inlineStr">
        <is>
          <t>电视</t>
        </is>
      </c>
      <c r="K198" s="186" t="inlineStr">
        <is>
          <t>10分钟及以下</t>
        </is>
      </c>
      <c r="L198" s="187" t="inlineStr">
        <is>
          <t>专用训练空间</t>
        </is>
      </c>
      <c r="M198" s="187" t="inlineStr">
        <is>
          <t>研究人员</t>
        </is>
      </c>
      <c r="N198" s="190" t="inlineStr">
        <is>
          <t>干预者回原文补齐
视频设备依据：年份推定（原文播放终端未明确，按确认方案归组）</t>
        </is>
      </c>
      <c r="O198" s="187" t="inlineStr">
        <is>
          <t>原文只报样本7–9岁，按范围中点8岁归组</t>
        </is>
      </c>
      <c r="P198" s="187" t="inlineStr">
        <is>
          <t>每次最多5分钟</t>
        </is>
      </c>
      <c r="Q198" s="187" t="inlineStr">
        <is>
          <t>无</t>
        </is>
      </c>
      <c r="R198" s="187" t="inlineStr">
        <is>
          <t>同伴儿童</t>
        </is>
      </c>
      <c r="S198" s="187" t="inlineStr">
        <is>
          <t>缺失</t>
        </is>
      </c>
      <c r="T198" s="187" t="inlineStr">
        <is>
          <t>缺失</t>
        </is>
      </c>
      <c r="U198" s="187" t="inlineStr">
        <is>
          <t>学校</t>
        </is>
      </c>
      <c r="V198" s="187" t="inlineStr">
        <is>
          <t>只用视频</t>
        </is>
      </c>
      <c r="W198" s="186" t="inlineStr">
        <is>
          <t>A vs B1/B2/C 视频示范期合并</t>
        </is>
      </c>
    </row>
    <row r="199" ht="15" customHeight="1" s="176">
      <c r="A199" s="186" t="inlineStr">
        <is>
          <t>K342</t>
        </is>
      </c>
      <c r="B199" s="186" t="inlineStr">
        <is>
          <t>043-二次</t>
        </is>
      </c>
      <c r="C199" s="186" t="inlineStr">
        <is>
          <t>Daniel</t>
        </is>
      </c>
      <c r="D199" s="187" t="inlineStr">
        <is>
          <t>维持</t>
        </is>
      </c>
      <c r="E199" s="186" t="inlineStr">
        <is>
          <t>6–8岁</t>
        </is>
      </c>
      <c r="F199" s="188" t="inlineStr">
        <is>
          <t>不纳入该变量（原文未报告）</t>
        </is>
      </c>
      <c r="G199" s="187" t="inlineStr">
        <is>
          <t>轻中度</t>
        </is>
      </c>
      <c r="H199" s="187" t="inlineStr">
        <is>
          <t>同伴儿童（含兄弟姐妹）</t>
        </is>
      </c>
      <c r="I199" s="187" t="inlineStr">
        <is>
          <t>单独实施</t>
        </is>
      </c>
      <c r="J199" s="187" t="inlineStr">
        <is>
          <t>电视</t>
        </is>
      </c>
      <c r="K199" s="186" t="inlineStr">
        <is>
          <t>10分钟及以下</t>
        </is>
      </c>
      <c r="L199" s="187" t="inlineStr">
        <is>
          <t>专用训练空间</t>
        </is>
      </c>
      <c r="M199" s="187" t="inlineStr">
        <is>
          <t>研究人员</t>
        </is>
      </c>
      <c r="N199" s="190" t="inlineStr">
        <is>
          <t>干预者回原文补齐
视频设备依据：年份推定（原文播放终端未明确，按确认方案归组）</t>
        </is>
      </c>
      <c r="O199" s="187" t="inlineStr">
        <is>
          <t>原文只报样本7–9岁，按范围中点8岁归组</t>
        </is>
      </c>
      <c r="P199" s="187" t="inlineStr">
        <is>
          <t>每次最多5分钟</t>
        </is>
      </c>
      <c r="Q199" s="187" t="inlineStr">
        <is>
          <t>无</t>
        </is>
      </c>
      <c r="R199" s="187" t="inlineStr">
        <is>
          <t>同伴儿童</t>
        </is>
      </c>
      <c r="S199" s="187" t="inlineStr">
        <is>
          <t>缺失</t>
        </is>
      </c>
      <c r="T199" s="187" t="inlineStr">
        <is>
          <t>缺失</t>
        </is>
      </c>
      <c r="U199" s="187" t="inlineStr">
        <is>
          <t>学校</t>
        </is>
      </c>
      <c r="V199" s="187" t="inlineStr">
        <is>
          <t>只用视频</t>
        </is>
      </c>
      <c r="W199" s="186" t="inlineStr">
        <is>
          <t>A vs 1 个月＋3 个月 Follow-up</t>
        </is>
      </c>
    </row>
    <row r="200" ht="15" customHeight="1" s="176">
      <c r="A200" s="186" t="inlineStr">
        <is>
          <t>K343</t>
        </is>
      </c>
      <c r="B200" s="186" t="inlineStr">
        <is>
          <t>043-二次</t>
        </is>
      </c>
      <c r="C200" s="186" t="inlineStr">
        <is>
          <t>Daniel</t>
        </is>
      </c>
      <c r="D200" s="187" t="inlineStr">
        <is>
          <t>干预</t>
        </is>
      </c>
      <c r="E200" s="186" t="inlineStr">
        <is>
          <t>6–8岁</t>
        </is>
      </c>
      <c r="F200" s="188" t="inlineStr">
        <is>
          <t>不纳入该变量（原文未报告）</t>
        </is>
      </c>
      <c r="G200" s="187" t="inlineStr">
        <is>
          <t>轻中度</t>
        </is>
      </c>
      <c r="H200" s="187" t="inlineStr">
        <is>
          <t>同伴儿童（含兄弟姐妹）</t>
        </is>
      </c>
      <c r="I200" s="187" t="inlineStr">
        <is>
          <t>单独实施</t>
        </is>
      </c>
      <c r="J200" s="187" t="inlineStr">
        <is>
          <t>电视</t>
        </is>
      </c>
      <c r="K200" s="186" t="inlineStr">
        <is>
          <t>10分钟及以下</t>
        </is>
      </c>
      <c r="L200" s="187" t="inlineStr">
        <is>
          <t>专用训练空间</t>
        </is>
      </c>
      <c r="M200" s="187" t="inlineStr">
        <is>
          <t>研究人员</t>
        </is>
      </c>
      <c r="N200" s="190" t="inlineStr">
        <is>
          <t>干预者回原文补齐
视频设备依据：年份推定（原文播放终端未明确，按确认方案归组）</t>
        </is>
      </c>
      <c r="O200" s="187" t="inlineStr">
        <is>
          <t>原文只报样本7–9岁，按范围中点8岁归组</t>
        </is>
      </c>
      <c r="P200" s="187" t="inlineStr">
        <is>
          <t>每次最多5分钟</t>
        </is>
      </c>
      <c r="Q200" s="187" t="inlineStr">
        <is>
          <t>无</t>
        </is>
      </c>
      <c r="R200" s="187" t="inlineStr">
        <is>
          <t>同伴儿童</t>
        </is>
      </c>
      <c r="S200" s="187" t="inlineStr">
        <is>
          <t>缺失</t>
        </is>
      </c>
      <c r="T200" s="187" t="inlineStr">
        <is>
          <t>缺失</t>
        </is>
      </c>
      <c r="U200" s="187" t="inlineStr">
        <is>
          <t>学校</t>
        </is>
      </c>
      <c r="V200" s="187" t="inlineStr">
        <is>
          <t>只用视频</t>
        </is>
      </c>
      <c r="W200" s="186" t="inlineStr">
        <is>
          <t>A vs B1/B2/C 视频示范期合并</t>
        </is>
      </c>
    </row>
    <row r="201" ht="15" customHeight="1" s="176">
      <c r="A201" s="186" t="inlineStr">
        <is>
          <t>K344</t>
        </is>
      </c>
      <c r="B201" s="186" t="inlineStr">
        <is>
          <t>043-二次</t>
        </is>
      </c>
      <c r="C201" s="186" t="inlineStr">
        <is>
          <t>Daniel</t>
        </is>
      </c>
      <c r="D201" s="187" t="inlineStr">
        <is>
          <t>维持</t>
        </is>
      </c>
      <c r="E201" s="186" t="inlineStr">
        <is>
          <t>6–8岁</t>
        </is>
      </c>
      <c r="F201" s="188" t="inlineStr">
        <is>
          <t>不纳入该变量（原文未报告）</t>
        </is>
      </c>
      <c r="G201" s="187" t="inlineStr">
        <is>
          <t>轻中度</t>
        </is>
      </c>
      <c r="H201" s="187" t="inlineStr">
        <is>
          <t>同伴儿童（含兄弟姐妹）</t>
        </is>
      </c>
      <c r="I201" s="187" t="inlineStr">
        <is>
          <t>单独实施</t>
        </is>
      </c>
      <c r="J201" s="187" t="inlineStr">
        <is>
          <t>电视</t>
        </is>
      </c>
      <c r="K201" s="186" t="inlineStr">
        <is>
          <t>10分钟及以下</t>
        </is>
      </c>
      <c r="L201" s="187" t="inlineStr">
        <is>
          <t>专用训练空间</t>
        </is>
      </c>
      <c r="M201" s="187" t="inlineStr">
        <is>
          <t>研究人员</t>
        </is>
      </c>
      <c r="N201" s="190" t="inlineStr">
        <is>
          <t>干预者回原文补齐
视频设备依据：年份推定（原文播放终端未明确，按确认方案归组）</t>
        </is>
      </c>
      <c r="O201" s="187" t="inlineStr">
        <is>
          <t>原文只报样本7–9岁，按范围中点8岁归组</t>
        </is>
      </c>
      <c r="P201" s="187" t="inlineStr">
        <is>
          <t>每次最多5分钟</t>
        </is>
      </c>
      <c r="Q201" s="187" t="inlineStr">
        <is>
          <t>无</t>
        </is>
      </c>
      <c r="R201" s="187" t="inlineStr">
        <is>
          <t>同伴儿童</t>
        </is>
      </c>
      <c r="S201" s="187" t="inlineStr">
        <is>
          <t>缺失</t>
        </is>
      </c>
      <c r="T201" s="187" t="inlineStr">
        <is>
          <t>缺失</t>
        </is>
      </c>
      <c r="U201" s="187" t="inlineStr">
        <is>
          <t>学校</t>
        </is>
      </c>
      <c r="V201" s="187" t="inlineStr">
        <is>
          <t>只用视频</t>
        </is>
      </c>
      <c r="W201" s="186" t="inlineStr">
        <is>
          <t>A vs 1 个月＋3 个月 Follow-up</t>
        </is>
      </c>
    </row>
    <row r="202" ht="15" customHeight="1" s="176">
      <c r="A202" s="186" t="inlineStr">
        <is>
          <t>K345</t>
        </is>
      </c>
      <c r="B202" s="186" t="inlineStr">
        <is>
          <t>043-二次</t>
        </is>
      </c>
      <c r="C202" s="186" t="inlineStr">
        <is>
          <t>Christopher</t>
        </is>
      </c>
      <c r="D202" s="187" t="inlineStr">
        <is>
          <t>干预</t>
        </is>
      </c>
      <c r="E202" s="186" t="inlineStr">
        <is>
          <t>6–8岁</t>
        </is>
      </c>
      <c r="F202" s="188" t="inlineStr">
        <is>
          <t>不纳入该变量（原文未报告）</t>
        </is>
      </c>
      <c r="G202" s="187" t="inlineStr">
        <is>
          <t>轻中度</t>
        </is>
      </c>
      <c r="H202" s="187" t="inlineStr">
        <is>
          <t>同伴儿童（含兄弟姐妹）</t>
        </is>
      </c>
      <c r="I202" s="187" t="inlineStr">
        <is>
          <t>单独实施</t>
        </is>
      </c>
      <c r="J202" s="187" t="inlineStr">
        <is>
          <t>电视</t>
        </is>
      </c>
      <c r="K202" s="186" t="inlineStr">
        <is>
          <t>10分钟及以下</t>
        </is>
      </c>
      <c r="L202" s="187" t="inlineStr">
        <is>
          <t>专用训练空间</t>
        </is>
      </c>
      <c r="M202" s="187" t="inlineStr">
        <is>
          <t>研究人员</t>
        </is>
      </c>
      <c r="N202" s="190" t="inlineStr">
        <is>
          <t>干预者回原文补齐
视频设备依据：年份推定（原文播放终端未明确，按确认方案归组）</t>
        </is>
      </c>
      <c r="O202" s="187" t="inlineStr">
        <is>
          <t>原文只报样本7–9岁，按范围中点8岁归组</t>
        </is>
      </c>
      <c r="P202" s="187" t="inlineStr">
        <is>
          <t>每次最多5分钟</t>
        </is>
      </c>
      <c r="Q202" s="187" t="inlineStr">
        <is>
          <t>无</t>
        </is>
      </c>
      <c r="R202" s="187" t="inlineStr">
        <is>
          <t>同伴儿童</t>
        </is>
      </c>
      <c r="S202" s="187" t="inlineStr">
        <is>
          <t>缺失</t>
        </is>
      </c>
      <c r="T202" s="187" t="inlineStr">
        <is>
          <t>缺失</t>
        </is>
      </c>
      <c r="U202" s="187" t="inlineStr">
        <is>
          <t>学校</t>
        </is>
      </c>
      <c r="V202" s="187" t="inlineStr">
        <is>
          <t>只用视频</t>
        </is>
      </c>
      <c r="W202" s="186" t="inlineStr">
        <is>
          <t>A vs B1/B2/C 视频示范期合并</t>
        </is>
      </c>
    </row>
    <row r="203" ht="15" customHeight="1" s="176">
      <c r="A203" s="186" t="inlineStr">
        <is>
          <t>K346</t>
        </is>
      </c>
      <c r="B203" s="186" t="inlineStr">
        <is>
          <t>043-二次</t>
        </is>
      </c>
      <c r="C203" s="186" t="inlineStr">
        <is>
          <t>Christopher</t>
        </is>
      </c>
      <c r="D203" s="187" t="inlineStr">
        <is>
          <t>维持</t>
        </is>
      </c>
      <c r="E203" s="186" t="inlineStr">
        <is>
          <t>6–8岁</t>
        </is>
      </c>
      <c r="F203" s="188" t="inlineStr">
        <is>
          <t>不纳入该变量（原文未报告）</t>
        </is>
      </c>
      <c r="G203" s="187" t="inlineStr">
        <is>
          <t>轻中度</t>
        </is>
      </c>
      <c r="H203" s="187" t="inlineStr">
        <is>
          <t>同伴儿童（含兄弟姐妹）</t>
        </is>
      </c>
      <c r="I203" s="187" t="inlineStr">
        <is>
          <t>单独实施</t>
        </is>
      </c>
      <c r="J203" s="187" t="inlineStr">
        <is>
          <t>电视</t>
        </is>
      </c>
      <c r="K203" s="186" t="inlineStr">
        <is>
          <t>10分钟及以下</t>
        </is>
      </c>
      <c r="L203" s="187" t="inlineStr">
        <is>
          <t>专用训练空间</t>
        </is>
      </c>
      <c r="M203" s="187" t="inlineStr">
        <is>
          <t>研究人员</t>
        </is>
      </c>
      <c r="N203" s="190" t="inlineStr">
        <is>
          <t>干预者回原文补齐
视频设备依据：年份推定（原文播放终端未明确，按确认方案归组）</t>
        </is>
      </c>
      <c r="O203" s="187" t="inlineStr">
        <is>
          <t>原文只报样本7–9岁，按范围中点8岁归组</t>
        </is>
      </c>
      <c r="P203" s="187" t="inlineStr">
        <is>
          <t>每次最多5分钟</t>
        </is>
      </c>
      <c r="Q203" s="187" t="inlineStr">
        <is>
          <t>无</t>
        </is>
      </c>
      <c r="R203" s="187" t="inlineStr">
        <is>
          <t>同伴儿童</t>
        </is>
      </c>
      <c r="S203" s="187" t="inlineStr">
        <is>
          <t>缺失</t>
        </is>
      </c>
      <c r="T203" s="187" t="inlineStr">
        <is>
          <t>缺失</t>
        </is>
      </c>
      <c r="U203" s="187" t="inlineStr">
        <is>
          <t>学校</t>
        </is>
      </c>
      <c r="V203" s="187" t="inlineStr">
        <is>
          <t>只用视频</t>
        </is>
      </c>
      <c r="W203" s="186" t="inlineStr">
        <is>
          <t>A vs 1 个月＋3 个月 Follow-up</t>
        </is>
      </c>
    </row>
    <row r="204" ht="15" customHeight="1" s="176">
      <c r="A204" s="186" t="inlineStr">
        <is>
          <t>K347</t>
        </is>
      </c>
      <c r="B204" s="186" t="inlineStr">
        <is>
          <t>043-二次</t>
        </is>
      </c>
      <c r="C204" s="186" t="inlineStr">
        <is>
          <t>Christopher</t>
        </is>
      </c>
      <c r="D204" s="187" t="inlineStr">
        <is>
          <t>干预</t>
        </is>
      </c>
      <c r="E204" s="186" t="inlineStr">
        <is>
          <t>6–8岁</t>
        </is>
      </c>
      <c r="F204" s="188" t="inlineStr">
        <is>
          <t>不纳入该变量（原文未报告）</t>
        </is>
      </c>
      <c r="G204" s="187" t="inlineStr">
        <is>
          <t>轻中度</t>
        </is>
      </c>
      <c r="H204" s="187" t="inlineStr">
        <is>
          <t>同伴儿童（含兄弟姐妹）</t>
        </is>
      </c>
      <c r="I204" s="187" t="inlineStr">
        <is>
          <t>单独实施</t>
        </is>
      </c>
      <c r="J204" s="187" t="inlineStr">
        <is>
          <t>电视</t>
        </is>
      </c>
      <c r="K204" s="186" t="inlineStr">
        <is>
          <t>10分钟及以下</t>
        </is>
      </c>
      <c r="L204" s="187" t="inlineStr">
        <is>
          <t>专用训练空间</t>
        </is>
      </c>
      <c r="M204" s="187" t="inlineStr">
        <is>
          <t>研究人员</t>
        </is>
      </c>
      <c r="N204" s="190" t="inlineStr">
        <is>
          <t>干预者回原文补齐
视频设备依据：年份推定（原文播放终端未明确，按确认方案归组）</t>
        </is>
      </c>
      <c r="O204" s="187" t="inlineStr">
        <is>
          <t>原文只报样本7–9岁，按范围中点8岁归组</t>
        </is>
      </c>
      <c r="P204" s="187" t="inlineStr">
        <is>
          <t>每次最多5分钟</t>
        </is>
      </c>
      <c r="Q204" s="187" t="inlineStr">
        <is>
          <t>无</t>
        </is>
      </c>
      <c r="R204" s="187" t="inlineStr">
        <is>
          <t>同伴儿童</t>
        </is>
      </c>
      <c r="S204" s="187" t="inlineStr">
        <is>
          <t>缺失</t>
        </is>
      </c>
      <c r="T204" s="187" t="inlineStr">
        <is>
          <t>缺失</t>
        </is>
      </c>
      <c r="U204" s="187" t="inlineStr">
        <is>
          <t>学校</t>
        </is>
      </c>
      <c r="V204" s="187" t="inlineStr">
        <is>
          <t>只用视频</t>
        </is>
      </c>
      <c r="W204" s="186" t="inlineStr">
        <is>
          <t>A vs B1/B2/C 视频示范期合并</t>
        </is>
      </c>
    </row>
    <row r="205" ht="15" customHeight="1" s="176">
      <c r="A205" s="186" t="inlineStr">
        <is>
          <t>K348</t>
        </is>
      </c>
      <c r="B205" s="186" t="inlineStr">
        <is>
          <t>043-二次</t>
        </is>
      </c>
      <c r="C205" s="186" t="inlineStr">
        <is>
          <t>Christopher</t>
        </is>
      </c>
      <c r="D205" s="187" t="inlineStr">
        <is>
          <t>维持</t>
        </is>
      </c>
      <c r="E205" s="186" t="inlineStr">
        <is>
          <t>6–8岁</t>
        </is>
      </c>
      <c r="F205" s="188" t="inlineStr">
        <is>
          <t>不纳入该变量（原文未报告）</t>
        </is>
      </c>
      <c r="G205" s="187" t="inlineStr">
        <is>
          <t>轻中度</t>
        </is>
      </c>
      <c r="H205" s="187" t="inlineStr">
        <is>
          <t>同伴儿童（含兄弟姐妹）</t>
        </is>
      </c>
      <c r="I205" s="187" t="inlineStr">
        <is>
          <t>单独实施</t>
        </is>
      </c>
      <c r="J205" s="187" t="inlineStr">
        <is>
          <t>电视</t>
        </is>
      </c>
      <c r="K205" s="186" t="inlineStr">
        <is>
          <t>10分钟及以下</t>
        </is>
      </c>
      <c r="L205" s="187" t="inlineStr">
        <is>
          <t>专用训练空间</t>
        </is>
      </c>
      <c r="M205" s="187" t="inlineStr">
        <is>
          <t>研究人员</t>
        </is>
      </c>
      <c r="N205" s="190" t="inlineStr">
        <is>
          <t>干预者回原文补齐
视频设备依据：年份推定（原文播放终端未明确，按确认方案归组）</t>
        </is>
      </c>
      <c r="O205" s="187" t="inlineStr">
        <is>
          <t>原文只报样本7–9岁，按范围中点8岁归组</t>
        </is>
      </c>
      <c r="P205" s="187" t="inlineStr">
        <is>
          <t>每次最多5分钟</t>
        </is>
      </c>
      <c r="Q205" s="187" t="inlineStr">
        <is>
          <t>无</t>
        </is>
      </c>
      <c r="R205" s="187" t="inlineStr">
        <is>
          <t>同伴儿童</t>
        </is>
      </c>
      <c r="S205" s="187" t="inlineStr">
        <is>
          <t>缺失</t>
        </is>
      </c>
      <c r="T205" s="187" t="inlineStr">
        <is>
          <t>缺失</t>
        </is>
      </c>
      <c r="U205" s="187" t="inlineStr">
        <is>
          <t>学校</t>
        </is>
      </c>
      <c r="V205" s="187" t="inlineStr">
        <is>
          <t>只用视频</t>
        </is>
      </c>
      <c r="W205" s="186" t="inlineStr">
        <is>
          <t>A vs 1 个月＋3 个月 Follow-up</t>
        </is>
      </c>
    </row>
    <row r="206" ht="15" customHeight="1" s="176">
      <c r="A206" s="186" t="inlineStr">
        <is>
          <t>K349</t>
        </is>
      </c>
      <c r="B206" s="186" t="inlineStr">
        <is>
          <t>043-二次</t>
        </is>
      </c>
      <c r="C206" s="186" t="inlineStr">
        <is>
          <t>Andrew</t>
        </is>
      </c>
      <c r="D206" s="187" t="inlineStr">
        <is>
          <t>干预</t>
        </is>
      </c>
      <c r="E206" s="186" t="inlineStr">
        <is>
          <t>6–8岁</t>
        </is>
      </c>
      <c r="F206" s="188" t="inlineStr">
        <is>
          <t>不纳入该变量（原文未报告）</t>
        </is>
      </c>
      <c r="G206" s="187" t="inlineStr">
        <is>
          <t>轻中度</t>
        </is>
      </c>
      <c r="H206" s="187" t="inlineStr">
        <is>
          <t>同伴儿童（含兄弟姐妹）</t>
        </is>
      </c>
      <c r="I206" s="187" t="inlineStr">
        <is>
          <t>单独实施</t>
        </is>
      </c>
      <c r="J206" s="187" t="inlineStr">
        <is>
          <t>电视</t>
        </is>
      </c>
      <c r="K206" s="186" t="inlineStr">
        <is>
          <t>10分钟及以下</t>
        </is>
      </c>
      <c r="L206" s="187" t="inlineStr">
        <is>
          <t>专用训练空间</t>
        </is>
      </c>
      <c r="M206" s="187" t="inlineStr">
        <is>
          <t>研究人员</t>
        </is>
      </c>
      <c r="N206" s="190" t="inlineStr">
        <is>
          <t>干预者回原文补齐
视频设备依据：年份推定（原文播放终端未明确，按确认方案归组）</t>
        </is>
      </c>
      <c r="O206" s="187" t="inlineStr">
        <is>
          <t>原文只报样本7–9岁，按范围中点8岁归组</t>
        </is>
      </c>
      <c r="P206" s="187" t="inlineStr">
        <is>
          <t>每次最多5分钟</t>
        </is>
      </c>
      <c r="Q206" s="187" t="inlineStr">
        <is>
          <t>无</t>
        </is>
      </c>
      <c r="R206" s="187" t="inlineStr">
        <is>
          <t>同伴儿童</t>
        </is>
      </c>
      <c r="S206" s="187" t="inlineStr">
        <is>
          <t>缺失</t>
        </is>
      </c>
      <c r="T206" s="187" t="inlineStr">
        <is>
          <t>缺失</t>
        </is>
      </c>
      <c r="U206" s="187" t="inlineStr">
        <is>
          <t>学校</t>
        </is>
      </c>
      <c r="V206" s="187" t="inlineStr">
        <is>
          <t>只用视频</t>
        </is>
      </c>
      <c r="W206" s="186" t="inlineStr">
        <is>
          <t>A vs B1/B2/C 视频示范期合并</t>
        </is>
      </c>
    </row>
    <row r="207" ht="15" customHeight="1" s="176">
      <c r="A207" s="186" t="inlineStr">
        <is>
          <t>K350</t>
        </is>
      </c>
      <c r="B207" s="186" t="inlineStr">
        <is>
          <t>043-二次</t>
        </is>
      </c>
      <c r="C207" s="186" t="inlineStr">
        <is>
          <t>Andrew</t>
        </is>
      </c>
      <c r="D207" s="187" t="inlineStr">
        <is>
          <t>维持</t>
        </is>
      </c>
      <c r="E207" s="186" t="inlineStr">
        <is>
          <t>6–8岁</t>
        </is>
      </c>
      <c r="F207" s="188" t="inlineStr">
        <is>
          <t>不纳入该变量（原文未报告）</t>
        </is>
      </c>
      <c r="G207" s="187" t="inlineStr">
        <is>
          <t>轻中度</t>
        </is>
      </c>
      <c r="H207" s="187" t="inlineStr">
        <is>
          <t>同伴儿童（含兄弟姐妹）</t>
        </is>
      </c>
      <c r="I207" s="187" t="inlineStr">
        <is>
          <t>单独实施</t>
        </is>
      </c>
      <c r="J207" s="187" t="inlineStr">
        <is>
          <t>电视</t>
        </is>
      </c>
      <c r="K207" s="186" t="inlineStr">
        <is>
          <t>10分钟及以下</t>
        </is>
      </c>
      <c r="L207" s="187" t="inlineStr">
        <is>
          <t>专用训练空间</t>
        </is>
      </c>
      <c r="M207" s="187" t="inlineStr">
        <is>
          <t>研究人员</t>
        </is>
      </c>
      <c r="N207" s="190" t="inlineStr">
        <is>
          <t>干预者回原文补齐
视频设备依据：年份推定（原文播放终端未明确，按确认方案归组）</t>
        </is>
      </c>
      <c r="O207" s="187" t="inlineStr">
        <is>
          <t>原文只报样本7–9岁，按范围中点8岁归组</t>
        </is>
      </c>
      <c r="P207" s="187" t="inlineStr">
        <is>
          <t>每次最多5分钟</t>
        </is>
      </c>
      <c r="Q207" s="187" t="inlineStr">
        <is>
          <t>无</t>
        </is>
      </c>
      <c r="R207" s="187" t="inlineStr">
        <is>
          <t>同伴儿童</t>
        </is>
      </c>
      <c r="S207" s="187" t="inlineStr">
        <is>
          <t>缺失</t>
        </is>
      </c>
      <c r="T207" s="187" t="inlineStr">
        <is>
          <t>缺失</t>
        </is>
      </c>
      <c r="U207" s="187" t="inlineStr">
        <is>
          <t>学校</t>
        </is>
      </c>
      <c r="V207" s="187" t="inlineStr">
        <is>
          <t>只用视频</t>
        </is>
      </c>
      <c r="W207" s="186" t="inlineStr">
        <is>
          <t>A vs 1 个月＋3 个月 Follow-up</t>
        </is>
      </c>
    </row>
    <row r="208" ht="15" customHeight="1" s="176">
      <c r="A208" s="186" t="inlineStr">
        <is>
          <t>K351</t>
        </is>
      </c>
      <c r="B208" s="186" t="inlineStr">
        <is>
          <t>043-二次</t>
        </is>
      </c>
      <c r="C208" s="186" t="inlineStr">
        <is>
          <t>Andrew</t>
        </is>
      </c>
      <c r="D208" s="187" t="inlineStr">
        <is>
          <t>干预</t>
        </is>
      </c>
      <c r="E208" s="186" t="inlineStr">
        <is>
          <t>6–8岁</t>
        </is>
      </c>
      <c r="F208" s="188" t="inlineStr">
        <is>
          <t>不纳入该变量（原文未报告）</t>
        </is>
      </c>
      <c r="G208" s="187" t="inlineStr">
        <is>
          <t>轻中度</t>
        </is>
      </c>
      <c r="H208" s="187" t="inlineStr">
        <is>
          <t>同伴儿童（含兄弟姐妹）</t>
        </is>
      </c>
      <c r="I208" s="187" t="inlineStr">
        <is>
          <t>单独实施</t>
        </is>
      </c>
      <c r="J208" s="187" t="inlineStr">
        <is>
          <t>电视</t>
        </is>
      </c>
      <c r="K208" s="186" t="inlineStr">
        <is>
          <t>10分钟及以下</t>
        </is>
      </c>
      <c r="L208" s="187" t="inlineStr">
        <is>
          <t>专用训练空间</t>
        </is>
      </c>
      <c r="M208" s="187" t="inlineStr">
        <is>
          <t>研究人员</t>
        </is>
      </c>
      <c r="N208" s="190" t="inlineStr">
        <is>
          <t>干预者回原文补齐
视频设备依据：年份推定（原文播放终端未明确，按确认方案归组）</t>
        </is>
      </c>
      <c r="O208" s="187" t="inlineStr">
        <is>
          <t>原文只报样本7–9岁，按范围中点8岁归组</t>
        </is>
      </c>
      <c r="P208" s="187" t="inlineStr">
        <is>
          <t>每次最多5分钟</t>
        </is>
      </c>
      <c r="Q208" s="187" t="inlineStr">
        <is>
          <t>无</t>
        </is>
      </c>
      <c r="R208" s="187" t="inlineStr">
        <is>
          <t>同伴儿童</t>
        </is>
      </c>
      <c r="S208" s="187" t="inlineStr">
        <is>
          <t>缺失</t>
        </is>
      </c>
      <c r="T208" s="187" t="inlineStr">
        <is>
          <t>缺失</t>
        </is>
      </c>
      <c r="U208" s="187" t="inlineStr">
        <is>
          <t>学校</t>
        </is>
      </c>
      <c r="V208" s="187" t="inlineStr">
        <is>
          <t>只用视频</t>
        </is>
      </c>
      <c r="W208" s="186" t="inlineStr">
        <is>
          <t>A vs B1/B2/C 视频示范期合并</t>
        </is>
      </c>
    </row>
    <row r="209" ht="15" customHeight="1" s="176">
      <c r="A209" s="186" t="inlineStr">
        <is>
          <t>K352</t>
        </is>
      </c>
      <c r="B209" s="186" t="inlineStr">
        <is>
          <t>043-二次</t>
        </is>
      </c>
      <c r="C209" s="186" t="inlineStr">
        <is>
          <t>Andrew</t>
        </is>
      </c>
      <c r="D209" s="187" t="inlineStr">
        <is>
          <t>维持</t>
        </is>
      </c>
      <c r="E209" s="186" t="inlineStr">
        <is>
          <t>6–8岁</t>
        </is>
      </c>
      <c r="F209" s="188" t="inlineStr">
        <is>
          <t>不纳入该变量（原文未报告）</t>
        </is>
      </c>
      <c r="G209" s="187" t="inlineStr">
        <is>
          <t>轻中度</t>
        </is>
      </c>
      <c r="H209" s="187" t="inlineStr">
        <is>
          <t>同伴儿童（含兄弟姐妹）</t>
        </is>
      </c>
      <c r="I209" s="187" t="inlineStr">
        <is>
          <t>单独实施</t>
        </is>
      </c>
      <c r="J209" s="187" t="inlineStr">
        <is>
          <t>电视</t>
        </is>
      </c>
      <c r="K209" s="186" t="inlineStr">
        <is>
          <t>10分钟及以下</t>
        </is>
      </c>
      <c r="L209" s="187" t="inlineStr">
        <is>
          <t>专用训练空间</t>
        </is>
      </c>
      <c r="M209" s="187" t="inlineStr">
        <is>
          <t>研究人员</t>
        </is>
      </c>
      <c r="N209" s="190" t="inlineStr">
        <is>
          <t>干预者回原文补齐
视频设备依据：年份推定（原文播放终端未明确，按确认方案归组）</t>
        </is>
      </c>
      <c r="O209" s="187" t="inlineStr">
        <is>
          <t>原文只报样本7–9岁，按范围中点8岁归组</t>
        </is>
      </c>
      <c r="P209" s="187" t="inlineStr">
        <is>
          <t>每次最多5分钟</t>
        </is>
      </c>
      <c r="Q209" s="187" t="inlineStr">
        <is>
          <t>无</t>
        </is>
      </c>
      <c r="R209" s="187" t="inlineStr">
        <is>
          <t>同伴儿童</t>
        </is>
      </c>
      <c r="S209" s="187" t="inlineStr">
        <is>
          <t>缺失</t>
        </is>
      </c>
      <c r="T209" s="187" t="inlineStr">
        <is>
          <t>缺失</t>
        </is>
      </c>
      <c r="U209" s="187" t="inlineStr">
        <is>
          <t>学校</t>
        </is>
      </c>
      <c r="V209" s="187" t="inlineStr">
        <is>
          <t>只用视频</t>
        </is>
      </c>
      <c r="W209" s="186" t="inlineStr">
        <is>
          <t>A vs 1 个月＋3 个月 Follow-up</t>
        </is>
      </c>
    </row>
    <row r="210" ht="15" customHeight="1" s="176">
      <c r="A210" s="186" t="inlineStr">
        <is>
          <t>K353</t>
        </is>
      </c>
      <c r="B210" s="186" t="inlineStr">
        <is>
          <t>044-二次</t>
        </is>
      </c>
      <c r="C210" s="186" t="inlineStr">
        <is>
          <t>Kirsty</t>
        </is>
      </c>
      <c r="D210" s="187" t="inlineStr">
        <is>
          <t>干预</t>
        </is>
      </c>
      <c r="E210" s="186" t="inlineStr">
        <is>
          <t>9–12岁</t>
        </is>
      </c>
      <c r="F210" s="187" t="inlineStr">
        <is>
          <t>女</t>
        </is>
      </c>
      <c r="G210" s="187" t="inlineStr">
        <is>
          <t>轻中度</t>
        </is>
      </c>
      <c r="H210" s="187" t="inlineStr">
        <is>
          <t>同伴儿童（含兄弟姐妹）</t>
        </is>
      </c>
      <c r="I210" s="187" t="inlineStr">
        <is>
          <t>单独实施</t>
        </is>
      </c>
      <c r="J210" s="187" t="inlineStr">
        <is>
          <t>电视</t>
        </is>
      </c>
      <c r="K210" s="186" t="inlineStr">
        <is>
          <t>10分钟及以下</t>
        </is>
      </c>
      <c r="L210" s="187" t="inlineStr">
        <is>
          <t>专用训练空间</t>
        </is>
      </c>
      <c r="M210" s="187" t="inlineStr">
        <is>
          <t>研究人员</t>
        </is>
      </c>
      <c r="N210" s="187" t="inlineStr">
        <is>
          <t>干预地点回原文补齐</t>
        </is>
      </c>
      <c r="O210" s="186" t="inlineStr">
        <is>
          <t>10.50岁</t>
        </is>
      </c>
      <c r="P210" s="187" t="inlineStr">
        <is>
          <t>每次最多5分钟</t>
        </is>
      </c>
      <c r="Q210" s="187" t="inlineStr">
        <is>
          <t>无</t>
        </is>
      </c>
      <c r="R210" s="187" t="inlineStr">
        <is>
          <t>同伴儿童</t>
        </is>
      </c>
      <c r="S210" s="187" t="inlineStr">
        <is>
          <t>电视</t>
        </is>
      </c>
      <c r="T210" s="187" t="inlineStr">
        <is>
          <t>研究人员</t>
        </is>
      </c>
      <c r="U210" s="187" t="inlineStr">
        <is>
          <t>缺失</t>
        </is>
      </c>
      <c r="V210" s="187" t="inlineStr">
        <is>
          <t>只用视频</t>
        </is>
      </c>
      <c r="W210" s="187" t="inlineStr">
        <is>
          <t>条件 A 基线 vs 条件 B（视频示范）</t>
        </is>
      </c>
    </row>
    <row r="211" ht="15" customHeight="1" s="176">
      <c r="A211" s="186" t="inlineStr">
        <is>
          <t>K354</t>
        </is>
      </c>
      <c r="B211" s="186" t="inlineStr">
        <is>
          <t>044-二次</t>
        </is>
      </c>
      <c r="C211" s="186" t="inlineStr">
        <is>
          <t>Kirsty</t>
        </is>
      </c>
      <c r="D211" s="187" t="inlineStr">
        <is>
          <t>维持</t>
        </is>
      </c>
      <c r="E211" s="186" t="inlineStr">
        <is>
          <t>9–12岁</t>
        </is>
      </c>
      <c r="F211" s="187" t="inlineStr">
        <is>
          <t>女</t>
        </is>
      </c>
      <c r="G211" s="187" t="inlineStr">
        <is>
          <t>轻中度</t>
        </is>
      </c>
      <c r="H211" s="187" t="inlineStr">
        <is>
          <t>同伴儿童（含兄弟姐妹）</t>
        </is>
      </c>
      <c r="I211" s="187" t="inlineStr">
        <is>
          <t>单独实施</t>
        </is>
      </c>
      <c r="J211" s="187" t="inlineStr">
        <is>
          <t>电视</t>
        </is>
      </c>
      <c r="K211" s="186" t="inlineStr">
        <is>
          <t>10分钟及以下</t>
        </is>
      </c>
      <c r="L211" s="187" t="inlineStr">
        <is>
          <t>专用训练空间</t>
        </is>
      </c>
      <c r="M211" s="187" t="inlineStr">
        <is>
          <t>研究人员</t>
        </is>
      </c>
      <c r="N211" s="187" t="inlineStr">
        <is>
          <t>干预地点回原文补齐</t>
        </is>
      </c>
      <c r="O211" s="186" t="inlineStr">
        <is>
          <t>10.50岁</t>
        </is>
      </c>
      <c r="P211" s="187" t="inlineStr">
        <is>
          <t>每次最多5分钟</t>
        </is>
      </c>
      <c r="Q211" s="187" t="inlineStr">
        <is>
          <t>无</t>
        </is>
      </c>
      <c r="R211" s="187" t="inlineStr">
        <is>
          <t>同伴儿童</t>
        </is>
      </c>
      <c r="S211" s="187" t="inlineStr">
        <is>
          <t>电视</t>
        </is>
      </c>
      <c r="T211" s="187" t="inlineStr">
        <is>
          <t>研究人员</t>
        </is>
      </c>
      <c r="U211" s="187" t="inlineStr">
        <is>
          <t>缺失</t>
        </is>
      </c>
      <c r="V211" s="187" t="inlineStr">
        <is>
          <t>只用视频</t>
        </is>
      </c>
      <c r="W211" s="187" t="inlineStr">
        <is>
          <t>条件 A 基线 vs 1 个月＋3 个月 Follow-up</t>
        </is>
      </c>
    </row>
    <row r="212" ht="15" customHeight="1" s="176">
      <c r="A212" s="186" t="inlineStr">
        <is>
          <t>K355</t>
        </is>
      </c>
      <c r="B212" s="186" t="inlineStr">
        <is>
          <t>044-二次</t>
        </is>
      </c>
      <c r="C212" s="186" t="inlineStr">
        <is>
          <t>Kirsty</t>
        </is>
      </c>
      <c r="D212" s="187" t="inlineStr">
        <is>
          <t>泛化</t>
        </is>
      </c>
      <c r="E212" s="186" t="inlineStr">
        <is>
          <t>9–12岁</t>
        </is>
      </c>
      <c r="F212" s="187" t="inlineStr">
        <is>
          <t>女</t>
        </is>
      </c>
      <c r="G212" s="187" t="inlineStr">
        <is>
          <t>轻中度</t>
        </is>
      </c>
      <c r="H212" s="187" t="inlineStr">
        <is>
          <t>同伴儿童（含兄弟姐妹）</t>
        </is>
      </c>
      <c r="I212" s="187" t="inlineStr">
        <is>
          <t>单独实施</t>
        </is>
      </c>
      <c r="J212" s="187" t="inlineStr">
        <is>
          <t>电视</t>
        </is>
      </c>
      <c r="K212" s="186" t="inlineStr">
        <is>
          <t>10分钟及以下</t>
        </is>
      </c>
      <c r="L212" s="187" t="inlineStr">
        <is>
          <t>专用训练空间</t>
        </is>
      </c>
      <c r="M212" s="187" t="inlineStr">
        <is>
          <t>研究人员</t>
        </is>
      </c>
      <c r="N212" s="187" t="inlineStr">
        <is>
          <t>干预地点回原文补齐</t>
        </is>
      </c>
      <c r="O212" s="186" t="inlineStr">
        <is>
          <t>10.50岁</t>
        </is>
      </c>
      <c r="P212" s="187" t="inlineStr">
        <is>
          <t>每次最多5分钟</t>
        </is>
      </c>
      <c r="Q212" s="187" t="inlineStr">
        <is>
          <t>无</t>
        </is>
      </c>
      <c r="R212" s="187" t="inlineStr">
        <is>
          <t>同伴儿童</t>
        </is>
      </c>
      <c r="S212" s="187" t="inlineStr">
        <is>
          <t>电视</t>
        </is>
      </c>
      <c r="T212" s="187" t="inlineStr">
        <is>
          <t>研究人员</t>
        </is>
      </c>
      <c r="U212" s="187" t="inlineStr">
        <is>
          <t>缺失</t>
        </is>
      </c>
      <c r="V212" s="187" t="inlineStr">
        <is>
          <t>只用视频</t>
        </is>
      </c>
      <c r="W212" s="187" t="inlineStr">
        <is>
          <t>条件 A 基线 vs 条件 C–F（球、手鼓、蹦床、火车；换玩具、不看视频）合并</t>
        </is>
      </c>
    </row>
    <row r="213" ht="15" customHeight="1" s="176">
      <c r="A213" s="186" t="inlineStr">
        <is>
          <t>K359</t>
        </is>
      </c>
      <c r="B213" s="186" t="inlineStr">
        <is>
          <t>044-二次</t>
        </is>
      </c>
      <c r="C213" s="186" t="inlineStr">
        <is>
          <t>Kirsty</t>
        </is>
      </c>
      <c r="D213" s="187" t="inlineStr">
        <is>
          <t>干预</t>
        </is>
      </c>
      <c r="E213" s="186" t="inlineStr">
        <is>
          <t>9–12岁</t>
        </is>
      </c>
      <c r="F213" s="187" t="inlineStr">
        <is>
          <t>女</t>
        </is>
      </c>
      <c r="G213" s="187" t="inlineStr">
        <is>
          <t>轻中度</t>
        </is>
      </c>
      <c r="H213" s="187" t="inlineStr">
        <is>
          <t>同伴儿童（含兄弟姐妹）</t>
        </is>
      </c>
      <c r="I213" s="187" t="inlineStr">
        <is>
          <t>单独实施</t>
        </is>
      </c>
      <c r="J213" s="187" t="inlineStr">
        <is>
          <t>电视</t>
        </is>
      </c>
      <c r="K213" s="186" t="inlineStr">
        <is>
          <t>10分钟及以下</t>
        </is>
      </c>
      <c r="L213" s="187" t="inlineStr">
        <is>
          <t>专用训练空间</t>
        </is>
      </c>
      <c r="M213" s="187" t="inlineStr">
        <is>
          <t>研究人员</t>
        </is>
      </c>
      <c r="N213" s="187" t="inlineStr">
        <is>
          <t>干预地点回原文补齐</t>
        </is>
      </c>
      <c r="O213" s="186" t="inlineStr">
        <is>
          <t>10.50岁</t>
        </is>
      </c>
      <c r="P213" s="187" t="inlineStr">
        <is>
          <t>每次最多5分钟</t>
        </is>
      </c>
      <c r="Q213" s="187" t="inlineStr">
        <is>
          <t>无</t>
        </is>
      </c>
      <c r="R213" s="187" t="inlineStr">
        <is>
          <t>同伴儿童</t>
        </is>
      </c>
      <c r="S213" s="187" t="inlineStr">
        <is>
          <t>电视</t>
        </is>
      </c>
      <c r="T213" s="187" t="inlineStr">
        <is>
          <t>研究人员</t>
        </is>
      </c>
      <c r="U213" s="187" t="inlineStr">
        <is>
          <t>缺失</t>
        </is>
      </c>
      <c r="V213" s="187" t="inlineStr">
        <is>
          <t>只用视频</t>
        </is>
      </c>
      <c r="W213" s="187" t="inlineStr">
        <is>
          <t>条件 A 基线 vs 条件 B（视频示范）</t>
        </is>
      </c>
    </row>
    <row r="214" ht="15" customHeight="1" s="176">
      <c r="A214" s="186" t="inlineStr">
        <is>
          <t>K360</t>
        </is>
      </c>
      <c r="B214" s="186" t="inlineStr">
        <is>
          <t>044-二次</t>
        </is>
      </c>
      <c r="C214" s="186" t="inlineStr">
        <is>
          <t>Kirsty</t>
        </is>
      </c>
      <c r="D214" s="187" t="inlineStr">
        <is>
          <t>维持</t>
        </is>
      </c>
      <c r="E214" s="186" t="inlineStr">
        <is>
          <t>9–12岁</t>
        </is>
      </c>
      <c r="F214" s="187" t="inlineStr">
        <is>
          <t>女</t>
        </is>
      </c>
      <c r="G214" s="187" t="inlineStr">
        <is>
          <t>轻中度</t>
        </is>
      </c>
      <c r="H214" s="187" t="inlineStr">
        <is>
          <t>同伴儿童（含兄弟姐妹）</t>
        </is>
      </c>
      <c r="I214" s="187" t="inlineStr">
        <is>
          <t>单独实施</t>
        </is>
      </c>
      <c r="J214" s="187" t="inlineStr">
        <is>
          <t>电视</t>
        </is>
      </c>
      <c r="K214" s="186" t="inlineStr">
        <is>
          <t>10分钟及以下</t>
        </is>
      </c>
      <c r="L214" s="187" t="inlineStr">
        <is>
          <t>专用训练空间</t>
        </is>
      </c>
      <c r="M214" s="187" t="inlineStr">
        <is>
          <t>研究人员</t>
        </is>
      </c>
      <c r="N214" s="187" t="inlineStr">
        <is>
          <t>干预地点回原文补齐</t>
        </is>
      </c>
      <c r="O214" s="186" t="inlineStr">
        <is>
          <t>10.50岁</t>
        </is>
      </c>
      <c r="P214" s="187" t="inlineStr">
        <is>
          <t>每次最多5分钟</t>
        </is>
      </c>
      <c r="Q214" s="187" t="inlineStr">
        <is>
          <t>无</t>
        </is>
      </c>
      <c r="R214" s="187" t="inlineStr">
        <is>
          <t>同伴儿童</t>
        </is>
      </c>
      <c r="S214" s="187" t="inlineStr">
        <is>
          <t>电视</t>
        </is>
      </c>
      <c r="T214" s="187" t="inlineStr">
        <is>
          <t>研究人员</t>
        </is>
      </c>
      <c r="U214" s="187" t="inlineStr">
        <is>
          <t>缺失</t>
        </is>
      </c>
      <c r="V214" s="187" t="inlineStr">
        <is>
          <t>只用视频</t>
        </is>
      </c>
      <c r="W214" s="187" t="inlineStr">
        <is>
          <t>条件 A 基线 vs 1 个月＋3 个月 Follow-up</t>
        </is>
      </c>
    </row>
    <row r="215" ht="15" customHeight="1" s="176">
      <c r="A215" s="186" t="inlineStr">
        <is>
          <t>K361</t>
        </is>
      </c>
      <c r="B215" s="186" t="inlineStr">
        <is>
          <t>044-二次</t>
        </is>
      </c>
      <c r="C215" s="186" t="inlineStr">
        <is>
          <t>Kirsty</t>
        </is>
      </c>
      <c r="D215" s="187" t="inlineStr">
        <is>
          <t>泛化</t>
        </is>
      </c>
      <c r="E215" s="186" t="inlineStr">
        <is>
          <t>9–12岁</t>
        </is>
      </c>
      <c r="F215" s="187" t="inlineStr">
        <is>
          <t>女</t>
        </is>
      </c>
      <c r="G215" s="187" t="inlineStr">
        <is>
          <t>轻中度</t>
        </is>
      </c>
      <c r="H215" s="187" t="inlineStr">
        <is>
          <t>同伴儿童（含兄弟姐妹）</t>
        </is>
      </c>
      <c r="I215" s="187" t="inlineStr">
        <is>
          <t>单独实施</t>
        </is>
      </c>
      <c r="J215" s="187" t="inlineStr">
        <is>
          <t>电视</t>
        </is>
      </c>
      <c r="K215" s="186" t="inlineStr">
        <is>
          <t>10分钟及以下</t>
        </is>
      </c>
      <c r="L215" s="187" t="inlineStr">
        <is>
          <t>专用训练空间</t>
        </is>
      </c>
      <c r="M215" s="187" t="inlineStr">
        <is>
          <t>研究人员</t>
        </is>
      </c>
      <c r="N215" s="187" t="inlineStr">
        <is>
          <t>干预地点回原文补齐</t>
        </is>
      </c>
      <c r="O215" s="186" t="inlineStr">
        <is>
          <t>10.50岁</t>
        </is>
      </c>
      <c r="P215" s="187" t="inlineStr">
        <is>
          <t>每次最多5分钟</t>
        </is>
      </c>
      <c r="Q215" s="187" t="inlineStr">
        <is>
          <t>无</t>
        </is>
      </c>
      <c r="R215" s="187" t="inlineStr">
        <is>
          <t>同伴儿童</t>
        </is>
      </c>
      <c r="S215" s="187" t="inlineStr">
        <is>
          <t>电视</t>
        </is>
      </c>
      <c r="T215" s="187" t="inlineStr">
        <is>
          <t>研究人员</t>
        </is>
      </c>
      <c r="U215" s="187" t="inlineStr">
        <is>
          <t>缺失</t>
        </is>
      </c>
      <c r="V215" s="187" t="inlineStr">
        <is>
          <t>只用视频</t>
        </is>
      </c>
      <c r="W215" s="187" t="inlineStr">
        <is>
          <t>条件 A 基线 vs 条件 C–F（球、手鼓、蹦床、火车；换玩具、不看视频）合并</t>
        </is>
      </c>
    </row>
    <row r="216" ht="15" customHeight="1" s="176">
      <c r="A216" s="186" t="inlineStr">
        <is>
          <t>K365</t>
        </is>
      </c>
      <c r="B216" s="186" t="inlineStr">
        <is>
          <t>044-二次</t>
        </is>
      </c>
      <c r="C216" s="186" t="inlineStr">
        <is>
          <t>Niko</t>
        </is>
      </c>
      <c r="D216" s="187" t="inlineStr">
        <is>
          <t>干预</t>
        </is>
      </c>
      <c r="E216" s="186" t="inlineStr">
        <is>
          <t>6–8岁</t>
        </is>
      </c>
      <c r="F216" s="187" t="inlineStr">
        <is>
          <t>男</t>
        </is>
      </c>
      <c r="G216" s="187" t="inlineStr">
        <is>
          <t>轻中度</t>
        </is>
      </c>
      <c r="H216" s="187" t="inlineStr">
        <is>
          <t>同伴儿童（含兄弟姐妹）</t>
        </is>
      </c>
      <c r="I216" s="187" t="inlineStr">
        <is>
          <t>单独实施</t>
        </is>
      </c>
      <c r="J216" s="187" t="inlineStr">
        <is>
          <t>电视</t>
        </is>
      </c>
      <c r="K216" s="186" t="inlineStr">
        <is>
          <t>10分钟及以下</t>
        </is>
      </c>
      <c r="L216" s="187" t="inlineStr">
        <is>
          <t>专用训练空间</t>
        </is>
      </c>
      <c r="M216" s="187" t="inlineStr">
        <is>
          <t>研究人员</t>
        </is>
      </c>
      <c r="N216" s="187" t="inlineStr">
        <is>
          <t>干预地点回原文补齐</t>
        </is>
      </c>
      <c r="O216" s="186" t="inlineStr">
        <is>
          <t>8.50岁</t>
        </is>
      </c>
      <c r="P216" s="187" t="inlineStr">
        <is>
          <t>每次最多5分钟</t>
        </is>
      </c>
      <c r="Q216" s="187" t="inlineStr">
        <is>
          <t>无</t>
        </is>
      </c>
      <c r="R216" s="187" t="inlineStr">
        <is>
          <t>同伴儿童</t>
        </is>
      </c>
      <c r="S216" s="187" t="inlineStr">
        <is>
          <t>电视</t>
        </is>
      </c>
      <c r="T216" s="187" t="inlineStr">
        <is>
          <t>研究人员</t>
        </is>
      </c>
      <c r="U216" s="187" t="inlineStr">
        <is>
          <t>缺失</t>
        </is>
      </c>
      <c r="V216" s="187" t="inlineStr">
        <is>
          <t>只用视频</t>
        </is>
      </c>
      <c r="W216" s="187" t="inlineStr">
        <is>
          <t>条件 A 基线 vs 条件 B（视频示范）</t>
        </is>
      </c>
    </row>
    <row r="217" ht="15" customHeight="1" s="176">
      <c r="A217" s="186" t="inlineStr">
        <is>
          <t>K366</t>
        </is>
      </c>
      <c r="B217" s="186" t="inlineStr">
        <is>
          <t>044-二次</t>
        </is>
      </c>
      <c r="C217" s="186" t="inlineStr">
        <is>
          <t>Niko</t>
        </is>
      </c>
      <c r="D217" s="187" t="inlineStr">
        <is>
          <t>维持</t>
        </is>
      </c>
      <c r="E217" s="186" t="inlineStr">
        <is>
          <t>6–8岁</t>
        </is>
      </c>
      <c r="F217" s="187" t="inlineStr">
        <is>
          <t>男</t>
        </is>
      </c>
      <c r="G217" s="187" t="inlineStr">
        <is>
          <t>轻中度</t>
        </is>
      </c>
      <c r="H217" s="187" t="inlineStr">
        <is>
          <t>同伴儿童（含兄弟姐妹）</t>
        </is>
      </c>
      <c r="I217" s="187" t="inlineStr">
        <is>
          <t>单独实施</t>
        </is>
      </c>
      <c r="J217" s="187" t="inlineStr">
        <is>
          <t>电视</t>
        </is>
      </c>
      <c r="K217" s="186" t="inlineStr">
        <is>
          <t>10分钟及以下</t>
        </is>
      </c>
      <c r="L217" s="187" t="inlineStr">
        <is>
          <t>专用训练空间</t>
        </is>
      </c>
      <c r="M217" s="187" t="inlineStr">
        <is>
          <t>研究人员</t>
        </is>
      </c>
      <c r="N217" s="187" t="inlineStr">
        <is>
          <t>干预地点回原文补齐</t>
        </is>
      </c>
      <c r="O217" s="186" t="inlineStr">
        <is>
          <t>8.50岁</t>
        </is>
      </c>
      <c r="P217" s="187" t="inlineStr">
        <is>
          <t>每次最多5分钟</t>
        </is>
      </c>
      <c r="Q217" s="187" t="inlineStr">
        <is>
          <t>无</t>
        </is>
      </c>
      <c r="R217" s="187" t="inlineStr">
        <is>
          <t>同伴儿童</t>
        </is>
      </c>
      <c r="S217" s="187" t="inlineStr">
        <is>
          <t>电视</t>
        </is>
      </c>
      <c r="T217" s="187" t="inlineStr">
        <is>
          <t>研究人员</t>
        </is>
      </c>
      <c r="U217" s="187" t="inlineStr">
        <is>
          <t>缺失</t>
        </is>
      </c>
      <c r="V217" s="187" t="inlineStr">
        <is>
          <t>只用视频</t>
        </is>
      </c>
      <c r="W217" s="187" t="inlineStr">
        <is>
          <t>条件 A 基线 vs 1 个月＋3 个月 Follow-up</t>
        </is>
      </c>
    </row>
    <row r="218" ht="57" customHeight="1" s="176">
      <c r="A218" s="186" t="inlineStr">
        <is>
          <t>K367</t>
        </is>
      </c>
      <c r="B218" s="186" t="inlineStr">
        <is>
          <t>044-二次</t>
        </is>
      </c>
      <c r="C218" s="186" t="inlineStr">
        <is>
          <t>Niko</t>
        </is>
      </c>
      <c r="D218" s="187" t="inlineStr">
        <is>
          <t>泛化</t>
        </is>
      </c>
      <c r="E218" s="186" t="inlineStr">
        <is>
          <t>6–8岁</t>
        </is>
      </c>
      <c r="F218" s="187" t="inlineStr">
        <is>
          <t>男</t>
        </is>
      </c>
      <c r="G218" s="187" t="inlineStr">
        <is>
          <t>轻中度</t>
        </is>
      </c>
      <c r="H218" s="187" t="inlineStr">
        <is>
          <t>同伴儿童（含兄弟姐妹）</t>
        </is>
      </c>
      <c r="I218" s="187" t="inlineStr">
        <is>
          <t>单独实施</t>
        </is>
      </c>
      <c r="J218" s="187" t="inlineStr">
        <is>
          <t>电视</t>
        </is>
      </c>
      <c r="K218" s="186" t="inlineStr">
        <is>
          <t>10分钟及以下</t>
        </is>
      </c>
      <c r="L218" s="187" t="inlineStr">
        <is>
          <t>专用训练空间</t>
        </is>
      </c>
      <c r="M218" s="187" t="inlineStr">
        <is>
          <t>研究人员</t>
        </is>
      </c>
      <c r="N218" s="187" t="inlineStr">
        <is>
          <t>干预地点回原文补齐</t>
        </is>
      </c>
      <c r="O218" s="186" t="inlineStr">
        <is>
          <t>8.50岁</t>
        </is>
      </c>
      <c r="P218" s="187" t="inlineStr">
        <is>
          <t>每次最多5分钟</t>
        </is>
      </c>
      <c r="Q218" s="187" t="inlineStr">
        <is>
          <t>无</t>
        </is>
      </c>
      <c r="R218" s="187" t="inlineStr">
        <is>
          <t>同伴儿童</t>
        </is>
      </c>
      <c r="S218" s="187" t="inlineStr">
        <is>
          <t>电视</t>
        </is>
      </c>
      <c r="T218" s="187" t="inlineStr">
        <is>
          <t>研究人员</t>
        </is>
      </c>
      <c r="U218" s="187" t="inlineStr">
        <is>
          <t>缺失</t>
        </is>
      </c>
      <c r="V218" s="187" t="inlineStr">
        <is>
          <t>只用视频</t>
        </is>
      </c>
      <c r="W218" s="187" t="inlineStr">
        <is>
          <t>条件 A 基线 vs 条件 C–F（球、手鼓、蹦床、火车；换玩具、不看视频）合并</t>
        </is>
      </c>
    </row>
    <row r="219" ht="57" customHeight="1" s="176">
      <c r="A219" s="186" t="inlineStr">
        <is>
          <t>K371</t>
        </is>
      </c>
      <c r="B219" s="186" t="inlineStr">
        <is>
          <t>044-二次</t>
        </is>
      </c>
      <c r="C219" s="186" t="inlineStr">
        <is>
          <t>Niko</t>
        </is>
      </c>
      <c r="D219" s="187" t="inlineStr">
        <is>
          <t>干预</t>
        </is>
      </c>
      <c r="E219" s="186" t="inlineStr">
        <is>
          <t>6–8岁</t>
        </is>
      </c>
      <c r="F219" s="187" t="inlineStr">
        <is>
          <t>男</t>
        </is>
      </c>
      <c r="G219" s="187" t="inlineStr">
        <is>
          <t>轻中度</t>
        </is>
      </c>
      <c r="H219" s="187" t="inlineStr">
        <is>
          <t>同伴儿童（含兄弟姐妹）</t>
        </is>
      </c>
      <c r="I219" s="187" t="inlineStr">
        <is>
          <t>单独实施</t>
        </is>
      </c>
      <c r="J219" s="187" t="inlineStr">
        <is>
          <t>电视</t>
        </is>
      </c>
      <c r="K219" s="186" t="inlineStr">
        <is>
          <t>10分钟及以下</t>
        </is>
      </c>
      <c r="L219" s="187" t="inlineStr">
        <is>
          <t>专用训练空间</t>
        </is>
      </c>
      <c r="M219" s="187" t="inlineStr">
        <is>
          <t>研究人员</t>
        </is>
      </c>
      <c r="N219" s="187" t="inlineStr">
        <is>
          <t>干预地点回原文补齐</t>
        </is>
      </c>
      <c r="O219" s="186" t="inlineStr">
        <is>
          <t>8.50岁</t>
        </is>
      </c>
      <c r="P219" s="187" t="inlineStr">
        <is>
          <t>每次最多5分钟</t>
        </is>
      </c>
      <c r="Q219" s="187" t="inlineStr">
        <is>
          <t>无</t>
        </is>
      </c>
      <c r="R219" s="187" t="inlineStr">
        <is>
          <t>同伴儿童</t>
        </is>
      </c>
      <c r="S219" s="187" t="inlineStr">
        <is>
          <t>电视</t>
        </is>
      </c>
      <c r="T219" s="187" t="inlineStr">
        <is>
          <t>研究人员</t>
        </is>
      </c>
      <c r="U219" s="187" t="inlineStr">
        <is>
          <t>缺失</t>
        </is>
      </c>
      <c r="V219" s="187" t="inlineStr">
        <is>
          <t>只用视频</t>
        </is>
      </c>
      <c r="W219" s="187" t="inlineStr">
        <is>
          <t>条件 A 基线 vs 条件 B（视频示范）</t>
        </is>
      </c>
    </row>
    <row r="220" ht="57" customHeight="1" s="176">
      <c r="A220" s="186" t="inlineStr">
        <is>
          <t>K372</t>
        </is>
      </c>
      <c r="B220" s="186" t="inlineStr">
        <is>
          <t>044-二次</t>
        </is>
      </c>
      <c r="C220" s="186" t="inlineStr">
        <is>
          <t>Niko</t>
        </is>
      </c>
      <c r="D220" s="187" t="inlineStr">
        <is>
          <t>维持</t>
        </is>
      </c>
      <c r="E220" s="186" t="inlineStr">
        <is>
          <t>6–8岁</t>
        </is>
      </c>
      <c r="F220" s="187" t="inlineStr">
        <is>
          <t>男</t>
        </is>
      </c>
      <c r="G220" s="187" t="inlineStr">
        <is>
          <t>轻中度</t>
        </is>
      </c>
      <c r="H220" s="187" t="inlineStr">
        <is>
          <t>同伴儿童（含兄弟姐妹）</t>
        </is>
      </c>
      <c r="I220" s="187" t="inlineStr">
        <is>
          <t>单独实施</t>
        </is>
      </c>
      <c r="J220" s="187" t="inlineStr">
        <is>
          <t>电视</t>
        </is>
      </c>
      <c r="K220" s="186" t="inlineStr">
        <is>
          <t>10分钟及以下</t>
        </is>
      </c>
      <c r="L220" s="187" t="inlineStr">
        <is>
          <t>专用训练空间</t>
        </is>
      </c>
      <c r="M220" s="187" t="inlineStr">
        <is>
          <t>研究人员</t>
        </is>
      </c>
      <c r="N220" s="187" t="inlineStr">
        <is>
          <t>干预地点回原文补齐</t>
        </is>
      </c>
      <c r="O220" s="186" t="inlineStr">
        <is>
          <t>8.50岁</t>
        </is>
      </c>
      <c r="P220" s="187" t="inlineStr">
        <is>
          <t>每次最多5分钟</t>
        </is>
      </c>
      <c r="Q220" s="187" t="inlineStr">
        <is>
          <t>无</t>
        </is>
      </c>
      <c r="R220" s="187" t="inlineStr">
        <is>
          <t>同伴儿童</t>
        </is>
      </c>
      <c r="S220" s="187" t="inlineStr">
        <is>
          <t>电视</t>
        </is>
      </c>
      <c r="T220" s="187" t="inlineStr">
        <is>
          <t>研究人员</t>
        </is>
      </c>
      <c r="U220" s="187" t="inlineStr">
        <is>
          <t>缺失</t>
        </is>
      </c>
      <c r="V220" s="187" t="inlineStr">
        <is>
          <t>只用视频</t>
        </is>
      </c>
      <c r="W220" s="187" t="inlineStr">
        <is>
          <t>条件 A 基线 vs 1 个月＋3 个月 Follow-up</t>
        </is>
      </c>
    </row>
    <row r="221" ht="57" customHeight="1" s="176">
      <c r="A221" s="186" t="inlineStr">
        <is>
          <t>K373</t>
        </is>
      </c>
      <c r="B221" s="186" t="inlineStr">
        <is>
          <t>044-二次</t>
        </is>
      </c>
      <c r="C221" s="186" t="inlineStr">
        <is>
          <t>Niko</t>
        </is>
      </c>
      <c r="D221" s="187" t="inlineStr">
        <is>
          <t>泛化</t>
        </is>
      </c>
      <c r="E221" s="186" t="inlineStr">
        <is>
          <t>6–8岁</t>
        </is>
      </c>
      <c r="F221" s="187" t="inlineStr">
        <is>
          <t>男</t>
        </is>
      </c>
      <c r="G221" s="187" t="inlineStr">
        <is>
          <t>轻中度</t>
        </is>
      </c>
      <c r="H221" s="187" t="inlineStr">
        <is>
          <t>同伴儿童（含兄弟姐妹）</t>
        </is>
      </c>
      <c r="I221" s="187" t="inlineStr">
        <is>
          <t>单独实施</t>
        </is>
      </c>
      <c r="J221" s="187" t="inlineStr">
        <is>
          <t>电视</t>
        </is>
      </c>
      <c r="K221" s="186" t="inlineStr">
        <is>
          <t>10分钟及以下</t>
        </is>
      </c>
      <c r="L221" s="187" t="inlineStr">
        <is>
          <t>专用训练空间</t>
        </is>
      </c>
      <c r="M221" s="187" t="inlineStr">
        <is>
          <t>研究人员</t>
        </is>
      </c>
      <c r="N221" s="187" t="inlineStr">
        <is>
          <t>干预地点回原文补齐</t>
        </is>
      </c>
      <c r="O221" s="186" t="inlineStr">
        <is>
          <t>8.50岁</t>
        </is>
      </c>
      <c r="P221" s="187" t="inlineStr">
        <is>
          <t>每次最多5分钟</t>
        </is>
      </c>
      <c r="Q221" s="187" t="inlineStr">
        <is>
          <t>无</t>
        </is>
      </c>
      <c r="R221" s="187" t="inlineStr">
        <is>
          <t>同伴儿童</t>
        </is>
      </c>
      <c r="S221" s="187" t="inlineStr">
        <is>
          <t>电视</t>
        </is>
      </c>
      <c r="T221" s="187" t="inlineStr">
        <is>
          <t>研究人员</t>
        </is>
      </c>
      <c r="U221" s="187" t="inlineStr">
        <is>
          <t>缺失</t>
        </is>
      </c>
      <c r="V221" s="187" t="inlineStr">
        <is>
          <t>只用视频</t>
        </is>
      </c>
      <c r="W221" s="187" t="inlineStr">
        <is>
          <t>条件 A 基线 vs 条件 C–F（球、手鼓、蹦床、火车；换玩具、不看视频）合并</t>
        </is>
      </c>
    </row>
    <row r="222" ht="57" customHeight="1" s="176">
      <c r="A222" s="186" t="inlineStr">
        <is>
          <t>K377</t>
        </is>
      </c>
      <c r="B222" s="186" t="inlineStr">
        <is>
          <t>044-二次</t>
        </is>
      </c>
      <c r="C222" s="186" t="inlineStr">
        <is>
          <t>Jamie</t>
        </is>
      </c>
      <c r="D222" s="187" t="inlineStr">
        <is>
          <t>干预</t>
        </is>
      </c>
      <c r="E222" s="186" t="inlineStr">
        <is>
          <t>6–8岁</t>
        </is>
      </c>
      <c r="F222" s="187" t="inlineStr">
        <is>
          <t>男</t>
        </is>
      </c>
      <c r="G222" s="187" t="inlineStr">
        <is>
          <t>轻中度</t>
        </is>
      </c>
      <c r="H222" s="187" t="inlineStr">
        <is>
          <t>同伴儿童（含兄弟姐妹）</t>
        </is>
      </c>
      <c r="I222" s="187" t="inlineStr">
        <is>
          <t>单独实施</t>
        </is>
      </c>
      <c r="J222" s="187" t="inlineStr">
        <is>
          <t>电视</t>
        </is>
      </c>
      <c r="K222" s="186" t="inlineStr">
        <is>
          <t>10分钟及以下</t>
        </is>
      </c>
      <c r="L222" s="187" t="inlineStr">
        <is>
          <t>专用训练空间</t>
        </is>
      </c>
      <c r="M222" s="187" t="inlineStr">
        <is>
          <t>研究人员</t>
        </is>
      </c>
      <c r="N222" s="187" t="inlineStr">
        <is>
          <t>干预地点回原文补齐</t>
        </is>
      </c>
      <c r="O222" s="186" t="inlineStr">
        <is>
          <t>7.50岁</t>
        </is>
      </c>
      <c r="P222" s="187" t="inlineStr">
        <is>
          <t>每次最多5分钟</t>
        </is>
      </c>
      <c r="Q222" s="187" t="inlineStr">
        <is>
          <t>无</t>
        </is>
      </c>
      <c r="R222" s="187" t="inlineStr">
        <is>
          <t>同伴儿童</t>
        </is>
      </c>
      <c r="S222" s="187" t="inlineStr">
        <is>
          <t>电视</t>
        </is>
      </c>
      <c r="T222" s="187" t="inlineStr">
        <is>
          <t>研究人员</t>
        </is>
      </c>
      <c r="U222" s="187" t="inlineStr">
        <is>
          <t>缺失</t>
        </is>
      </c>
      <c r="V222" s="187" t="inlineStr">
        <is>
          <t>只用视频</t>
        </is>
      </c>
      <c r="W222" s="187" t="inlineStr">
        <is>
          <t>条件 A 基线 vs 条件 B（视频示范）</t>
        </is>
      </c>
    </row>
    <row r="223" ht="57" customHeight="1" s="176">
      <c r="A223" s="186" t="inlineStr">
        <is>
          <t>K378</t>
        </is>
      </c>
      <c r="B223" s="186" t="inlineStr">
        <is>
          <t>044-二次</t>
        </is>
      </c>
      <c r="C223" s="186" t="inlineStr">
        <is>
          <t>Jamie</t>
        </is>
      </c>
      <c r="D223" s="187" t="inlineStr">
        <is>
          <t>维持</t>
        </is>
      </c>
      <c r="E223" s="186" t="inlineStr">
        <is>
          <t>6–8岁</t>
        </is>
      </c>
      <c r="F223" s="187" t="inlineStr">
        <is>
          <t>男</t>
        </is>
      </c>
      <c r="G223" s="187" t="inlineStr">
        <is>
          <t>轻中度</t>
        </is>
      </c>
      <c r="H223" s="187" t="inlineStr">
        <is>
          <t>同伴儿童（含兄弟姐妹）</t>
        </is>
      </c>
      <c r="I223" s="187" t="inlineStr">
        <is>
          <t>单独实施</t>
        </is>
      </c>
      <c r="J223" s="187" t="inlineStr">
        <is>
          <t>电视</t>
        </is>
      </c>
      <c r="K223" s="186" t="inlineStr">
        <is>
          <t>10分钟及以下</t>
        </is>
      </c>
      <c r="L223" s="187" t="inlineStr">
        <is>
          <t>专用训练空间</t>
        </is>
      </c>
      <c r="M223" s="187" t="inlineStr">
        <is>
          <t>研究人员</t>
        </is>
      </c>
      <c r="N223" s="187" t="inlineStr">
        <is>
          <t>干预地点回原文补齐</t>
        </is>
      </c>
      <c r="O223" s="186" t="inlineStr">
        <is>
          <t>7.50岁</t>
        </is>
      </c>
      <c r="P223" s="187" t="inlineStr">
        <is>
          <t>每次最多5分钟</t>
        </is>
      </c>
      <c r="Q223" s="187" t="inlineStr">
        <is>
          <t>无</t>
        </is>
      </c>
      <c r="R223" s="187" t="inlineStr">
        <is>
          <t>同伴儿童</t>
        </is>
      </c>
      <c r="S223" s="187" t="inlineStr">
        <is>
          <t>电视</t>
        </is>
      </c>
      <c r="T223" s="187" t="inlineStr">
        <is>
          <t>研究人员</t>
        </is>
      </c>
      <c r="U223" s="187" t="inlineStr">
        <is>
          <t>缺失</t>
        </is>
      </c>
      <c r="V223" s="187" t="inlineStr">
        <is>
          <t>只用视频</t>
        </is>
      </c>
      <c r="W223" s="187" t="inlineStr">
        <is>
          <t>条件 A 基线 vs 1 个月＋3 个月 Follow-up</t>
        </is>
      </c>
    </row>
    <row r="224" ht="57" customHeight="1" s="176">
      <c r="A224" s="191" t="inlineStr">
        <is>
          <t>K380</t>
        </is>
      </c>
      <c r="B224" s="191" t="inlineStr">
        <is>
          <t>044-二次</t>
        </is>
      </c>
      <c r="C224" s="191" t="inlineStr">
        <is>
          <t>Jamie</t>
        </is>
      </c>
      <c r="D224" s="192" t="inlineStr">
        <is>
          <t>泛化</t>
        </is>
      </c>
      <c r="E224" s="191" t="inlineStr">
        <is>
          <t>6–8岁</t>
        </is>
      </c>
      <c r="F224" s="192" t="inlineStr">
        <is>
          <t>男</t>
        </is>
      </c>
      <c r="G224" s="192" t="inlineStr">
        <is>
          <t>轻中度</t>
        </is>
      </c>
      <c r="H224" s="192" t="inlineStr">
        <is>
          <t>同伴儿童（含兄弟姐妹）</t>
        </is>
      </c>
      <c r="I224" s="192" t="inlineStr">
        <is>
          <t>单独实施</t>
        </is>
      </c>
      <c r="J224" s="192" t="inlineStr">
        <is>
          <t>电视</t>
        </is>
      </c>
      <c r="K224" s="191" t="inlineStr">
        <is>
          <t>10分钟及以下</t>
        </is>
      </c>
      <c r="L224" s="192" t="inlineStr">
        <is>
          <t>专用训练空间</t>
        </is>
      </c>
      <c r="M224" s="192" t="inlineStr">
        <is>
          <t>研究人员</t>
        </is>
      </c>
      <c r="N224" s="192" t="inlineStr">
        <is>
          <t>新增：044 Jamie 条件D（第15–17、19–21次）；干预地点回原文补齐</t>
        </is>
      </c>
      <c r="O224" s="191" t="inlineStr">
        <is>
          <t>7.50岁</t>
        </is>
      </c>
      <c r="P224" s="192" t="inlineStr">
        <is>
          <t>每次最多5分钟</t>
        </is>
      </c>
      <c r="Q224" s="192" t="inlineStr">
        <is>
          <t>无</t>
        </is>
      </c>
      <c r="R224" s="192" t="inlineStr">
        <is>
          <t>同伴儿童</t>
        </is>
      </c>
      <c r="S224" s="192" t="inlineStr">
        <is>
          <t>电视</t>
        </is>
      </c>
      <c r="T224" s="192" t="inlineStr">
        <is>
          <t>研究人员</t>
        </is>
      </c>
      <c r="U224" s="192" t="inlineStr">
        <is>
          <t>缺失</t>
        </is>
      </c>
      <c r="V224" s="192" t="inlineStr">
        <is>
          <t>只用视频</t>
        </is>
      </c>
      <c r="W224" s="192" t="inlineStr">
        <is>
          <t>条件 A 基线 vs 条件 D–F（换玩具、不看视频）合并；Jamie条件C无法与视频示范期分开，未取</t>
        </is>
      </c>
    </row>
    <row r="225" ht="57" customHeight="1" s="176">
      <c r="A225" s="186" t="inlineStr">
        <is>
          <t>K383</t>
        </is>
      </c>
      <c r="B225" s="186" t="inlineStr">
        <is>
          <t>044-二次</t>
        </is>
      </c>
      <c r="C225" s="186" t="inlineStr">
        <is>
          <t>Jamie</t>
        </is>
      </c>
      <c r="D225" s="187" t="inlineStr">
        <is>
          <t>干预</t>
        </is>
      </c>
      <c r="E225" s="186" t="inlineStr">
        <is>
          <t>6–8岁</t>
        </is>
      </c>
      <c r="F225" s="187" t="inlineStr">
        <is>
          <t>男</t>
        </is>
      </c>
      <c r="G225" s="187" t="inlineStr">
        <is>
          <t>轻中度</t>
        </is>
      </c>
      <c r="H225" s="187" t="inlineStr">
        <is>
          <t>同伴儿童（含兄弟姐妹）</t>
        </is>
      </c>
      <c r="I225" s="187" t="inlineStr">
        <is>
          <t>单独实施</t>
        </is>
      </c>
      <c r="J225" s="187" t="inlineStr">
        <is>
          <t>电视</t>
        </is>
      </c>
      <c r="K225" s="186" t="inlineStr">
        <is>
          <t>10分钟及以下</t>
        </is>
      </c>
      <c r="L225" s="187" t="inlineStr">
        <is>
          <t>专用训练空间</t>
        </is>
      </c>
      <c r="M225" s="187" t="inlineStr">
        <is>
          <t>研究人员</t>
        </is>
      </c>
      <c r="N225" s="187" t="inlineStr">
        <is>
          <t>干预地点回原文补齐</t>
        </is>
      </c>
      <c r="O225" s="186" t="inlineStr">
        <is>
          <t>7.50岁</t>
        </is>
      </c>
      <c r="P225" s="187" t="inlineStr">
        <is>
          <t>每次最多5分钟</t>
        </is>
      </c>
      <c r="Q225" s="187" t="inlineStr">
        <is>
          <t>无</t>
        </is>
      </c>
      <c r="R225" s="187" t="inlineStr">
        <is>
          <t>同伴儿童</t>
        </is>
      </c>
      <c r="S225" s="187" t="inlineStr">
        <is>
          <t>电视</t>
        </is>
      </c>
      <c r="T225" s="187" t="inlineStr">
        <is>
          <t>研究人员</t>
        </is>
      </c>
      <c r="U225" s="187" t="inlineStr">
        <is>
          <t>缺失</t>
        </is>
      </c>
      <c r="V225" s="187" t="inlineStr">
        <is>
          <t>只用视频</t>
        </is>
      </c>
      <c r="W225" s="187" t="inlineStr">
        <is>
          <t>条件 A 基线 vs 条件 B（视频示范）</t>
        </is>
      </c>
    </row>
    <row r="226" ht="57" customHeight="1" s="176">
      <c r="A226" s="186" t="inlineStr">
        <is>
          <t>K384</t>
        </is>
      </c>
      <c r="B226" s="186" t="inlineStr">
        <is>
          <t>044-二次</t>
        </is>
      </c>
      <c r="C226" s="186" t="inlineStr">
        <is>
          <t>Jamie</t>
        </is>
      </c>
      <c r="D226" s="187" t="inlineStr">
        <is>
          <t>维持</t>
        </is>
      </c>
      <c r="E226" s="186" t="inlineStr">
        <is>
          <t>6–8岁</t>
        </is>
      </c>
      <c r="F226" s="187" t="inlineStr">
        <is>
          <t>男</t>
        </is>
      </c>
      <c r="G226" s="187" t="inlineStr">
        <is>
          <t>轻中度</t>
        </is>
      </c>
      <c r="H226" s="187" t="inlineStr">
        <is>
          <t>同伴儿童（含兄弟姐妹）</t>
        </is>
      </c>
      <c r="I226" s="187" t="inlineStr">
        <is>
          <t>单独实施</t>
        </is>
      </c>
      <c r="J226" s="187" t="inlineStr">
        <is>
          <t>电视</t>
        </is>
      </c>
      <c r="K226" s="186" t="inlineStr">
        <is>
          <t>10分钟及以下</t>
        </is>
      </c>
      <c r="L226" s="187" t="inlineStr">
        <is>
          <t>专用训练空间</t>
        </is>
      </c>
      <c r="M226" s="187" t="inlineStr">
        <is>
          <t>研究人员</t>
        </is>
      </c>
      <c r="N226" s="187" t="inlineStr">
        <is>
          <t>干预地点回原文补齐</t>
        </is>
      </c>
      <c r="O226" s="186" t="inlineStr">
        <is>
          <t>7.50岁</t>
        </is>
      </c>
      <c r="P226" s="187" t="inlineStr">
        <is>
          <t>每次最多5分钟</t>
        </is>
      </c>
      <c r="Q226" s="187" t="inlineStr">
        <is>
          <t>无</t>
        </is>
      </c>
      <c r="R226" s="187" t="inlineStr">
        <is>
          <t>同伴儿童</t>
        </is>
      </c>
      <c r="S226" s="187" t="inlineStr">
        <is>
          <t>电视</t>
        </is>
      </c>
      <c r="T226" s="187" t="inlineStr">
        <is>
          <t>研究人员</t>
        </is>
      </c>
      <c r="U226" s="187" t="inlineStr">
        <is>
          <t>缺失</t>
        </is>
      </c>
      <c r="V226" s="187" t="inlineStr">
        <is>
          <t>只用视频</t>
        </is>
      </c>
      <c r="W226" s="187" t="inlineStr">
        <is>
          <t>条件 A 基线 vs 1 个月＋3 个月 Follow-up</t>
        </is>
      </c>
    </row>
    <row r="227" ht="57" customHeight="1" s="176">
      <c r="A227" s="191" t="inlineStr">
        <is>
          <t>K386</t>
        </is>
      </c>
      <c r="B227" s="191" t="inlineStr">
        <is>
          <t>044-二次</t>
        </is>
      </c>
      <c r="C227" s="191" t="inlineStr">
        <is>
          <t>Jamie</t>
        </is>
      </c>
      <c r="D227" s="192" t="inlineStr">
        <is>
          <t>泛化</t>
        </is>
      </c>
      <c r="E227" s="191" t="inlineStr">
        <is>
          <t>6–8岁</t>
        </is>
      </c>
      <c r="F227" s="192" t="inlineStr">
        <is>
          <t>男</t>
        </is>
      </c>
      <c r="G227" s="192" t="inlineStr">
        <is>
          <t>轻中度</t>
        </is>
      </c>
      <c r="H227" s="192" t="inlineStr">
        <is>
          <t>同伴儿童（含兄弟姐妹）</t>
        </is>
      </c>
      <c r="I227" s="192" t="inlineStr">
        <is>
          <t>单独实施</t>
        </is>
      </c>
      <c r="J227" s="192" t="inlineStr">
        <is>
          <t>电视</t>
        </is>
      </c>
      <c r="K227" s="191" t="inlineStr">
        <is>
          <t>10分钟及以下</t>
        </is>
      </c>
      <c r="L227" s="192" t="inlineStr">
        <is>
          <t>专用训练空间</t>
        </is>
      </c>
      <c r="M227" s="192" t="inlineStr">
        <is>
          <t>研究人员</t>
        </is>
      </c>
      <c r="N227" s="192" t="inlineStr">
        <is>
          <t>新增：044 Jamie 条件D（第15–17、19–21次）；干预地点回原文补齐</t>
        </is>
      </c>
      <c r="O227" s="191" t="inlineStr">
        <is>
          <t>7.50岁</t>
        </is>
      </c>
      <c r="P227" s="192" t="inlineStr">
        <is>
          <t>每次最多5分钟</t>
        </is>
      </c>
      <c r="Q227" s="192" t="inlineStr">
        <is>
          <t>无</t>
        </is>
      </c>
      <c r="R227" s="192" t="inlineStr">
        <is>
          <t>同伴儿童</t>
        </is>
      </c>
      <c r="S227" s="192" t="inlineStr">
        <is>
          <t>电视</t>
        </is>
      </c>
      <c r="T227" s="192" t="inlineStr">
        <is>
          <t>研究人员</t>
        </is>
      </c>
      <c r="U227" s="192" t="inlineStr">
        <is>
          <t>缺失</t>
        </is>
      </c>
      <c r="V227" s="192" t="inlineStr">
        <is>
          <t>只用视频</t>
        </is>
      </c>
      <c r="W227" s="192" t="inlineStr">
        <is>
          <t>条件 A 基线 vs 条件 D–F（换玩具、不看视频）合并；Jamie条件C无法与视频示范期分开，未取</t>
        </is>
      </c>
    </row>
    <row r="228" ht="57" customHeight="1" s="176">
      <c r="A228" s="186" t="inlineStr">
        <is>
          <t>K395</t>
        </is>
      </c>
      <c r="B228" s="186" t="inlineStr">
        <is>
          <t>048-二次</t>
        </is>
      </c>
      <c r="C228" s="186" t="inlineStr">
        <is>
          <t>Jack</t>
        </is>
      </c>
      <c r="D228" s="187" t="inlineStr">
        <is>
          <t>干预</t>
        </is>
      </c>
      <c r="E228" s="186" t="inlineStr">
        <is>
          <t>6–8岁</t>
        </is>
      </c>
      <c r="F228" s="187" t="inlineStr">
        <is>
          <t>男</t>
        </is>
      </c>
      <c r="G228" s="188" t="inlineStr">
        <is>
          <t>不纳入该变量（原文未报告）</t>
        </is>
      </c>
      <c r="H228" s="187" t="inlineStr">
        <is>
          <t>成人</t>
        </is>
      </c>
      <c r="I228" s="187" t="inlineStr">
        <is>
          <t>结合教学程序</t>
        </is>
      </c>
      <c r="J228" s="187" t="inlineStr">
        <is>
          <t>电视</t>
        </is>
      </c>
      <c r="K228" s="186" t="inlineStr">
        <is>
          <t>10分钟及以下</t>
        </is>
      </c>
      <c r="L228" s="187" t="inlineStr">
        <is>
          <t>家庭社区</t>
        </is>
      </c>
      <c r="M228" s="188" t="inlineStr">
        <is>
          <t>不纳入该变量（原文未报告）</t>
        </is>
      </c>
      <c r="N228" s="190" t="inlineStr">
        <is>
          <t>示范者由“手足 + 成人”改归
视频设备依据：年份推定（原文播放终端未明确，按确认方案归组）</t>
        </is>
      </c>
      <c r="O228" s="186" t="inlineStr">
        <is>
          <t>6.00岁</t>
        </is>
      </c>
      <c r="P228" s="187" t="inlineStr">
        <is>
          <t>每次5分钟</t>
        </is>
      </c>
      <c r="Q228" s="187" t="inlineStr">
        <is>
          <t>演练、强化</t>
        </is>
      </c>
      <c r="R228" s="187" t="inlineStr">
        <is>
          <t>手足 + 成人</t>
        </is>
      </c>
      <c r="S228" s="187" t="inlineStr">
        <is>
          <t>缺失</t>
        </is>
      </c>
      <c r="T228" s="187" t="inlineStr">
        <is>
          <t>缺失</t>
        </is>
      </c>
      <c r="U228" s="187" t="inlineStr">
        <is>
          <t>家庭</t>
        </is>
      </c>
      <c r="V228" s="187" t="inlineStr">
        <is>
          <t>加1–2种</t>
        </is>
      </c>
      <c r="W228" s="186" t="inlineStr">
        <is>
          <t>Baseline vs VM Intervention 期每日无视频探测</t>
        </is>
      </c>
    </row>
    <row r="229" ht="57" customHeight="1" s="176">
      <c r="A229" s="186" t="inlineStr">
        <is>
          <t>K396</t>
        </is>
      </c>
      <c r="B229" s="186" t="inlineStr">
        <is>
          <t>048-二次</t>
        </is>
      </c>
      <c r="C229" s="186" t="inlineStr">
        <is>
          <t>Jack</t>
        </is>
      </c>
      <c r="D229" s="187" t="inlineStr">
        <is>
          <t>干预</t>
        </is>
      </c>
      <c r="E229" s="186" t="inlineStr">
        <is>
          <t>6–8岁</t>
        </is>
      </c>
      <c r="F229" s="187" t="inlineStr">
        <is>
          <t>男</t>
        </is>
      </c>
      <c r="G229" s="188" t="inlineStr">
        <is>
          <t>不纳入该变量（原文未报告）</t>
        </is>
      </c>
      <c r="H229" s="187" t="inlineStr">
        <is>
          <t>成人</t>
        </is>
      </c>
      <c r="I229" s="187" t="inlineStr">
        <is>
          <t>结合教学程序</t>
        </is>
      </c>
      <c r="J229" s="187" t="inlineStr">
        <is>
          <t>电视</t>
        </is>
      </c>
      <c r="K229" s="186" t="inlineStr">
        <is>
          <t>10分钟及以下</t>
        </is>
      </c>
      <c r="L229" s="187" t="inlineStr">
        <is>
          <t>家庭社区</t>
        </is>
      </c>
      <c r="M229" s="188" t="inlineStr">
        <is>
          <t>不纳入该变量（原文未报告）</t>
        </is>
      </c>
      <c r="N229" s="190" t="inlineStr">
        <is>
          <t>示范者由“手足 + 成人”改归
视频设备依据：年份推定（原文播放终端未明确，按确认方案归组）</t>
        </is>
      </c>
      <c r="O229" s="186" t="inlineStr">
        <is>
          <t>6.00岁</t>
        </is>
      </c>
      <c r="P229" s="187" t="inlineStr">
        <is>
          <t>每次5分钟</t>
        </is>
      </c>
      <c r="Q229" s="187" t="inlineStr">
        <is>
          <t>演练、强化</t>
        </is>
      </c>
      <c r="R229" s="187" t="inlineStr">
        <is>
          <t>手足 + 成人</t>
        </is>
      </c>
      <c r="S229" s="187" t="inlineStr">
        <is>
          <t>缺失</t>
        </is>
      </c>
      <c r="T229" s="187" t="inlineStr">
        <is>
          <t>缺失</t>
        </is>
      </c>
      <c r="U229" s="187" t="inlineStr">
        <is>
          <t>家庭</t>
        </is>
      </c>
      <c r="V229" s="187" t="inlineStr">
        <is>
          <t>加1–2种</t>
        </is>
      </c>
      <c r="W229" s="186" t="inlineStr">
        <is>
          <t>Baseline vs VM Intervention 期每日无视频探测</t>
        </is>
      </c>
    </row>
    <row r="230" ht="15" customHeight="1" s="176">
      <c r="A230" s="186" t="inlineStr">
        <is>
          <t>K397</t>
        </is>
      </c>
      <c r="B230" s="186" t="inlineStr">
        <is>
          <t>048-二次</t>
        </is>
      </c>
      <c r="C230" s="186" t="inlineStr">
        <is>
          <t>Jack</t>
        </is>
      </c>
      <c r="D230" s="187" t="inlineStr">
        <is>
          <t>干预</t>
        </is>
      </c>
      <c r="E230" s="186" t="inlineStr">
        <is>
          <t>6–8岁</t>
        </is>
      </c>
      <c r="F230" s="187" t="inlineStr">
        <is>
          <t>男</t>
        </is>
      </c>
      <c r="G230" s="188" t="inlineStr">
        <is>
          <t>不纳入该变量（原文未报告）</t>
        </is>
      </c>
      <c r="H230" s="187" t="inlineStr">
        <is>
          <t>成人</t>
        </is>
      </c>
      <c r="I230" s="187" t="inlineStr">
        <is>
          <t>结合教学程序</t>
        </is>
      </c>
      <c r="J230" s="187" t="inlineStr">
        <is>
          <t>电视</t>
        </is>
      </c>
      <c r="K230" s="186" t="inlineStr">
        <is>
          <t>10分钟及以下</t>
        </is>
      </c>
      <c r="L230" s="187" t="inlineStr">
        <is>
          <t>家庭社区</t>
        </is>
      </c>
      <c r="M230" s="188" t="inlineStr">
        <is>
          <t>不纳入该变量（原文未报告）</t>
        </is>
      </c>
      <c r="N230" s="190" t="inlineStr">
        <is>
          <t>示范者由“手足 + 成人”改归
视频设备依据：年份推定（原文播放终端未明确，按确认方案归组）</t>
        </is>
      </c>
      <c r="O230" s="186" t="inlineStr">
        <is>
          <t>6.00岁</t>
        </is>
      </c>
      <c r="P230" s="187" t="inlineStr">
        <is>
          <t>每次5分钟</t>
        </is>
      </c>
      <c r="Q230" s="187" t="inlineStr">
        <is>
          <t>演练、强化</t>
        </is>
      </c>
      <c r="R230" s="187" t="inlineStr">
        <is>
          <t>手足 + 成人</t>
        </is>
      </c>
      <c r="S230" s="187" t="inlineStr">
        <is>
          <t>缺失</t>
        </is>
      </c>
      <c r="T230" s="187" t="inlineStr">
        <is>
          <t>缺失</t>
        </is>
      </c>
      <c r="U230" s="187" t="inlineStr">
        <is>
          <t>家庭</t>
        </is>
      </c>
      <c r="V230" s="187" t="inlineStr">
        <is>
          <t>加1–2种</t>
        </is>
      </c>
      <c r="W230" s="186" t="inlineStr">
        <is>
          <t>Baseline vs VM Intervention 期每日无视频探测</t>
        </is>
      </c>
    </row>
    <row r="231" ht="15" customHeight="1" s="176">
      <c r="A231" s="186" t="inlineStr">
        <is>
          <t>K398</t>
        </is>
      </c>
      <c r="B231" s="186" t="inlineStr">
        <is>
          <t>048-二次</t>
        </is>
      </c>
      <c r="C231" s="186" t="inlineStr">
        <is>
          <t>Manuel</t>
        </is>
      </c>
      <c r="D231" s="187" t="inlineStr">
        <is>
          <t>干预</t>
        </is>
      </c>
      <c r="E231" s="186" t="inlineStr">
        <is>
          <t>9–12岁</t>
        </is>
      </c>
      <c r="F231" s="187" t="inlineStr">
        <is>
          <t>男</t>
        </is>
      </c>
      <c r="G231" s="188" t="inlineStr">
        <is>
          <t>不纳入该变量（原文未报告）</t>
        </is>
      </c>
      <c r="H231" s="187" t="inlineStr">
        <is>
          <t>成人</t>
        </is>
      </c>
      <c r="I231" s="187" t="inlineStr">
        <is>
          <t>结合教学程序</t>
        </is>
      </c>
      <c r="J231" s="187" t="inlineStr">
        <is>
          <t>电视</t>
        </is>
      </c>
      <c r="K231" s="186" t="inlineStr">
        <is>
          <t>10分钟及以下</t>
        </is>
      </c>
      <c r="L231" s="187" t="inlineStr">
        <is>
          <t>家庭社区</t>
        </is>
      </c>
      <c r="M231" s="188" t="inlineStr">
        <is>
          <t>不纳入该变量（原文未报告）</t>
        </is>
      </c>
      <c r="N231" s="190" t="inlineStr">
        <is>
          <t>示范者由“手足 + 成人”改归
视频设备依据：年份推定（原文播放终端未明确，按确认方案归组）</t>
        </is>
      </c>
      <c r="O231" s="186" t="inlineStr">
        <is>
          <t>9.00岁</t>
        </is>
      </c>
      <c r="P231" s="187" t="inlineStr">
        <is>
          <t>每次5分钟</t>
        </is>
      </c>
      <c r="Q231" s="187" t="inlineStr">
        <is>
          <t>演练、强化</t>
        </is>
      </c>
      <c r="R231" s="187" t="inlineStr">
        <is>
          <t>手足 + 成人</t>
        </is>
      </c>
      <c r="S231" s="187" t="inlineStr">
        <is>
          <t>缺失</t>
        </is>
      </c>
      <c r="T231" s="187" t="inlineStr">
        <is>
          <t>缺失</t>
        </is>
      </c>
      <c r="U231" s="187" t="inlineStr">
        <is>
          <t>家庭</t>
        </is>
      </c>
      <c r="V231" s="187" t="inlineStr">
        <is>
          <t>加1–2种</t>
        </is>
      </c>
      <c r="W231" s="186" t="inlineStr">
        <is>
          <t>Baseline vs VM 后的保留探测（Retention Probes）</t>
        </is>
      </c>
    </row>
    <row r="232" ht="15" customHeight="1" s="176">
      <c r="A232" s="186" t="inlineStr">
        <is>
          <t>K399</t>
        </is>
      </c>
      <c r="B232" s="186" t="inlineStr">
        <is>
          <t>048-二次</t>
        </is>
      </c>
      <c r="C232" s="186" t="inlineStr">
        <is>
          <t>Manuel</t>
        </is>
      </c>
      <c r="D232" s="187" t="inlineStr">
        <is>
          <t>干预</t>
        </is>
      </c>
      <c r="E232" s="186" t="inlineStr">
        <is>
          <t>9–12岁</t>
        </is>
      </c>
      <c r="F232" s="187" t="inlineStr">
        <is>
          <t>男</t>
        </is>
      </c>
      <c r="G232" s="188" t="inlineStr">
        <is>
          <t>不纳入该变量（原文未报告）</t>
        </is>
      </c>
      <c r="H232" s="187" t="inlineStr">
        <is>
          <t>成人</t>
        </is>
      </c>
      <c r="I232" s="187" t="inlineStr">
        <is>
          <t>结合教学程序</t>
        </is>
      </c>
      <c r="J232" s="187" t="inlineStr">
        <is>
          <t>电视</t>
        </is>
      </c>
      <c r="K232" s="186" t="inlineStr">
        <is>
          <t>10分钟及以下</t>
        </is>
      </c>
      <c r="L232" s="187" t="inlineStr">
        <is>
          <t>家庭社区</t>
        </is>
      </c>
      <c r="M232" s="188" t="inlineStr">
        <is>
          <t>不纳入该变量（原文未报告）</t>
        </is>
      </c>
      <c r="N232" s="190" t="inlineStr">
        <is>
          <t>示范者由“手足 + 成人”改归
视频设备依据：年份推定（原文播放终端未明确，按确认方案归组）</t>
        </is>
      </c>
      <c r="O232" s="186" t="inlineStr">
        <is>
          <t>9.00岁</t>
        </is>
      </c>
      <c r="P232" s="187" t="inlineStr">
        <is>
          <t>每次5分钟</t>
        </is>
      </c>
      <c r="Q232" s="187" t="inlineStr">
        <is>
          <t>演练、强化</t>
        </is>
      </c>
      <c r="R232" s="187" t="inlineStr">
        <is>
          <t>手足 + 成人</t>
        </is>
      </c>
      <c r="S232" s="187" t="inlineStr">
        <is>
          <t>缺失</t>
        </is>
      </c>
      <c r="T232" s="187" t="inlineStr">
        <is>
          <t>缺失</t>
        </is>
      </c>
      <c r="U232" s="187" t="inlineStr">
        <is>
          <t>家庭</t>
        </is>
      </c>
      <c r="V232" s="187" t="inlineStr">
        <is>
          <t>加1–2种</t>
        </is>
      </c>
      <c r="W232" s="186" t="inlineStr">
        <is>
          <t>Baseline vs VM 后的保留探测（Retention Probes）</t>
        </is>
      </c>
    </row>
    <row r="233" ht="15" customHeight="1" s="176">
      <c r="A233" s="186" t="inlineStr">
        <is>
          <t>K400</t>
        </is>
      </c>
      <c r="B233" s="186" t="inlineStr">
        <is>
          <t>048-二次</t>
        </is>
      </c>
      <c r="C233" s="186" t="inlineStr">
        <is>
          <t>Manuel</t>
        </is>
      </c>
      <c r="D233" s="187" t="inlineStr">
        <is>
          <t>干预</t>
        </is>
      </c>
      <c r="E233" s="186" t="inlineStr">
        <is>
          <t>9–12岁</t>
        </is>
      </c>
      <c r="F233" s="187" t="inlineStr">
        <is>
          <t>男</t>
        </is>
      </c>
      <c r="G233" s="188" t="inlineStr">
        <is>
          <t>不纳入该变量（原文未报告）</t>
        </is>
      </c>
      <c r="H233" s="187" t="inlineStr">
        <is>
          <t>成人</t>
        </is>
      </c>
      <c r="I233" s="187" t="inlineStr">
        <is>
          <t>结合教学程序</t>
        </is>
      </c>
      <c r="J233" s="187" t="inlineStr">
        <is>
          <t>电视</t>
        </is>
      </c>
      <c r="K233" s="186" t="inlineStr">
        <is>
          <t>10分钟及以下</t>
        </is>
      </c>
      <c r="L233" s="187" t="inlineStr">
        <is>
          <t>家庭社区</t>
        </is>
      </c>
      <c r="M233" s="188" t="inlineStr">
        <is>
          <t>不纳入该变量（原文未报告）</t>
        </is>
      </c>
      <c r="N233" s="190" t="inlineStr">
        <is>
          <t>示范者由“手足 + 成人”改归
视频设备依据：年份推定（原文播放终端未明确，按确认方案归组）</t>
        </is>
      </c>
      <c r="O233" s="186" t="inlineStr">
        <is>
          <t>9.00岁</t>
        </is>
      </c>
      <c r="P233" s="187" t="inlineStr">
        <is>
          <t>每次5分钟</t>
        </is>
      </c>
      <c r="Q233" s="187" t="inlineStr">
        <is>
          <t>演练、强化</t>
        </is>
      </c>
      <c r="R233" s="187" t="inlineStr">
        <is>
          <t>手足 + 成人</t>
        </is>
      </c>
      <c r="S233" s="187" t="inlineStr">
        <is>
          <t>缺失</t>
        </is>
      </c>
      <c r="T233" s="187" t="inlineStr">
        <is>
          <t>缺失</t>
        </is>
      </c>
      <c r="U233" s="187" t="inlineStr">
        <is>
          <t>家庭</t>
        </is>
      </c>
      <c r="V233" s="187" t="inlineStr">
        <is>
          <t>加1–2种</t>
        </is>
      </c>
      <c r="W233" s="186" t="inlineStr">
        <is>
          <t>Baseline vs VM 后的保留探测（Retention Probes）</t>
        </is>
      </c>
    </row>
    <row r="234" ht="15" customHeight="1" s="176">
      <c r="A234" s="186" t="inlineStr">
        <is>
          <t>K401</t>
        </is>
      </c>
      <c r="B234" s="186" t="inlineStr">
        <is>
          <t>051-二次</t>
        </is>
      </c>
      <c r="C234" s="186" t="inlineStr">
        <is>
          <t>Bob</t>
        </is>
      </c>
      <c r="D234" s="187" t="inlineStr">
        <is>
          <t>干预</t>
        </is>
      </c>
      <c r="E234" s="186" t="inlineStr">
        <is>
          <t>6岁以下</t>
        </is>
      </c>
      <c r="F234" s="187" t="inlineStr">
        <is>
          <t>男</t>
        </is>
      </c>
      <c r="G234" s="188" t="inlineStr">
        <is>
          <t>不纳入该变量（原文未报告）</t>
        </is>
      </c>
      <c r="H234" s="187" t="inlineStr">
        <is>
          <t>儿童本人</t>
        </is>
      </c>
      <c r="I234" s="187" t="inlineStr">
        <is>
          <t>单独实施</t>
        </is>
      </c>
      <c r="J234" s="187" t="inlineStr">
        <is>
          <t>电脑</t>
        </is>
      </c>
      <c r="K234" s="186" t="inlineStr">
        <is>
          <t>10分钟及以下</t>
        </is>
      </c>
      <c r="L234" s="187" t="inlineStr">
        <is>
          <t>教室</t>
        </is>
      </c>
      <c r="M234" s="187" t="inlineStr">
        <is>
          <t>学校人员</t>
        </is>
      </c>
      <c r="N234" s="187" t="inlineStr">
        <is>
          <t>干预地点回原文补齐</t>
        </is>
      </c>
      <c r="O234" s="186" t="inlineStr">
        <is>
          <t>3.67岁</t>
        </is>
      </c>
      <c r="P234" s="186" t="inlineStr">
        <is>
          <t>2–3分钟（干预只是看视频）</t>
        </is>
      </c>
      <c r="Q234" s="187" t="inlineStr">
        <is>
          <t>无</t>
        </is>
      </c>
      <c r="R234" s="187" t="inlineStr">
        <is>
          <t>儿童本人</t>
        </is>
      </c>
      <c r="S234" s="187" t="inlineStr">
        <is>
          <t>电脑</t>
        </is>
      </c>
      <c r="T234" s="187" t="inlineStr">
        <is>
          <t>学校人员</t>
        </is>
      </c>
      <c r="U234" s="187" t="inlineStr">
        <is>
          <t>缺失</t>
        </is>
      </c>
      <c r="V234" s="187" t="inlineStr">
        <is>
          <t>只用视频</t>
        </is>
      </c>
      <c r="W234" s="187" t="inlineStr">
        <is>
          <t>两轮合并：Stage 1 Baseline vs VSM ＋ Stage 2 Baseline vs VSM</t>
        </is>
      </c>
    </row>
    <row r="235" ht="15" customHeight="1" s="176">
      <c r="A235" s="186" t="inlineStr">
        <is>
          <t>K402</t>
        </is>
      </c>
      <c r="B235" s="186" t="inlineStr">
        <is>
          <t>051-二次</t>
        </is>
      </c>
      <c r="C235" s="186" t="inlineStr">
        <is>
          <t>Bob</t>
        </is>
      </c>
      <c r="D235" s="187" t="inlineStr">
        <is>
          <t>维持</t>
        </is>
      </c>
      <c r="E235" s="186" t="inlineStr">
        <is>
          <t>6岁以下</t>
        </is>
      </c>
      <c r="F235" s="187" t="inlineStr">
        <is>
          <t>男</t>
        </is>
      </c>
      <c r="G235" s="188" t="inlineStr">
        <is>
          <t>不纳入该变量（原文未报告）</t>
        </is>
      </c>
      <c r="H235" s="187" t="inlineStr">
        <is>
          <t>儿童本人</t>
        </is>
      </c>
      <c r="I235" s="187" t="inlineStr">
        <is>
          <t>单独实施</t>
        </is>
      </c>
      <c r="J235" s="187" t="inlineStr">
        <is>
          <t>电脑</t>
        </is>
      </c>
      <c r="K235" s="186" t="inlineStr">
        <is>
          <t>10分钟及以下</t>
        </is>
      </c>
      <c r="L235" s="187" t="inlineStr">
        <is>
          <t>教室</t>
        </is>
      </c>
      <c r="M235" s="187" t="inlineStr">
        <is>
          <t>学校人员</t>
        </is>
      </c>
      <c r="N235" s="187" t="inlineStr">
        <is>
          <t>干预地点回原文补齐</t>
        </is>
      </c>
      <c r="O235" s="186" t="inlineStr">
        <is>
          <t>3.67岁</t>
        </is>
      </c>
      <c r="P235" s="186" t="inlineStr">
        <is>
          <t>2–3分钟（干预只是看视频）</t>
        </is>
      </c>
      <c r="Q235" s="187" t="inlineStr">
        <is>
          <t>无</t>
        </is>
      </c>
      <c r="R235" s="187" t="inlineStr">
        <is>
          <t>儿童本人</t>
        </is>
      </c>
      <c r="S235" s="187" t="inlineStr">
        <is>
          <t>电脑</t>
        </is>
      </c>
      <c r="T235" s="187" t="inlineStr">
        <is>
          <t>学校人员</t>
        </is>
      </c>
      <c r="U235" s="187" t="inlineStr">
        <is>
          <t>缺失</t>
        </is>
      </c>
      <c r="V235" s="187" t="inlineStr">
        <is>
          <t>只用视频</t>
        </is>
      </c>
      <c r="W235" s="187" t="inlineStr">
        <is>
          <t>两轮合并：Stage 1 Baseline vs Maintenance ＋ Stage 2 Baseline vs Maintenance</t>
        </is>
      </c>
    </row>
    <row r="236" ht="15" customHeight="1" s="176">
      <c r="A236" s="186" t="inlineStr">
        <is>
          <t>K403</t>
        </is>
      </c>
      <c r="B236" s="186" t="inlineStr">
        <is>
          <t>051-二次</t>
        </is>
      </c>
      <c r="C236" s="186" t="inlineStr">
        <is>
          <t>Tevon</t>
        </is>
      </c>
      <c r="D236" s="187" t="inlineStr">
        <is>
          <t>干预</t>
        </is>
      </c>
      <c r="E236" s="186" t="inlineStr">
        <is>
          <t>6岁以下</t>
        </is>
      </c>
      <c r="F236" s="187" t="inlineStr">
        <is>
          <t>男</t>
        </is>
      </c>
      <c r="G236" s="187" t="inlineStr">
        <is>
          <t>重度</t>
        </is>
      </c>
      <c r="H236" s="187" t="inlineStr">
        <is>
          <t>儿童本人</t>
        </is>
      </c>
      <c r="I236" s="187" t="inlineStr">
        <is>
          <t>单独实施</t>
        </is>
      </c>
      <c r="J236" s="187" t="inlineStr">
        <is>
          <t>电脑</t>
        </is>
      </c>
      <c r="K236" s="186" t="inlineStr">
        <is>
          <t>10分钟及以下</t>
        </is>
      </c>
      <c r="L236" s="187" t="inlineStr">
        <is>
          <t>教室</t>
        </is>
      </c>
      <c r="M236" s="187" t="inlineStr">
        <is>
          <t>学校人员</t>
        </is>
      </c>
      <c r="N236" s="187" t="inlineStr">
        <is>
          <t>干预地点回原文补齐</t>
        </is>
      </c>
      <c r="O236" s="186" t="inlineStr">
        <is>
          <t>2.67岁</t>
        </is>
      </c>
      <c r="P236" s="186" t="inlineStr">
        <is>
          <t>2–3分钟（干预只是看视频）</t>
        </is>
      </c>
      <c r="Q236" s="187" t="inlineStr">
        <is>
          <t>无</t>
        </is>
      </c>
      <c r="R236" s="187" t="inlineStr">
        <is>
          <t>儿童本人</t>
        </is>
      </c>
      <c r="S236" s="187" t="inlineStr">
        <is>
          <t>电脑</t>
        </is>
      </c>
      <c r="T236" s="187" t="inlineStr">
        <is>
          <t>学校人员</t>
        </is>
      </c>
      <c r="U236" s="187" t="inlineStr">
        <is>
          <t>缺失</t>
        </is>
      </c>
      <c r="V236" s="187" t="inlineStr">
        <is>
          <t>只用视频</t>
        </is>
      </c>
      <c r="W236" s="187" t="inlineStr">
        <is>
          <t>两轮合并：Stage 1 Baseline vs VSM ＋ Stage 2 Baseline vs VSM</t>
        </is>
      </c>
    </row>
    <row r="237" ht="15" customHeight="1" s="176">
      <c r="A237" s="186" t="inlineStr">
        <is>
          <t>K404</t>
        </is>
      </c>
      <c r="B237" s="186" t="inlineStr">
        <is>
          <t>051-二次</t>
        </is>
      </c>
      <c r="C237" s="186" t="inlineStr">
        <is>
          <t>Tevon</t>
        </is>
      </c>
      <c r="D237" s="187" t="inlineStr">
        <is>
          <t>维持</t>
        </is>
      </c>
      <c r="E237" s="186" t="inlineStr">
        <is>
          <t>6岁以下</t>
        </is>
      </c>
      <c r="F237" s="187" t="inlineStr">
        <is>
          <t>男</t>
        </is>
      </c>
      <c r="G237" s="187" t="inlineStr">
        <is>
          <t>重度</t>
        </is>
      </c>
      <c r="H237" s="187" t="inlineStr">
        <is>
          <t>儿童本人</t>
        </is>
      </c>
      <c r="I237" s="187" t="inlineStr">
        <is>
          <t>单独实施</t>
        </is>
      </c>
      <c r="J237" s="187" t="inlineStr">
        <is>
          <t>电脑</t>
        </is>
      </c>
      <c r="K237" s="186" t="inlineStr">
        <is>
          <t>10分钟及以下</t>
        </is>
      </c>
      <c r="L237" s="187" t="inlineStr">
        <is>
          <t>教室</t>
        </is>
      </c>
      <c r="M237" s="187" t="inlineStr">
        <is>
          <t>学校人员</t>
        </is>
      </c>
      <c r="N237" s="187" t="inlineStr">
        <is>
          <t>干预地点回原文补齐</t>
        </is>
      </c>
      <c r="O237" s="186" t="inlineStr">
        <is>
          <t>2.67岁</t>
        </is>
      </c>
      <c r="P237" s="186" t="inlineStr">
        <is>
          <t>2–3分钟（干预只是看视频）</t>
        </is>
      </c>
      <c r="Q237" s="187" t="inlineStr">
        <is>
          <t>无</t>
        </is>
      </c>
      <c r="R237" s="187" t="inlineStr">
        <is>
          <t>儿童本人</t>
        </is>
      </c>
      <c r="S237" s="187" t="inlineStr">
        <is>
          <t>电脑</t>
        </is>
      </c>
      <c r="T237" s="187" t="inlineStr">
        <is>
          <t>学校人员</t>
        </is>
      </c>
      <c r="U237" s="187" t="inlineStr">
        <is>
          <t>缺失</t>
        </is>
      </c>
      <c r="V237" s="187" t="inlineStr">
        <is>
          <t>只用视频</t>
        </is>
      </c>
      <c r="W237" s="187" t="inlineStr">
        <is>
          <t>两轮合并：Stage 1 Baseline vs Maintenance ＋ Stage 2 Baseline vs Maintenance</t>
        </is>
      </c>
    </row>
    <row r="238" ht="15" customHeight="1" s="176">
      <c r="A238" s="186" t="inlineStr">
        <is>
          <t>K405</t>
        </is>
      </c>
      <c r="B238" s="186" t="inlineStr">
        <is>
          <t>051-二次</t>
        </is>
      </c>
      <c r="C238" s="186" t="inlineStr">
        <is>
          <t>Josh</t>
        </is>
      </c>
      <c r="D238" s="187" t="inlineStr">
        <is>
          <t>干预</t>
        </is>
      </c>
      <c r="E238" s="186" t="inlineStr">
        <is>
          <t>6岁以下</t>
        </is>
      </c>
      <c r="F238" s="187" t="inlineStr">
        <is>
          <t>男</t>
        </is>
      </c>
      <c r="G238" s="187" t="inlineStr">
        <is>
          <t>重度</t>
        </is>
      </c>
      <c r="H238" s="187" t="inlineStr">
        <is>
          <t>儿童本人</t>
        </is>
      </c>
      <c r="I238" s="187" t="inlineStr">
        <is>
          <t>单独实施</t>
        </is>
      </c>
      <c r="J238" s="187" t="inlineStr">
        <is>
          <t>电脑</t>
        </is>
      </c>
      <c r="K238" s="186" t="inlineStr">
        <is>
          <t>10分钟及以下</t>
        </is>
      </c>
      <c r="L238" s="187" t="inlineStr">
        <is>
          <t>教室</t>
        </is>
      </c>
      <c r="M238" s="187" t="inlineStr">
        <is>
          <t>学校人员</t>
        </is>
      </c>
      <c r="N238" s="187" t="inlineStr">
        <is>
          <t>干预地点回原文补齐</t>
        </is>
      </c>
      <c r="O238" s="186" t="inlineStr">
        <is>
          <t>3.67岁</t>
        </is>
      </c>
      <c r="P238" s="186" t="inlineStr">
        <is>
          <t>2–3分钟（干预只是看视频）</t>
        </is>
      </c>
      <c r="Q238" s="187" t="inlineStr">
        <is>
          <t>无</t>
        </is>
      </c>
      <c r="R238" s="187" t="inlineStr">
        <is>
          <t>儿童本人</t>
        </is>
      </c>
      <c r="S238" s="187" t="inlineStr">
        <is>
          <t>电脑</t>
        </is>
      </c>
      <c r="T238" s="187" t="inlineStr">
        <is>
          <t>学校人员</t>
        </is>
      </c>
      <c r="U238" s="187" t="inlineStr">
        <is>
          <t>缺失</t>
        </is>
      </c>
      <c r="V238" s="187" t="inlineStr">
        <is>
          <t>只用视频</t>
        </is>
      </c>
      <c r="W238" s="187" t="inlineStr">
        <is>
          <t>两轮合并：Stage 1 Baseline vs VSM ＋ Stage 2 Baseline vs VSM</t>
        </is>
      </c>
    </row>
    <row r="239" ht="15" customHeight="1" s="176">
      <c r="A239" s="186" t="inlineStr">
        <is>
          <t>K406</t>
        </is>
      </c>
      <c r="B239" s="186" t="inlineStr">
        <is>
          <t>051-二次</t>
        </is>
      </c>
      <c r="C239" s="186" t="inlineStr">
        <is>
          <t>Josh</t>
        </is>
      </c>
      <c r="D239" s="187" t="inlineStr">
        <is>
          <t>维持</t>
        </is>
      </c>
      <c r="E239" s="186" t="inlineStr">
        <is>
          <t>6岁以下</t>
        </is>
      </c>
      <c r="F239" s="187" t="inlineStr">
        <is>
          <t>男</t>
        </is>
      </c>
      <c r="G239" s="187" t="inlineStr">
        <is>
          <t>重度</t>
        </is>
      </c>
      <c r="H239" s="187" t="inlineStr">
        <is>
          <t>儿童本人</t>
        </is>
      </c>
      <c r="I239" s="187" t="inlineStr">
        <is>
          <t>单独实施</t>
        </is>
      </c>
      <c r="J239" s="187" t="inlineStr">
        <is>
          <t>电脑</t>
        </is>
      </c>
      <c r="K239" s="186" t="inlineStr">
        <is>
          <t>10分钟及以下</t>
        </is>
      </c>
      <c r="L239" s="187" t="inlineStr">
        <is>
          <t>教室</t>
        </is>
      </c>
      <c r="M239" s="187" t="inlineStr">
        <is>
          <t>学校人员</t>
        </is>
      </c>
      <c r="N239" s="187" t="inlineStr">
        <is>
          <t>干预地点回原文补齐</t>
        </is>
      </c>
      <c r="O239" s="186" t="inlineStr">
        <is>
          <t>3.67岁</t>
        </is>
      </c>
      <c r="P239" s="186" t="inlineStr">
        <is>
          <t>2–3分钟（干预只是看视频）</t>
        </is>
      </c>
      <c r="Q239" s="187" t="inlineStr">
        <is>
          <t>无</t>
        </is>
      </c>
      <c r="R239" s="187" t="inlineStr">
        <is>
          <t>儿童本人</t>
        </is>
      </c>
      <c r="S239" s="187" t="inlineStr">
        <is>
          <t>电脑</t>
        </is>
      </c>
      <c r="T239" s="187" t="inlineStr">
        <is>
          <t>学校人员</t>
        </is>
      </c>
      <c r="U239" s="187" t="inlineStr">
        <is>
          <t>缺失</t>
        </is>
      </c>
      <c r="V239" s="187" t="inlineStr">
        <is>
          <t>只用视频</t>
        </is>
      </c>
      <c r="W239" s="187" t="inlineStr">
        <is>
          <t>两轮合并：Stage 1 Baseline vs Maintenance ＋ Stage 2 Baseline vs Maintenance</t>
        </is>
      </c>
    </row>
    <row r="240" ht="15" customHeight="1" s="176">
      <c r="A240" s="186" t="inlineStr">
        <is>
          <t>K407</t>
        </is>
      </c>
      <c r="B240" s="186" t="inlineStr">
        <is>
          <t>051-滚雪球</t>
        </is>
      </c>
      <c r="C240" s="186" t="inlineStr">
        <is>
          <t>Ned</t>
        </is>
      </c>
      <c r="D240" s="187" t="inlineStr">
        <is>
          <t>干预</t>
        </is>
      </c>
      <c r="E240" s="186" t="inlineStr">
        <is>
          <t>9–12岁</t>
        </is>
      </c>
      <c r="F240" s="187" t="inlineStr">
        <is>
          <t>男</t>
        </is>
      </c>
      <c r="G240" s="188" t="inlineStr">
        <is>
          <t>不纳入该变量（原文未报告）</t>
        </is>
      </c>
      <c r="H240" s="187" t="inlineStr">
        <is>
          <t>同伴儿童+动画角色</t>
        </is>
      </c>
      <c r="I240" s="187" t="inlineStr">
        <is>
          <t>嵌入综合干预方案</t>
        </is>
      </c>
      <c r="J240" s="187" t="inlineStr">
        <is>
          <t>电脑</t>
        </is>
      </c>
      <c r="K240" s="186" t="inlineStr">
        <is>
          <t>11～60分钟</t>
        </is>
      </c>
      <c r="L240" s="187" t="inlineStr">
        <is>
          <t>教室</t>
        </is>
      </c>
      <c r="M240" s="187" t="inlineStr">
        <is>
          <t>研究人员</t>
        </is>
      </c>
      <c r="N240" s="186" t="n"/>
      <c r="O240" s="186" t="inlineStr">
        <is>
          <t>11.00岁</t>
        </is>
      </c>
      <c r="P240" s="187" t="inlineStr">
        <is>
          <t>每次30分钟</t>
        </is>
      </c>
      <c r="Q240" s="187" t="inlineStr">
        <is>
          <t>演练、现场示范、提示、强化</t>
        </is>
      </c>
      <c r="R240" s="187" t="inlineStr">
        <is>
          <t>同伴儿童 + 动画角色</t>
        </is>
      </c>
      <c r="S240" s="187" t="inlineStr">
        <is>
          <t>电脑</t>
        </is>
      </c>
      <c r="T240" s="187" t="inlineStr">
        <is>
          <t>研究人员</t>
        </is>
      </c>
      <c r="U240" s="187" t="inlineStr">
        <is>
          <t>学校</t>
        </is>
      </c>
      <c r="V240" s="187" t="inlineStr">
        <is>
          <t>加3种及以上</t>
        </is>
      </c>
      <c r="W240" s="186" t="inlineStr">
        <is>
          <t>Baseline vs Intervention（L1–L5 合并）</t>
        </is>
      </c>
    </row>
    <row r="241" ht="15" customHeight="1" s="176">
      <c r="A241" s="186" t="inlineStr">
        <is>
          <t>K408</t>
        </is>
      </c>
      <c r="B241" s="186" t="inlineStr">
        <is>
          <t>051-滚雪球</t>
        </is>
      </c>
      <c r="C241" s="186" t="inlineStr">
        <is>
          <t>Ned</t>
        </is>
      </c>
      <c r="D241" s="187" t="inlineStr">
        <is>
          <t>维持</t>
        </is>
      </c>
      <c r="E241" s="186" t="inlineStr">
        <is>
          <t>9–12岁</t>
        </is>
      </c>
      <c r="F241" s="187" t="inlineStr">
        <is>
          <t>男</t>
        </is>
      </c>
      <c r="G241" s="188" t="inlineStr">
        <is>
          <t>不纳入该变量（原文未报告）</t>
        </is>
      </c>
      <c r="H241" s="187" t="inlineStr">
        <is>
          <t>同伴儿童+动画角色</t>
        </is>
      </c>
      <c r="I241" s="187" t="inlineStr">
        <is>
          <t>嵌入综合干预方案</t>
        </is>
      </c>
      <c r="J241" s="187" t="inlineStr">
        <is>
          <t>电脑</t>
        </is>
      </c>
      <c r="K241" s="186" t="inlineStr">
        <is>
          <t>11～60分钟</t>
        </is>
      </c>
      <c r="L241" s="187" t="inlineStr">
        <is>
          <t>教室</t>
        </is>
      </c>
      <c r="M241" s="187" t="inlineStr">
        <is>
          <t>研究人员</t>
        </is>
      </c>
      <c r="N241" s="186" t="n"/>
      <c r="O241" s="186" t="inlineStr">
        <is>
          <t>11.00岁</t>
        </is>
      </c>
      <c r="P241" s="187" t="inlineStr">
        <is>
          <t>每次30分钟</t>
        </is>
      </c>
      <c r="Q241" s="187" t="inlineStr">
        <is>
          <t>演练、现场示范、提示、强化</t>
        </is>
      </c>
      <c r="R241" s="187" t="inlineStr">
        <is>
          <t>同伴儿童 + 动画角色</t>
        </is>
      </c>
      <c r="S241" s="187" t="inlineStr">
        <is>
          <t>电脑</t>
        </is>
      </c>
      <c r="T241" s="187" t="inlineStr">
        <is>
          <t>研究人员</t>
        </is>
      </c>
      <c r="U241" s="187" t="inlineStr">
        <is>
          <t>学校</t>
        </is>
      </c>
      <c r="V241" s="187" t="inlineStr">
        <is>
          <t>加3种及以上</t>
        </is>
      </c>
      <c r="W241" s="186" t="inlineStr">
        <is>
          <t>Baseline vs Maintenance</t>
        </is>
      </c>
    </row>
    <row r="242" ht="15" customHeight="1" s="176">
      <c r="A242" s="186" t="inlineStr">
        <is>
          <t>K409</t>
        </is>
      </c>
      <c r="B242" s="186" t="inlineStr">
        <is>
          <t>051-滚雪球</t>
        </is>
      </c>
      <c r="C242" s="186" t="inlineStr">
        <is>
          <t>Ned</t>
        </is>
      </c>
      <c r="D242" s="187" t="inlineStr">
        <is>
          <t>干预</t>
        </is>
      </c>
      <c r="E242" s="186" t="inlineStr">
        <is>
          <t>9–12岁</t>
        </is>
      </c>
      <c r="F242" s="187" t="inlineStr">
        <is>
          <t>男</t>
        </is>
      </c>
      <c r="G242" s="188" t="inlineStr">
        <is>
          <t>不纳入该变量（原文未报告）</t>
        </is>
      </c>
      <c r="H242" s="187" t="inlineStr">
        <is>
          <t>同伴儿童+动画角色</t>
        </is>
      </c>
      <c r="I242" s="187" t="inlineStr">
        <is>
          <t>嵌入综合干预方案</t>
        </is>
      </c>
      <c r="J242" s="187" t="inlineStr">
        <is>
          <t>电脑</t>
        </is>
      </c>
      <c r="K242" s="186" t="inlineStr">
        <is>
          <t>11～60分钟</t>
        </is>
      </c>
      <c r="L242" s="187" t="inlineStr">
        <is>
          <t>教室</t>
        </is>
      </c>
      <c r="M242" s="187" t="inlineStr">
        <is>
          <t>研究人员</t>
        </is>
      </c>
      <c r="N242" s="186" t="n"/>
      <c r="O242" s="186" t="inlineStr">
        <is>
          <t>11.00岁</t>
        </is>
      </c>
      <c r="P242" s="187" t="inlineStr">
        <is>
          <t>每次30分钟</t>
        </is>
      </c>
      <c r="Q242" s="187" t="inlineStr">
        <is>
          <t>演练、现场示范、提示、强化</t>
        </is>
      </c>
      <c r="R242" s="187" t="inlineStr">
        <is>
          <t>同伴儿童 + 动画角色</t>
        </is>
      </c>
      <c r="S242" s="187" t="inlineStr">
        <is>
          <t>电脑</t>
        </is>
      </c>
      <c r="T242" s="187" t="inlineStr">
        <is>
          <t>研究人员</t>
        </is>
      </c>
      <c r="U242" s="187" t="inlineStr">
        <is>
          <t>学校</t>
        </is>
      </c>
      <c r="V242" s="187" t="inlineStr">
        <is>
          <t>加3种及以上</t>
        </is>
      </c>
      <c r="W242" s="186" t="inlineStr">
        <is>
          <t>Baseline vs Intervention（L1–L5 合并）</t>
        </is>
      </c>
    </row>
    <row r="243" ht="15" customHeight="1" s="176">
      <c r="A243" s="186" t="inlineStr">
        <is>
          <t>K410</t>
        </is>
      </c>
      <c r="B243" s="186" t="inlineStr">
        <is>
          <t>051-滚雪球</t>
        </is>
      </c>
      <c r="C243" s="186" t="inlineStr">
        <is>
          <t>Ned</t>
        </is>
      </c>
      <c r="D243" s="187" t="inlineStr">
        <is>
          <t>维持</t>
        </is>
      </c>
      <c r="E243" s="186" t="inlineStr">
        <is>
          <t>9–12岁</t>
        </is>
      </c>
      <c r="F243" s="187" t="inlineStr">
        <is>
          <t>男</t>
        </is>
      </c>
      <c r="G243" s="188" t="inlineStr">
        <is>
          <t>不纳入该变量（原文未报告）</t>
        </is>
      </c>
      <c r="H243" s="187" t="inlineStr">
        <is>
          <t>同伴儿童+动画角色</t>
        </is>
      </c>
      <c r="I243" s="187" t="inlineStr">
        <is>
          <t>嵌入综合干预方案</t>
        </is>
      </c>
      <c r="J243" s="187" t="inlineStr">
        <is>
          <t>电脑</t>
        </is>
      </c>
      <c r="K243" s="186" t="inlineStr">
        <is>
          <t>11～60分钟</t>
        </is>
      </c>
      <c r="L243" s="187" t="inlineStr">
        <is>
          <t>教室</t>
        </is>
      </c>
      <c r="M243" s="187" t="inlineStr">
        <is>
          <t>研究人员</t>
        </is>
      </c>
      <c r="N243" s="186" t="n"/>
      <c r="O243" s="186" t="inlineStr">
        <is>
          <t>11.00岁</t>
        </is>
      </c>
      <c r="P243" s="187" t="inlineStr">
        <is>
          <t>每次30分钟</t>
        </is>
      </c>
      <c r="Q243" s="187" t="inlineStr">
        <is>
          <t>演练、现场示范、提示、强化</t>
        </is>
      </c>
      <c r="R243" s="187" t="inlineStr">
        <is>
          <t>同伴儿童 + 动画角色</t>
        </is>
      </c>
      <c r="S243" s="187" t="inlineStr">
        <is>
          <t>电脑</t>
        </is>
      </c>
      <c r="T243" s="187" t="inlineStr">
        <is>
          <t>研究人员</t>
        </is>
      </c>
      <c r="U243" s="187" t="inlineStr">
        <is>
          <t>学校</t>
        </is>
      </c>
      <c r="V243" s="187" t="inlineStr">
        <is>
          <t>加3种及以上</t>
        </is>
      </c>
      <c r="W243" s="186" t="inlineStr">
        <is>
          <t>Baseline vs Maintenance</t>
        </is>
      </c>
    </row>
    <row r="244" ht="15" customHeight="1" s="176">
      <c r="A244" s="186" t="inlineStr">
        <is>
          <t>K411</t>
        </is>
      </c>
      <c r="B244" s="186" t="inlineStr">
        <is>
          <t>051-滚雪球</t>
        </is>
      </c>
      <c r="C244" s="186" t="inlineStr">
        <is>
          <t>Ned</t>
        </is>
      </c>
      <c r="D244" s="187" t="inlineStr">
        <is>
          <t>干预</t>
        </is>
      </c>
      <c r="E244" s="186" t="inlineStr">
        <is>
          <t>9–12岁</t>
        </is>
      </c>
      <c r="F244" s="187" t="inlineStr">
        <is>
          <t>男</t>
        </is>
      </c>
      <c r="G244" s="188" t="inlineStr">
        <is>
          <t>不纳入该变量（原文未报告）</t>
        </is>
      </c>
      <c r="H244" s="187" t="inlineStr">
        <is>
          <t>同伴儿童+动画角色</t>
        </is>
      </c>
      <c r="I244" s="187" t="inlineStr">
        <is>
          <t>嵌入综合干预方案</t>
        </is>
      </c>
      <c r="J244" s="187" t="inlineStr">
        <is>
          <t>电脑</t>
        </is>
      </c>
      <c r="K244" s="186" t="inlineStr">
        <is>
          <t>11～60分钟</t>
        </is>
      </c>
      <c r="L244" s="187" t="inlineStr">
        <is>
          <t>教室</t>
        </is>
      </c>
      <c r="M244" s="187" t="inlineStr">
        <is>
          <t>研究人员</t>
        </is>
      </c>
      <c r="N244" s="186" t="n"/>
      <c r="O244" s="186" t="inlineStr">
        <is>
          <t>11.00岁</t>
        </is>
      </c>
      <c r="P244" s="187" t="inlineStr">
        <is>
          <t>每次30分钟</t>
        </is>
      </c>
      <c r="Q244" s="187" t="inlineStr">
        <is>
          <t>演练、现场示范、提示、强化</t>
        </is>
      </c>
      <c r="R244" s="187" t="inlineStr">
        <is>
          <t>同伴儿童 + 动画角色</t>
        </is>
      </c>
      <c r="S244" s="187" t="inlineStr">
        <is>
          <t>电脑</t>
        </is>
      </c>
      <c r="T244" s="187" t="inlineStr">
        <is>
          <t>研究人员</t>
        </is>
      </c>
      <c r="U244" s="187" t="inlineStr">
        <is>
          <t>学校</t>
        </is>
      </c>
      <c r="V244" s="187" t="inlineStr">
        <is>
          <t>加3种及以上</t>
        </is>
      </c>
      <c r="W244" s="186" t="inlineStr">
        <is>
          <t>Baseline vs Intervention（L1–L5 合并）</t>
        </is>
      </c>
    </row>
    <row r="245" ht="15" customHeight="1" s="176">
      <c r="A245" s="186" t="inlineStr">
        <is>
          <t>K412</t>
        </is>
      </c>
      <c r="B245" s="186" t="inlineStr">
        <is>
          <t>051-滚雪球</t>
        </is>
      </c>
      <c r="C245" s="186" t="inlineStr">
        <is>
          <t>Ned</t>
        </is>
      </c>
      <c r="D245" s="187" t="inlineStr">
        <is>
          <t>维持</t>
        </is>
      </c>
      <c r="E245" s="186" t="inlineStr">
        <is>
          <t>9–12岁</t>
        </is>
      </c>
      <c r="F245" s="187" t="inlineStr">
        <is>
          <t>男</t>
        </is>
      </c>
      <c r="G245" s="188" t="inlineStr">
        <is>
          <t>不纳入该变量（原文未报告）</t>
        </is>
      </c>
      <c r="H245" s="187" t="inlineStr">
        <is>
          <t>同伴儿童+动画角色</t>
        </is>
      </c>
      <c r="I245" s="187" t="inlineStr">
        <is>
          <t>嵌入综合干预方案</t>
        </is>
      </c>
      <c r="J245" s="187" t="inlineStr">
        <is>
          <t>电脑</t>
        </is>
      </c>
      <c r="K245" s="186" t="inlineStr">
        <is>
          <t>11～60分钟</t>
        </is>
      </c>
      <c r="L245" s="187" t="inlineStr">
        <is>
          <t>教室</t>
        </is>
      </c>
      <c r="M245" s="187" t="inlineStr">
        <is>
          <t>研究人员</t>
        </is>
      </c>
      <c r="N245" s="186" t="n"/>
      <c r="O245" s="186" t="inlineStr">
        <is>
          <t>11.00岁</t>
        </is>
      </c>
      <c r="P245" s="187" t="inlineStr">
        <is>
          <t>每次30分钟</t>
        </is>
      </c>
      <c r="Q245" s="187" t="inlineStr">
        <is>
          <t>演练、现场示范、提示、强化</t>
        </is>
      </c>
      <c r="R245" s="187" t="inlineStr">
        <is>
          <t>同伴儿童 + 动画角色</t>
        </is>
      </c>
      <c r="S245" s="187" t="inlineStr">
        <is>
          <t>电脑</t>
        </is>
      </c>
      <c r="T245" s="187" t="inlineStr">
        <is>
          <t>研究人员</t>
        </is>
      </c>
      <c r="U245" s="187" t="inlineStr">
        <is>
          <t>学校</t>
        </is>
      </c>
      <c r="V245" s="187" t="inlineStr">
        <is>
          <t>加3种及以上</t>
        </is>
      </c>
      <c r="W245" s="186" t="inlineStr">
        <is>
          <t>Baseline vs Maintenance</t>
        </is>
      </c>
    </row>
    <row r="246" ht="15" customHeight="1" s="176">
      <c r="A246" s="186" t="inlineStr">
        <is>
          <t>K413</t>
        </is>
      </c>
      <c r="B246" s="186" t="inlineStr">
        <is>
          <t>051-滚雪球</t>
        </is>
      </c>
      <c r="C246" s="186" t="inlineStr">
        <is>
          <t>Suzy</t>
        </is>
      </c>
      <c r="D246" s="187" t="inlineStr">
        <is>
          <t>干预</t>
        </is>
      </c>
      <c r="E246" s="186" t="inlineStr">
        <is>
          <t>9–12岁</t>
        </is>
      </c>
      <c r="F246" s="187" t="inlineStr">
        <is>
          <t>女</t>
        </is>
      </c>
      <c r="G246" s="188" t="inlineStr">
        <is>
          <t>不纳入该变量（原文未报告）</t>
        </is>
      </c>
      <c r="H246" s="187" t="inlineStr">
        <is>
          <t>同伴儿童+动画角色</t>
        </is>
      </c>
      <c r="I246" s="187" t="inlineStr">
        <is>
          <t>嵌入综合干预方案</t>
        </is>
      </c>
      <c r="J246" s="187" t="inlineStr">
        <is>
          <t>电脑</t>
        </is>
      </c>
      <c r="K246" s="186" t="inlineStr">
        <is>
          <t>11～60分钟</t>
        </is>
      </c>
      <c r="L246" s="187" t="inlineStr">
        <is>
          <t>教室</t>
        </is>
      </c>
      <c r="M246" s="187" t="inlineStr">
        <is>
          <t>研究人员</t>
        </is>
      </c>
      <c r="N246" s="186" t="n"/>
      <c r="O246" s="186" t="inlineStr">
        <is>
          <t>12.00岁</t>
        </is>
      </c>
      <c r="P246" s="187" t="inlineStr">
        <is>
          <t>每次30分钟</t>
        </is>
      </c>
      <c r="Q246" s="187" t="inlineStr">
        <is>
          <t>演练、现场示范、提示、强化</t>
        </is>
      </c>
      <c r="R246" s="187" t="inlineStr">
        <is>
          <t>同伴儿童 + 动画角色</t>
        </is>
      </c>
      <c r="S246" s="187" t="inlineStr">
        <is>
          <t>电脑</t>
        </is>
      </c>
      <c r="T246" s="187" t="inlineStr">
        <is>
          <t>研究人员</t>
        </is>
      </c>
      <c r="U246" s="187" t="inlineStr">
        <is>
          <t>学校</t>
        </is>
      </c>
      <c r="V246" s="187" t="inlineStr">
        <is>
          <t>加3种及以上</t>
        </is>
      </c>
      <c r="W246" s="186" t="inlineStr">
        <is>
          <t>Baseline vs Intervention（L1–L5 合并）</t>
        </is>
      </c>
    </row>
    <row r="247" ht="15" customHeight="1" s="176">
      <c r="A247" s="186" t="inlineStr">
        <is>
          <t>K414</t>
        </is>
      </c>
      <c r="B247" s="186" t="inlineStr">
        <is>
          <t>051-滚雪球</t>
        </is>
      </c>
      <c r="C247" s="186" t="inlineStr">
        <is>
          <t>Suzy</t>
        </is>
      </c>
      <c r="D247" s="187" t="inlineStr">
        <is>
          <t>维持</t>
        </is>
      </c>
      <c r="E247" s="186" t="inlineStr">
        <is>
          <t>9–12岁</t>
        </is>
      </c>
      <c r="F247" s="187" t="inlineStr">
        <is>
          <t>女</t>
        </is>
      </c>
      <c r="G247" s="188" t="inlineStr">
        <is>
          <t>不纳入该变量（原文未报告）</t>
        </is>
      </c>
      <c r="H247" s="187" t="inlineStr">
        <is>
          <t>同伴儿童+动画角色</t>
        </is>
      </c>
      <c r="I247" s="187" t="inlineStr">
        <is>
          <t>嵌入综合干预方案</t>
        </is>
      </c>
      <c r="J247" s="187" t="inlineStr">
        <is>
          <t>电脑</t>
        </is>
      </c>
      <c r="K247" s="186" t="inlineStr">
        <is>
          <t>11～60分钟</t>
        </is>
      </c>
      <c r="L247" s="187" t="inlineStr">
        <is>
          <t>教室</t>
        </is>
      </c>
      <c r="M247" s="187" t="inlineStr">
        <is>
          <t>研究人员</t>
        </is>
      </c>
      <c r="N247" s="186" t="n"/>
      <c r="O247" s="186" t="inlineStr">
        <is>
          <t>12.00岁</t>
        </is>
      </c>
      <c r="P247" s="187" t="inlineStr">
        <is>
          <t>每次30分钟</t>
        </is>
      </c>
      <c r="Q247" s="187" t="inlineStr">
        <is>
          <t>演练、现场示范、提示、强化</t>
        </is>
      </c>
      <c r="R247" s="187" t="inlineStr">
        <is>
          <t>同伴儿童 + 动画角色</t>
        </is>
      </c>
      <c r="S247" s="187" t="inlineStr">
        <is>
          <t>电脑</t>
        </is>
      </c>
      <c r="T247" s="187" t="inlineStr">
        <is>
          <t>研究人员</t>
        </is>
      </c>
      <c r="U247" s="187" t="inlineStr">
        <is>
          <t>学校</t>
        </is>
      </c>
      <c r="V247" s="187" t="inlineStr">
        <is>
          <t>加3种及以上</t>
        </is>
      </c>
      <c r="W247" s="186" t="inlineStr">
        <is>
          <t>Baseline vs Maintenance</t>
        </is>
      </c>
    </row>
    <row r="248" ht="15" customHeight="1" s="176">
      <c r="A248" s="186" t="inlineStr">
        <is>
          <t>K415</t>
        </is>
      </c>
      <c r="B248" s="186" t="inlineStr">
        <is>
          <t>051-滚雪球</t>
        </is>
      </c>
      <c r="C248" s="186" t="inlineStr">
        <is>
          <t>Suzy</t>
        </is>
      </c>
      <c r="D248" s="187" t="inlineStr">
        <is>
          <t>干预</t>
        </is>
      </c>
      <c r="E248" s="186" t="inlineStr">
        <is>
          <t>9–12岁</t>
        </is>
      </c>
      <c r="F248" s="187" t="inlineStr">
        <is>
          <t>女</t>
        </is>
      </c>
      <c r="G248" s="188" t="inlineStr">
        <is>
          <t>不纳入该变量（原文未报告）</t>
        </is>
      </c>
      <c r="H248" s="187" t="inlineStr">
        <is>
          <t>同伴儿童+动画角色</t>
        </is>
      </c>
      <c r="I248" s="187" t="inlineStr">
        <is>
          <t>嵌入综合干预方案</t>
        </is>
      </c>
      <c r="J248" s="187" t="inlineStr">
        <is>
          <t>电脑</t>
        </is>
      </c>
      <c r="K248" s="186" t="inlineStr">
        <is>
          <t>11～60分钟</t>
        </is>
      </c>
      <c r="L248" s="187" t="inlineStr">
        <is>
          <t>教室</t>
        </is>
      </c>
      <c r="M248" s="187" t="inlineStr">
        <is>
          <t>研究人员</t>
        </is>
      </c>
      <c r="N248" s="186" t="n"/>
      <c r="O248" s="186" t="inlineStr">
        <is>
          <t>12.00岁</t>
        </is>
      </c>
      <c r="P248" s="187" t="inlineStr">
        <is>
          <t>每次30分钟</t>
        </is>
      </c>
      <c r="Q248" s="187" t="inlineStr">
        <is>
          <t>演练、现场示范、提示、强化</t>
        </is>
      </c>
      <c r="R248" s="187" t="inlineStr">
        <is>
          <t>同伴儿童 + 动画角色</t>
        </is>
      </c>
      <c r="S248" s="187" t="inlineStr">
        <is>
          <t>电脑</t>
        </is>
      </c>
      <c r="T248" s="187" t="inlineStr">
        <is>
          <t>研究人员</t>
        </is>
      </c>
      <c r="U248" s="187" t="inlineStr">
        <is>
          <t>学校</t>
        </is>
      </c>
      <c r="V248" s="187" t="inlineStr">
        <is>
          <t>加3种及以上</t>
        </is>
      </c>
      <c r="W248" s="186" t="inlineStr">
        <is>
          <t>Baseline vs Intervention（L1–L5 合并）</t>
        </is>
      </c>
    </row>
    <row r="249" ht="15" customHeight="1" s="176">
      <c r="A249" s="186" t="inlineStr">
        <is>
          <t>K416</t>
        </is>
      </c>
      <c r="B249" s="186" t="inlineStr">
        <is>
          <t>051-滚雪球</t>
        </is>
      </c>
      <c r="C249" s="186" t="inlineStr">
        <is>
          <t>Suzy</t>
        </is>
      </c>
      <c r="D249" s="187" t="inlineStr">
        <is>
          <t>维持</t>
        </is>
      </c>
      <c r="E249" s="186" t="inlineStr">
        <is>
          <t>9–12岁</t>
        </is>
      </c>
      <c r="F249" s="187" t="inlineStr">
        <is>
          <t>女</t>
        </is>
      </c>
      <c r="G249" s="188" t="inlineStr">
        <is>
          <t>不纳入该变量（原文未报告）</t>
        </is>
      </c>
      <c r="H249" s="187" t="inlineStr">
        <is>
          <t>同伴儿童+动画角色</t>
        </is>
      </c>
      <c r="I249" s="187" t="inlineStr">
        <is>
          <t>嵌入综合干预方案</t>
        </is>
      </c>
      <c r="J249" s="187" t="inlineStr">
        <is>
          <t>电脑</t>
        </is>
      </c>
      <c r="K249" s="186" t="inlineStr">
        <is>
          <t>11～60分钟</t>
        </is>
      </c>
      <c r="L249" s="187" t="inlineStr">
        <is>
          <t>教室</t>
        </is>
      </c>
      <c r="M249" s="187" t="inlineStr">
        <is>
          <t>研究人员</t>
        </is>
      </c>
      <c r="N249" s="186" t="n"/>
      <c r="O249" s="186" t="inlineStr">
        <is>
          <t>12.00岁</t>
        </is>
      </c>
      <c r="P249" s="187" t="inlineStr">
        <is>
          <t>每次30分钟</t>
        </is>
      </c>
      <c r="Q249" s="187" t="inlineStr">
        <is>
          <t>演练、现场示范、提示、强化</t>
        </is>
      </c>
      <c r="R249" s="187" t="inlineStr">
        <is>
          <t>同伴儿童 + 动画角色</t>
        </is>
      </c>
      <c r="S249" s="187" t="inlineStr">
        <is>
          <t>电脑</t>
        </is>
      </c>
      <c r="T249" s="187" t="inlineStr">
        <is>
          <t>研究人员</t>
        </is>
      </c>
      <c r="U249" s="187" t="inlineStr">
        <is>
          <t>学校</t>
        </is>
      </c>
      <c r="V249" s="187" t="inlineStr">
        <is>
          <t>加3种及以上</t>
        </is>
      </c>
      <c r="W249" s="186" t="inlineStr">
        <is>
          <t>Baseline vs Maintenance</t>
        </is>
      </c>
    </row>
    <row r="250" ht="15" customHeight="1" s="176">
      <c r="A250" s="186" t="inlineStr">
        <is>
          <t>K417</t>
        </is>
      </c>
      <c r="B250" s="186" t="inlineStr">
        <is>
          <t>051-滚雪球</t>
        </is>
      </c>
      <c r="C250" s="186" t="inlineStr">
        <is>
          <t>Suzy</t>
        </is>
      </c>
      <c r="D250" s="187" t="inlineStr">
        <is>
          <t>干预</t>
        </is>
      </c>
      <c r="E250" s="186" t="inlineStr">
        <is>
          <t>9–12岁</t>
        </is>
      </c>
      <c r="F250" s="187" t="inlineStr">
        <is>
          <t>女</t>
        </is>
      </c>
      <c r="G250" s="188" t="inlineStr">
        <is>
          <t>不纳入该变量（原文未报告）</t>
        </is>
      </c>
      <c r="H250" s="187" t="inlineStr">
        <is>
          <t>同伴儿童+动画角色</t>
        </is>
      </c>
      <c r="I250" s="187" t="inlineStr">
        <is>
          <t>嵌入综合干预方案</t>
        </is>
      </c>
      <c r="J250" s="187" t="inlineStr">
        <is>
          <t>电脑</t>
        </is>
      </c>
      <c r="K250" s="186" t="inlineStr">
        <is>
          <t>11～60分钟</t>
        </is>
      </c>
      <c r="L250" s="187" t="inlineStr">
        <is>
          <t>教室</t>
        </is>
      </c>
      <c r="M250" s="187" t="inlineStr">
        <is>
          <t>研究人员</t>
        </is>
      </c>
      <c r="N250" s="186" t="n"/>
      <c r="O250" s="186" t="inlineStr">
        <is>
          <t>12.00岁</t>
        </is>
      </c>
      <c r="P250" s="187" t="inlineStr">
        <is>
          <t>每次30分钟</t>
        </is>
      </c>
      <c r="Q250" s="187" t="inlineStr">
        <is>
          <t>演练、现场示范、提示、强化</t>
        </is>
      </c>
      <c r="R250" s="187" t="inlineStr">
        <is>
          <t>同伴儿童 + 动画角色</t>
        </is>
      </c>
      <c r="S250" s="187" t="inlineStr">
        <is>
          <t>电脑</t>
        </is>
      </c>
      <c r="T250" s="187" t="inlineStr">
        <is>
          <t>研究人员</t>
        </is>
      </c>
      <c r="U250" s="187" t="inlineStr">
        <is>
          <t>学校</t>
        </is>
      </c>
      <c r="V250" s="187" t="inlineStr">
        <is>
          <t>加3种及以上</t>
        </is>
      </c>
      <c r="W250" s="186" t="inlineStr">
        <is>
          <t>Baseline vs Intervention（L1–L5 合并）</t>
        </is>
      </c>
    </row>
    <row r="251" ht="15" customHeight="1" s="176">
      <c r="A251" s="186" t="inlineStr">
        <is>
          <t>K418</t>
        </is>
      </c>
      <c r="B251" s="186" t="inlineStr">
        <is>
          <t>051-滚雪球</t>
        </is>
      </c>
      <c r="C251" s="186" t="inlineStr">
        <is>
          <t>Ward</t>
        </is>
      </c>
      <c r="D251" s="187" t="inlineStr">
        <is>
          <t>干预</t>
        </is>
      </c>
      <c r="E251" s="186" t="inlineStr">
        <is>
          <t>9–12岁</t>
        </is>
      </c>
      <c r="F251" s="187" t="inlineStr">
        <is>
          <t>男</t>
        </is>
      </c>
      <c r="G251" s="188" t="inlineStr">
        <is>
          <t>不纳入该变量（原文未报告）</t>
        </is>
      </c>
      <c r="H251" s="187" t="inlineStr">
        <is>
          <t>同伴儿童+动画角色</t>
        </is>
      </c>
      <c r="I251" s="187" t="inlineStr">
        <is>
          <t>嵌入综合干预方案</t>
        </is>
      </c>
      <c r="J251" s="187" t="inlineStr">
        <is>
          <t>电脑</t>
        </is>
      </c>
      <c r="K251" s="186" t="inlineStr">
        <is>
          <t>11～60分钟</t>
        </is>
      </c>
      <c r="L251" s="187" t="inlineStr">
        <is>
          <t>教室</t>
        </is>
      </c>
      <c r="M251" s="187" t="inlineStr">
        <is>
          <t>研究人员</t>
        </is>
      </c>
      <c r="N251" s="186" t="n"/>
      <c r="O251" s="186" t="inlineStr">
        <is>
          <t>12.00岁</t>
        </is>
      </c>
      <c r="P251" s="187" t="inlineStr">
        <is>
          <t>每次30分钟</t>
        </is>
      </c>
      <c r="Q251" s="187" t="inlineStr">
        <is>
          <t>演练、现场示范、提示、强化</t>
        </is>
      </c>
      <c r="R251" s="187" t="inlineStr">
        <is>
          <t>同伴儿童 + 动画角色</t>
        </is>
      </c>
      <c r="S251" s="187" t="inlineStr">
        <is>
          <t>电脑</t>
        </is>
      </c>
      <c r="T251" s="187" t="inlineStr">
        <is>
          <t>研究人员</t>
        </is>
      </c>
      <c r="U251" s="187" t="inlineStr">
        <is>
          <t>学校</t>
        </is>
      </c>
      <c r="V251" s="187" t="inlineStr">
        <is>
          <t>加3种及以上</t>
        </is>
      </c>
      <c r="W251" s="186" t="inlineStr">
        <is>
          <t>Baseline vs Intervention（L1–L5 合并）</t>
        </is>
      </c>
    </row>
    <row r="252" ht="15" customHeight="1" s="176">
      <c r="A252" s="186" t="inlineStr">
        <is>
          <t>K419</t>
        </is>
      </c>
      <c r="B252" s="186" t="inlineStr">
        <is>
          <t>051-滚雪球</t>
        </is>
      </c>
      <c r="C252" s="186" t="inlineStr">
        <is>
          <t>Ward</t>
        </is>
      </c>
      <c r="D252" s="187" t="inlineStr">
        <is>
          <t>维持</t>
        </is>
      </c>
      <c r="E252" s="186" t="inlineStr">
        <is>
          <t>9–12岁</t>
        </is>
      </c>
      <c r="F252" s="187" t="inlineStr">
        <is>
          <t>男</t>
        </is>
      </c>
      <c r="G252" s="188" t="inlineStr">
        <is>
          <t>不纳入该变量（原文未报告）</t>
        </is>
      </c>
      <c r="H252" s="187" t="inlineStr">
        <is>
          <t>同伴儿童+动画角色</t>
        </is>
      </c>
      <c r="I252" s="187" t="inlineStr">
        <is>
          <t>嵌入综合干预方案</t>
        </is>
      </c>
      <c r="J252" s="187" t="inlineStr">
        <is>
          <t>电脑</t>
        </is>
      </c>
      <c r="K252" s="186" t="inlineStr">
        <is>
          <t>11～60分钟</t>
        </is>
      </c>
      <c r="L252" s="187" t="inlineStr">
        <is>
          <t>教室</t>
        </is>
      </c>
      <c r="M252" s="187" t="inlineStr">
        <is>
          <t>研究人员</t>
        </is>
      </c>
      <c r="N252" s="186" t="n"/>
      <c r="O252" s="186" t="inlineStr">
        <is>
          <t>12.00岁</t>
        </is>
      </c>
      <c r="P252" s="187" t="inlineStr">
        <is>
          <t>每次30分钟</t>
        </is>
      </c>
      <c r="Q252" s="187" t="inlineStr">
        <is>
          <t>演练、现场示范、提示、强化</t>
        </is>
      </c>
      <c r="R252" s="187" t="inlineStr">
        <is>
          <t>同伴儿童 + 动画角色</t>
        </is>
      </c>
      <c r="S252" s="187" t="inlineStr">
        <is>
          <t>电脑</t>
        </is>
      </c>
      <c r="T252" s="187" t="inlineStr">
        <is>
          <t>研究人员</t>
        </is>
      </c>
      <c r="U252" s="187" t="inlineStr">
        <is>
          <t>学校</t>
        </is>
      </c>
      <c r="V252" s="187" t="inlineStr">
        <is>
          <t>加3种及以上</t>
        </is>
      </c>
      <c r="W252" s="186" t="inlineStr">
        <is>
          <t>Baseline vs Maintenance</t>
        </is>
      </c>
    </row>
    <row r="253" ht="15" customHeight="1" s="176">
      <c r="A253" s="186" t="inlineStr">
        <is>
          <t>K420</t>
        </is>
      </c>
      <c r="B253" s="186" t="inlineStr">
        <is>
          <t>051-滚雪球</t>
        </is>
      </c>
      <c r="C253" s="186" t="inlineStr">
        <is>
          <t>Ward</t>
        </is>
      </c>
      <c r="D253" s="187" t="inlineStr">
        <is>
          <t>干预</t>
        </is>
      </c>
      <c r="E253" s="186" t="inlineStr">
        <is>
          <t>9–12岁</t>
        </is>
      </c>
      <c r="F253" s="187" t="inlineStr">
        <is>
          <t>男</t>
        </is>
      </c>
      <c r="G253" s="188" t="inlineStr">
        <is>
          <t>不纳入该变量（原文未报告）</t>
        </is>
      </c>
      <c r="H253" s="187" t="inlineStr">
        <is>
          <t>同伴儿童+动画角色</t>
        </is>
      </c>
      <c r="I253" s="187" t="inlineStr">
        <is>
          <t>嵌入综合干预方案</t>
        </is>
      </c>
      <c r="J253" s="187" t="inlineStr">
        <is>
          <t>电脑</t>
        </is>
      </c>
      <c r="K253" s="186" t="inlineStr">
        <is>
          <t>11～60分钟</t>
        </is>
      </c>
      <c r="L253" s="187" t="inlineStr">
        <is>
          <t>教室</t>
        </is>
      </c>
      <c r="M253" s="187" t="inlineStr">
        <is>
          <t>研究人员</t>
        </is>
      </c>
      <c r="N253" s="186" t="n"/>
      <c r="O253" s="186" t="inlineStr">
        <is>
          <t>12.00岁</t>
        </is>
      </c>
      <c r="P253" s="187" t="inlineStr">
        <is>
          <t>每次30分钟</t>
        </is>
      </c>
      <c r="Q253" s="187" t="inlineStr">
        <is>
          <t>演练、现场示范、提示、强化</t>
        </is>
      </c>
      <c r="R253" s="187" t="inlineStr">
        <is>
          <t>同伴儿童 + 动画角色</t>
        </is>
      </c>
      <c r="S253" s="187" t="inlineStr">
        <is>
          <t>电脑</t>
        </is>
      </c>
      <c r="T253" s="187" t="inlineStr">
        <is>
          <t>研究人员</t>
        </is>
      </c>
      <c r="U253" s="187" t="inlineStr">
        <is>
          <t>学校</t>
        </is>
      </c>
      <c r="V253" s="187" t="inlineStr">
        <is>
          <t>加3种及以上</t>
        </is>
      </c>
      <c r="W253" s="186" t="inlineStr">
        <is>
          <t>Baseline vs Intervention（L1–L5 合并）</t>
        </is>
      </c>
    </row>
    <row r="254" ht="15" customHeight="1" s="176">
      <c r="A254" s="186" t="inlineStr">
        <is>
          <t>K421</t>
        </is>
      </c>
      <c r="B254" s="186" t="inlineStr">
        <is>
          <t>051-滚雪球</t>
        </is>
      </c>
      <c r="C254" s="186" t="inlineStr">
        <is>
          <t>Ward</t>
        </is>
      </c>
      <c r="D254" s="187" t="inlineStr">
        <is>
          <t>维持</t>
        </is>
      </c>
      <c r="E254" s="186" t="inlineStr">
        <is>
          <t>9–12岁</t>
        </is>
      </c>
      <c r="F254" s="187" t="inlineStr">
        <is>
          <t>男</t>
        </is>
      </c>
      <c r="G254" s="188" t="inlineStr">
        <is>
          <t>不纳入该变量（原文未报告）</t>
        </is>
      </c>
      <c r="H254" s="187" t="inlineStr">
        <is>
          <t>同伴儿童+动画角色</t>
        </is>
      </c>
      <c r="I254" s="187" t="inlineStr">
        <is>
          <t>嵌入综合干预方案</t>
        </is>
      </c>
      <c r="J254" s="187" t="inlineStr">
        <is>
          <t>电脑</t>
        </is>
      </c>
      <c r="K254" s="186" t="inlineStr">
        <is>
          <t>11～60分钟</t>
        </is>
      </c>
      <c r="L254" s="187" t="inlineStr">
        <is>
          <t>教室</t>
        </is>
      </c>
      <c r="M254" s="187" t="inlineStr">
        <is>
          <t>研究人员</t>
        </is>
      </c>
      <c r="N254" s="186" t="n"/>
      <c r="O254" s="186" t="inlineStr">
        <is>
          <t>12.00岁</t>
        </is>
      </c>
      <c r="P254" s="187" t="inlineStr">
        <is>
          <t>每次30分钟</t>
        </is>
      </c>
      <c r="Q254" s="187" t="inlineStr">
        <is>
          <t>演练、现场示范、提示、强化</t>
        </is>
      </c>
      <c r="R254" s="187" t="inlineStr">
        <is>
          <t>同伴儿童 + 动画角色</t>
        </is>
      </c>
      <c r="S254" s="187" t="inlineStr">
        <is>
          <t>电脑</t>
        </is>
      </c>
      <c r="T254" s="187" t="inlineStr">
        <is>
          <t>研究人员</t>
        </is>
      </c>
      <c r="U254" s="187" t="inlineStr">
        <is>
          <t>学校</t>
        </is>
      </c>
      <c r="V254" s="187" t="inlineStr">
        <is>
          <t>加3种及以上</t>
        </is>
      </c>
      <c r="W254" s="186" t="inlineStr">
        <is>
          <t>Baseline vs Maintenance</t>
        </is>
      </c>
    </row>
    <row r="255" ht="15" customHeight="1" s="176">
      <c r="A255" s="186" t="inlineStr">
        <is>
          <t>K422</t>
        </is>
      </c>
      <c r="B255" s="186" t="inlineStr">
        <is>
          <t>051-滚雪球</t>
        </is>
      </c>
      <c r="C255" s="186" t="inlineStr">
        <is>
          <t>Ward</t>
        </is>
      </c>
      <c r="D255" s="187" t="inlineStr">
        <is>
          <t>干预</t>
        </is>
      </c>
      <c r="E255" s="186" t="inlineStr">
        <is>
          <t>9–12岁</t>
        </is>
      </c>
      <c r="F255" s="187" t="inlineStr">
        <is>
          <t>男</t>
        </is>
      </c>
      <c r="G255" s="188" t="inlineStr">
        <is>
          <t>不纳入该变量（原文未报告）</t>
        </is>
      </c>
      <c r="H255" s="187" t="inlineStr">
        <is>
          <t>同伴儿童+动画角色</t>
        </is>
      </c>
      <c r="I255" s="187" t="inlineStr">
        <is>
          <t>嵌入综合干预方案</t>
        </is>
      </c>
      <c r="J255" s="187" t="inlineStr">
        <is>
          <t>电脑</t>
        </is>
      </c>
      <c r="K255" s="186" t="inlineStr">
        <is>
          <t>11～60分钟</t>
        </is>
      </c>
      <c r="L255" s="187" t="inlineStr">
        <is>
          <t>教室</t>
        </is>
      </c>
      <c r="M255" s="187" t="inlineStr">
        <is>
          <t>研究人员</t>
        </is>
      </c>
      <c r="N255" s="186" t="n"/>
      <c r="O255" s="186" t="inlineStr">
        <is>
          <t>12.00岁</t>
        </is>
      </c>
      <c r="P255" s="187" t="inlineStr">
        <is>
          <t>每次30分钟</t>
        </is>
      </c>
      <c r="Q255" s="187" t="inlineStr">
        <is>
          <t>演练、现场示范、提示、强化</t>
        </is>
      </c>
      <c r="R255" s="187" t="inlineStr">
        <is>
          <t>同伴儿童 + 动画角色</t>
        </is>
      </c>
      <c r="S255" s="187" t="inlineStr">
        <is>
          <t>电脑</t>
        </is>
      </c>
      <c r="T255" s="187" t="inlineStr">
        <is>
          <t>研究人员</t>
        </is>
      </c>
      <c r="U255" s="187" t="inlineStr">
        <is>
          <t>学校</t>
        </is>
      </c>
      <c r="V255" s="187" t="inlineStr">
        <is>
          <t>加3种及以上</t>
        </is>
      </c>
      <c r="W255" s="186" t="inlineStr">
        <is>
          <t>Baseline vs Intervention（L1–L5 合并）</t>
        </is>
      </c>
    </row>
    <row r="256" ht="15" customHeight="1" s="176">
      <c r="A256" s="186" t="inlineStr">
        <is>
          <t>K423</t>
        </is>
      </c>
      <c r="B256" s="186" t="inlineStr">
        <is>
          <t>052-二次</t>
        </is>
      </c>
      <c r="C256" s="186" t="inlineStr">
        <is>
          <t>P1 Participant 1</t>
        </is>
      </c>
      <c r="D256" s="187" t="inlineStr">
        <is>
          <t>干预</t>
        </is>
      </c>
      <c r="E256" s="186" t="inlineStr">
        <is>
          <t>6岁以下</t>
        </is>
      </c>
      <c r="F256" s="187" t="inlineStr">
        <is>
          <t>男</t>
        </is>
      </c>
      <c r="G256" s="188" t="inlineStr">
        <is>
          <t>不纳入该变量（原文未报告）</t>
        </is>
      </c>
      <c r="H256" s="187" t="inlineStr">
        <is>
          <t>儿童本人</t>
        </is>
      </c>
      <c r="I256" s="187" t="inlineStr">
        <is>
          <t>单独实施</t>
        </is>
      </c>
      <c r="J256" s="187" t="inlineStr">
        <is>
          <t>电视</t>
        </is>
      </c>
      <c r="K256" s="186" t="inlineStr">
        <is>
          <t>10分钟及以下</t>
        </is>
      </c>
      <c r="L256" s="187" t="inlineStr">
        <is>
          <t>家庭社区</t>
        </is>
      </c>
      <c r="M256" s="187" t="inlineStr">
        <is>
          <t>家长</t>
        </is>
      </c>
      <c r="N256" s="190" t="inlineStr">
        <is>
          <t>干预地点回原文补齐；干预者回原文补齐
视频设备依据：年份推定（原文播放终端未明确，按确认方案归组）</t>
        </is>
      </c>
      <c r="O256" s="186" t="inlineStr">
        <is>
          <t>5.50岁</t>
        </is>
      </c>
      <c r="P256" s="187" t="inlineStr">
        <is>
          <t>约5分钟（干预只是看视频）</t>
        </is>
      </c>
      <c r="Q256" s="187" t="inlineStr">
        <is>
          <t>无</t>
        </is>
      </c>
      <c r="R256" s="187" t="inlineStr">
        <is>
          <t>儿童本人</t>
        </is>
      </c>
      <c r="S256" s="187" t="inlineStr">
        <is>
          <t>电视</t>
        </is>
      </c>
      <c r="T256" s="187" t="inlineStr">
        <is>
          <t>缺失</t>
        </is>
      </c>
      <c r="U256" s="187" t="inlineStr">
        <is>
          <t>缺失</t>
        </is>
      </c>
      <c r="V256" s="187" t="inlineStr">
        <is>
          <t>只用视频</t>
        </is>
      </c>
      <c r="W256" s="186" t="inlineStr">
        <is>
          <t>Baseline vs VSM</t>
        </is>
      </c>
    </row>
    <row r="257" ht="15" customHeight="1" s="176">
      <c r="A257" s="186" t="inlineStr">
        <is>
          <t>K424</t>
        </is>
      </c>
      <c r="B257" s="186" t="inlineStr">
        <is>
          <t>052-二次</t>
        </is>
      </c>
      <c r="C257" s="186" t="inlineStr">
        <is>
          <t>P1 Participant 1</t>
        </is>
      </c>
      <c r="D257" s="187" t="inlineStr">
        <is>
          <t>维持</t>
        </is>
      </c>
      <c r="E257" s="186" t="inlineStr">
        <is>
          <t>6岁以下</t>
        </is>
      </c>
      <c r="F257" s="187" t="inlineStr">
        <is>
          <t>男</t>
        </is>
      </c>
      <c r="G257" s="188" t="inlineStr">
        <is>
          <t>不纳入该变量（原文未报告）</t>
        </is>
      </c>
      <c r="H257" s="187" t="inlineStr">
        <is>
          <t>儿童本人</t>
        </is>
      </c>
      <c r="I257" s="187" t="inlineStr">
        <is>
          <t>单独实施</t>
        </is>
      </c>
      <c r="J257" s="187" t="inlineStr">
        <is>
          <t>电视</t>
        </is>
      </c>
      <c r="K257" s="186" t="inlineStr">
        <is>
          <t>10分钟及以下</t>
        </is>
      </c>
      <c r="L257" s="187" t="inlineStr">
        <is>
          <t>家庭社区</t>
        </is>
      </c>
      <c r="M257" s="187" t="inlineStr">
        <is>
          <t>家长</t>
        </is>
      </c>
      <c r="N257" s="190" t="inlineStr">
        <is>
          <t>干预地点回原文补齐；干预者回原文补齐
视频设备依据：年份推定（原文播放终端未明确，按确认方案归组）</t>
        </is>
      </c>
      <c r="O257" s="186" t="inlineStr">
        <is>
          <t>5.50岁</t>
        </is>
      </c>
      <c r="P257" s="187" t="inlineStr">
        <is>
          <t>约5分钟（干预只是看视频）</t>
        </is>
      </c>
      <c r="Q257" s="187" t="inlineStr">
        <is>
          <t>无</t>
        </is>
      </c>
      <c r="R257" s="187" t="inlineStr">
        <is>
          <t>儿童本人</t>
        </is>
      </c>
      <c r="S257" s="187" t="inlineStr">
        <is>
          <t>电视</t>
        </is>
      </c>
      <c r="T257" s="187" t="inlineStr">
        <is>
          <t>缺失</t>
        </is>
      </c>
      <c r="U257" s="187" t="inlineStr">
        <is>
          <t>缺失</t>
        </is>
      </c>
      <c r="V257" s="187" t="inlineStr">
        <is>
          <t>只用视频</t>
        </is>
      </c>
      <c r="W257" s="186" t="inlineStr">
        <is>
          <t>Baseline vs Maintenance</t>
        </is>
      </c>
    </row>
    <row r="258" ht="15" customHeight="1" s="176">
      <c r="A258" s="186" t="inlineStr">
        <is>
          <t>K425</t>
        </is>
      </c>
      <c r="B258" s="186" t="inlineStr">
        <is>
          <t>052-二次</t>
        </is>
      </c>
      <c r="C258" s="186" t="inlineStr">
        <is>
          <t>P2 Participant 2</t>
        </is>
      </c>
      <c r="D258" s="187" t="inlineStr">
        <is>
          <t>干预</t>
        </is>
      </c>
      <c r="E258" s="186" t="inlineStr">
        <is>
          <t>6岁以下</t>
        </is>
      </c>
      <c r="F258" s="187" t="inlineStr">
        <is>
          <t>男</t>
        </is>
      </c>
      <c r="G258" s="188" t="inlineStr">
        <is>
          <t>不纳入该变量（原文未报告）</t>
        </is>
      </c>
      <c r="H258" s="187" t="inlineStr">
        <is>
          <t>儿童本人</t>
        </is>
      </c>
      <c r="I258" s="187" t="inlineStr">
        <is>
          <t>单独实施</t>
        </is>
      </c>
      <c r="J258" s="187" t="inlineStr">
        <is>
          <t>电视</t>
        </is>
      </c>
      <c r="K258" s="186" t="inlineStr">
        <is>
          <t>10分钟及以下</t>
        </is>
      </c>
      <c r="L258" s="187" t="inlineStr">
        <is>
          <t>家庭社区</t>
        </is>
      </c>
      <c r="M258" s="187" t="inlineStr">
        <is>
          <t>家长</t>
        </is>
      </c>
      <c r="N258" s="190" t="inlineStr">
        <is>
          <t>干预地点回原文补齐；干预者回原文补齐
视频设备依据：年份推定（原文播放终端未明确，按确认方案归组）</t>
        </is>
      </c>
      <c r="O258" s="186" t="inlineStr">
        <is>
          <t>4.50岁</t>
        </is>
      </c>
      <c r="P258" s="187" t="inlineStr">
        <is>
          <t>约5分钟（干预只是看视频）</t>
        </is>
      </c>
      <c r="Q258" s="187" t="inlineStr">
        <is>
          <t>无</t>
        </is>
      </c>
      <c r="R258" s="187" t="inlineStr">
        <is>
          <t>儿童本人</t>
        </is>
      </c>
      <c r="S258" s="187" t="inlineStr">
        <is>
          <t>电视</t>
        </is>
      </c>
      <c r="T258" s="187" t="inlineStr">
        <is>
          <t>缺失</t>
        </is>
      </c>
      <c r="U258" s="187" t="inlineStr">
        <is>
          <t>缺失</t>
        </is>
      </c>
      <c r="V258" s="187" t="inlineStr">
        <is>
          <t>只用视频</t>
        </is>
      </c>
      <c r="W258" s="186" t="inlineStr">
        <is>
          <t>Baseline vs VSM</t>
        </is>
      </c>
    </row>
    <row r="259" ht="15" customHeight="1" s="176">
      <c r="A259" s="186" t="inlineStr">
        <is>
          <t>K426</t>
        </is>
      </c>
      <c r="B259" s="186" t="inlineStr">
        <is>
          <t>052-二次</t>
        </is>
      </c>
      <c r="C259" s="186" t="inlineStr">
        <is>
          <t>P3 Participant 3</t>
        </is>
      </c>
      <c r="D259" s="187" t="inlineStr">
        <is>
          <t>干预</t>
        </is>
      </c>
      <c r="E259" s="186" t="inlineStr">
        <is>
          <t>6岁以下</t>
        </is>
      </c>
      <c r="F259" s="187" t="inlineStr">
        <is>
          <t>男</t>
        </is>
      </c>
      <c r="G259" s="188" t="inlineStr">
        <is>
          <t>不纳入该变量（原文未报告）</t>
        </is>
      </c>
      <c r="H259" s="187" t="inlineStr">
        <is>
          <t>儿童本人</t>
        </is>
      </c>
      <c r="I259" s="187" t="inlineStr">
        <is>
          <t>单独实施</t>
        </is>
      </c>
      <c r="J259" s="187" t="inlineStr">
        <is>
          <t>电视</t>
        </is>
      </c>
      <c r="K259" s="186" t="inlineStr">
        <is>
          <t>10分钟及以下</t>
        </is>
      </c>
      <c r="L259" s="187" t="inlineStr">
        <is>
          <t>家庭社区</t>
        </is>
      </c>
      <c r="M259" s="187" t="inlineStr">
        <is>
          <t>家长</t>
        </is>
      </c>
      <c r="N259" s="190" t="inlineStr">
        <is>
          <t>干预地点回原文补齐；干预者回原文补齐
视频设备依据：年份推定（原文播放终端未明确，按确认方案归组）</t>
        </is>
      </c>
      <c r="O259" s="186" t="inlineStr">
        <is>
          <t>4.00岁</t>
        </is>
      </c>
      <c r="P259" s="187" t="inlineStr">
        <is>
          <t>约5分钟（干预只是看视频）</t>
        </is>
      </c>
      <c r="Q259" s="187" t="inlineStr">
        <is>
          <t>无</t>
        </is>
      </c>
      <c r="R259" s="187" t="inlineStr">
        <is>
          <t>儿童本人</t>
        </is>
      </c>
      <c r="S259" s="187" t="inlineStr">
        <is>
          <t>电视</t>
        </is>
      </c>
      <c r="T259" s="187" t="inlineStr">
        <is>
          <t>缺失</t>
        </is>
      </c>
      <c r="U259" s="187" t="inlineStr">
        <is>
          <t>缺失</t>
        </is>
      </c>
      <c r="V259" s="187" t="inlineStr">
        <is>
          <t>只用视频</t>
        </is>
      </c>
      <c r="W259" s="186" t="inlineStr">
        <is>
          <t>Baseline vs VSM</t>
        </is>
      </c>
    </row>
    <row r="260" ht="15" customHeight="1" s="176">
      <c r="A260" s="186" t="inlineStr">
        <is>
          <t>K427</t>
        </is>
      </c>
      <c r="B260" s="186" t="inlineStr">
        <is>
          <t>052-二次</t>
        </is>
      </c>
      <c r="C260" s="186" t="inlineStr">
        <is>
          <t>P4 Participant 4</t>
        </is>
      </c>
      <c r="D260" s="187" t="inlineStr">
        <is>
          <t>干预</t>
        </is>
      </c>
      <c r="E260" s="186" t="inlineStr">
        <is>
          <t>6岁以下</t>
        </is>
      </c>
      <c r="F260" s="187" t="inlineStr">
        <is>
          <t>男</t>
        </is>
      </c>
      <c r="G260" s="188" t="inlineStr">
        <is>
          <t>不纳入该变量（原文未报告）</t>
        </is>
      </c>
      <c r="H260" s="187" t="inlineStr">
        <is>
          <t>儿童本人</t>
        </is>
      </c>
      <c r="I260" s="187" t="inlineStr">
        <is>
          <t>单独实施</t>
        </is>
      </c>
      <c r="J260" s="187" t="inlineStr">
        <is>
          <t>电视</t>
        </is>
      </c>
      <c r="K260" s="186" t="inlineStr">
        <is>
          <t>10分钟及以下</t>
        </is>
      </c>
      <c r="L260" s="187" t="inlineStr">
        <is>
          <t>家庭社区</t>
        </is>
      </c>
      <c r="M260" s="187" t="inlineStr">
        <is>
          <t>家长</t>
        </is>
      </c>
      <c r="N260" s="190" t="inlineStr">
        <is>
          <t>干预地点回原文补齐；干预者回原文补齐
视频设备依据：年份推定（原文播放终端未明确，按确认方案归组）</t>
        </is>
      </c>
      <c r="O260" s="186" t="inlineStr">
        <is>
          <t>5.00岁</t>
        </is>
      </c>
      <c r="P260" s="187" t="inlineStr">
        <is>
          <t>约5分钟（干预只是看视频）</t>
        </is>
      </c>
      <c r="Q260" s="187" t="inlineStr">
        <is>
          <t>无</t>
        </is>
      </c>
      <c r="R260" s="187" t="inlineStr">
        <is>
          <t>儿童本人</t>
        </is>
      </c>
      <c r="S260" s="187" t="inlineStr">
        <is>
          <t>电视</t>
        </is>
      </c>
      <c r="T260" s="187" t="inlineStr">
        <is>
          <t>缺失</t>
        </is>
      </c>
      <c r="U260" s="187" t="inlineStr">
        <is>
          <t>缺失</t>
        </is>
      </c>
      <c r="V260" s="187" t="inlineStr">
        <is>
          <t>只用视频</t>
        </is>
      </c>
      <c r="W260" s="186" t="inlineStr">
        <is>
          <t>Baseline vs VSM</t>
        </is>
      </c>
    </row>
    <row r="261" ht="15" customHeight="1" s="176">
      <c r="A261" s="186" t="inlineStr">
        <is>
          <t>K428</t>
        </is>
      </c>
      <c r="B261" s="186" t="inlineStr">
        <is>
          <t>055-二次</t>
        </is>
      </c>
      <c r="C261" s="186" t="inlineStr">
        <is>
          <t>Eddie</t>
        </is>
      </c>
      <c r="D261" s="187" t="inlineStr">
        <is>
          <t>干预</t>
        </is>
      </c>
      <c r="E261" s="186" t="inlineStr">
        <is>
          <t>9–12岁</t>
        </is>
      </c>
      <c r="F261" s="187" t="inlineStr">
        <is>
          <t>男</t>
        </is>
      </c>
      <c r="G261" s="188" t="inlineStr">
        <is>
          <t>不纳入该变量（原文未报告）</t>
        </is>
      </c>
      <c r="H261" s="187" t="inlineStr">
        <is>
          <t>成人</t>
        </is>
      </c>
      <c r="I261" s="187" t="inlineStr">
        <is>
          <t>单独实施</t>
        </is>
      </c>
      <c r="J261" s="187" t="inlineStr">
        <is>
          <t>电视</t>
        </is>
      </c>
      <c r="K261" s="186" t="inlineStr">
        <is>
          <t>10分钟及以下</t>
        </is>
      </c>
      <c r="L261" s="187" t="inlineStr">
        <is>
          <t>专用训练空间</t>
        </is>
      </c>
      <c r="M261" s="187" t="inlineStr">
        <is>
          <t>研究人员</t>
        </is>
      </c>
      <c r="N261" s="186" t="n"/>
      <c r="O261" s="186" t="inlineStr">
        <is>
          <t>11.75岁</t>
        </is>
      </c>
      <c r="P261" s="187" t="inlineStr">
        <is>
          <t>每次10分钟游戏</t>
        </is>
      </c>
      <c r="Q261" s="187" t="inlineStr">
        <is>
          <t>无</t>
        </is>
      </c>
      <c r="R261" s="187" t="inlineStr">
        <is>
          <t>成人</t>
        </is>
      </c>
      <c r="S261" s="187" t="inlineStr">
        <is>
          <t>电视</t>
        </is>
      </c>
      <c r="T261" s="187" t="inlineStr">
        <is>
          <t>研究人员</t>
        </is>
      </c>
      <c r="U261" s="187" t="inlineStr">
        <is>
          <t>诊所或治疗项目</t>
        </is>
      </c>
      <c r="V261" s="187" t="inlineStr">
        <is>
          <t>只用视频</t>
        </is>
      </c>
      <c r="W261" s="186" t="inlineStr">
        <is>
          <t>Baseline vs Video Modeling</t>
        </is>
      </c>
    </row>
    <row r="262" ht="15" customHeight="1" s="176">
      <c r="A262" s="186" t="inlineStr">
        <is>
          <t>K429</t>
        </is>
      </c>
      <c r="B262" s="186" t="inlineStr">
        <is>
          <t>055-二次</t>
        </is>
      </c>
      <c r="C262" s="186" t="inlineStr">
        <is>
          <t>Eddie</t>
        </is>
      </c>
      <c r="D262" s="187" t="inlineStr">
        <is>
          <t>干预</t>
        </is>
      </c>
      <c r="E262" s="186" t="inlineStr">
        <is>
          <t>9–12岁</t>
        </is>
      </c>
      <c r="F262" s="187" t="inlineStr">
        <is>
          <t>男</t>
        </is>
      </c>
      <c r="G262" s="188" t="inlineStr">
        <is>
          <t>不纳入该变量（原文未报告）</t>
        </is>
      </c>
      <c r="H262" s="187" t="inlineStr">
        <is>
          <t>成人</t>
        </is>
      </c>
      <c r="I262" s="187" t="inlineStr">
        <is>
          <t>单独实施</t>
        </is>
      </c>
      <c r="J262" s="187" t="inlineStr">
        <is>
          <t>电视</t>
        </is>
      </c>
      <c r="K262" s="186" t="inlineStr">
        <is>
          <t>10分钟及以下</t>
        </is>
      </c>
      <c r="L262" s="187" t="inlineStr">
        <is>
          <t>专用训练空间</t>
        </is>
      </c>
      <c r="M262" s="187" t="inlineStr">
        <is>
          <t>研究人员</t>
        </is>
      </c>
      <c r="N262" s="186" t="n"/>
      <c r="O262" s="186" t="inlineStr">
        <is>
          <t>11.75岁</t>
        </is>
      </c>
      <c r="P262" s="187" t="inlineStr">
        <is>
          <t>每次10分钟游戏</t>
        </is>
      </c>
      <c r="Q262" s="187" t="inlineStr">
        <is>
          <t>无</t>
        </is>
      </c>
      <c r="R262" s="187" t="inlineStr">
        <is>
          <t>成人</t>
        </is>
      </c>
      <c r="S262" s="187" t="inlineStr">
        <is>
          <t>电视</t>
        </is>
      </c>
      <c r="T262" s="187" t="inlineStr">
        <is>
          <t>研究人员</t>
        </is>
      </c>
      <c r="U262" s="187" t="inlineStr">
        <is>
          <t>诊所或治疗项目</t>
        </is>
      </c>
      <c r="V262" s="187" t="inlineStr">
        <is>
          <t>只用视频</t>
        </is>
      </c>
      <c r="W262" s="186" t="inlineStr">
        <is>
          <t>Baseline vs Video Modeling</t>
        </is>
      </c>
    </row>
    <row r="263" ht="15" customHeight="1" s="176">
      <c r="A263" s="186" t="inlineStr">
        <is>
          <t>K430</t>
        </is>
      </c>
      <c r="B263" s="186" t="inlineStr">
        <is>
          <t>055-二次</t>
        </is>
      </c>
      <c r="C263" s="186" t="inlineStr">
        <is>
          <t>Eddie</t>
        </is>
      </c>
      <c r="D263" s="187" t="inlineStr">
        <is>
          <t>干预</t>
        </is>
      </c>
      <c r="E263" s="186" t="inlineStr">
        <is>
          <t>9–12岁</t>
        </is>
      </c>
      <c r="F263" s="187" t="inlineStr">
        <is>
          <t>男</t>
        </is>
      </c>
      <c r="G263" s="188" t="inlineStr">
        <is>
          <t>不纳入该变量（原文未报告）</t>
        </is>
      </c>
      <c r="H263" s="187" t="inlineStr">
        <is>
          <t>成人</t>
        </is>
      </c>
      <c r="I263" s="187" t="inlineStr">
        <is>
          <t>单独实施</t>
        </is>
      </c>
      <c r="J263" s="187" t="inlineStr">
        <is>
          <t>电视</t>
        </is>
      </c>
      <c r="K263" s="186" t="inlineStr">
        <is>
          <t>10分钟及以下</t>
        </is>
      </c>
      <c r="L263" s="187" t="inlineStr">
        <is>
          <t>专用训练空间</t>
        </is>
      </c>
      <c r="M263" s="187" t="inlineStr">
        <is>
          <t>研究人员</t>
        </is>
      </c>
      <c r="N263" s="186" t="n"/>
      <c r="O263" s="186" t="inlineStr">
        <is>
          <t>11.75岁</t>
        </is>
      </c>
      <c r="P263" s="187" t="inlineStr">
        <is>
          <t>每次10分钟游戏</t>
        </is>
      </c>
      <c r="Q263" s="187" t="inlineStr">
        <is>
          <t>无</t>
        </is>
      </c>
      <c r="R263" s="187" t="inlineStr">
        <is>
          <t>成人</t>
        </is>
      </c>
      <c r="S263" s="187" t="inlineStr">
        <is>
          <t>电视</t>
        </is>
      </c>
      <c r="T263" s="187" t="inlineStr">
        <is>
          <t>研究人员</t>
        </is>
      </c>
      <c r="U263" s="187" t="inlineStr">
        <is>
          <t>诊所或治疗项目</t>
        </is>
      </c>
      <c r="V263" s="187" t="inlineStr">
        <is>
          <t>只用视频</t>
        </is>
      </c>
      <c r="W263" s="186" t="inlineStr">
        <is>
          <t>Baseline vs Video Modeling</t>
        </is>
      </c>
    </row>
    <row r="264" ht="57" customHeight="1" s="176">
      <c r="A264" s="186" t="inlineStr">
        <is>
          <t>K431</t>
        </is>
      </c>
      <c r="B264" s="186" t="inlineStr">
        <is>
          <t>055-二次</t>
        </is>
      </c>
      <c r="C264" s="186" t="inlineStr">
        <is>
          <t>Eddie</t>
        </is>
      </c>
      <c r="D264" s="187" t="inlineStr">
        <is>
          <t>干预</t>
        </is>
      </c>
      <c r="E264" s="186" t="inlineStr">
        <is>
          <t>9–12岁</t>
        </is>
      </c>
      <c r="F264" s="187" t="inlineStr">
        <is>
          <t>男</t>
        </is>
      </c>
      <c r="G264" s="188" t="inlineStr">
        <is>
          <t>不纳入该变量（原文未报告）</t>
        </is>
      </c>
      <c r="H264" s="187" t="inlineStr">
        <is>
          <t>成人</t>
        </is>
      </c>
      <c r="I264" s="187" t="inlineStr">
        <is>
          <t>单独实施</t>
        </is>
      </c>
      <c r="J264" s="187" t="inlineStr">
        <is>
          <t>电视</t>
        </is>
      </c>
      <c r="K264" s="186" t="inlineStr">
        <is>
          <t>10分钟及以下</t>
        </is>
      </c>
      <c r="L264" s="187" t="inlineStr">
        <is>
          <t>专用训练空间</t>
        </is>
      </c>
      <c r="M264" s="187" t="inlineStr">
        <is>
          <t>研究人员</t>
        </is>
      </c>
      <c r="N264" s="186" t="n"/>
      <c r="O264" s="186" t="inlineStr">
        <is>
          <t>11.75岁</t>
        </is>
      </c>
      <c r="P264" s="187" t="inlineStr">
        <is>
          <t>每次10分钟游戏</t>
        </is>
      </c>
      <c r="Q264" s="187" t="inlineStr">
        <is>
          <t>无</t>
        </is>
      </c>
      <c r="R264" s="187" t="inlineStr">
        <is>
          <t>成人</t>
        </is>
      </c>
      <c r="S264" s="187" t="inlineStr">
        <is>
          <t>电视</t>
        </is>
      </c>
      <c r="T264" s="187" t="inlineStr">
        <is>
          <t>研究人员</t>
        </is>
      </c>
      <c r="U264" s="187" t="inlineStr">
        <is>
          <t>诊所或治疗项目</t>
        </is>
      </c>
      <c r="V264" s="187" t="inlineStr">
        <is>
          <t>只用视频</t>
        </is>
      </c>
      <c r="W264" s="186" t="inlineStr">
        <is>
          <t>Baseline vs Video Modeling</t>
        </is>
      </c>
    </row>
    <row r="265" ht="57" customHeight="1" s="176">
      <c r="A265" s="186" t="inlineStr">
        <is>
          <t>K432</t>
        </is>
      </c>
      <c r="B265" s="186" t="inlineStr">
        <is>
          <t>055-二次</t>
        </is>
      </c>
      <c r="C265" s="186" t="inlineStr">
        <is>
          <t>Mark</t>
        </is>
      </c>
      <c r="D265" s="187" t="inlineStr">
        <is>
          <t>干预</t>
        </is>
      </c>
      <c r="E265" s="186" t="inlineStr">
        <is>
          <t>6–8岁</t>
        </is>
      </c>
      <c r="F265" s="187" t="inlineStr">
        <is>
          <t>男</t>
        </is>
      </c>
      <c r="G265" s="188" t="inlineStr">
        <is>
          <t>不纳入该变量（原文未报告）</t>
        </is>
      </c>
      <c r="H265" s="187" t="inlineStr">
        <is>
          <t>成人</t>
        </is>
      </c>
      <c r="I265" s="187" t="inlineStr">
        <is>
          <t>单独实施</t>
        </is>
      </c>
      <c r="J265" s="187" t="inlineStr">
        <is>
          <t>电视</t>
        </is>
      </c>
      <c r="K265" s="186" t="inlineStr">
        <is>
          <t>10分钟及以下</t>
        </is>
      </c>
      <c r="L265" s="187" t="inlineStr">
        <is>
          <t>专用训练空间</t>
        </is>
      </c>
      <c r="M265" s="187" t="inlineStr">
        <is>
          <t>研究人员</t>
        </is>
      </c>
      <c r="N265" s="186" t="n"/>
      <c r="O265" s="186" t="inlineStr">
        <is>
          <t>8.42岁</t>
        </is>
      </c>
      <c r="P265" s="187" t="inlineStr">
        <is>
          <t>每次10分钟游戏</t>
        </is>
      </c>
      <c r="Q265" s="187" t="inlineStr">
        <is>
          <t>无</t>
        </is>
      </c>
      <c r="R265" s="187" t="inlineStr">
        <is>
          <t>成人</t>
        </is>
      </c>
      <c r="S265" s="187" t="inlineStr">
        <is>
          <t>电视</t>
        </is>
      </c>
      <c r="T265" s="187" t="inlineStr">
        <is>
          <t>研究人员</t>
        </is>
      </c>
      <c r="U265" s="187" t="inlineStr">
        <is>
          <t>诊所或治疗项目</t>
        </is>
      </c>
      <c r="V265" s="187" t="inlineStr">
        <is>
          <t>只用视频</t>
        </is>
      </c>
      <c r="W265" s="186" t="inlineStr">
        <is>
          <t>Baseline vs Video Modeling</t>
        </is>
      </c>
    </row>
    <row r="266" ht="57" customHeight="1" s="176">
      <c r="A266" s="186" t="inlineStr">
        <is>
          <t>K433</t>
        </is>
      </c>
      <c r="B266" s="186" t="inlineStr">
        <is>
          <t>055-二次</t>
        </is>
      </c>
      <c r="C266" s="186" t="inlineStr">
        <is>
          <t>Mark</t>
        </is>
      </c>
      <c r="D266" s="187" t="inlineStr">
        <is>
          <t>干预</t>
        </is>
      </c>
      <c r="E266" s="186" t="inlineStr">
        <is>
          <t>6–8岁</t>
        </is>
      </c>
      <c r="F266" s="187" t="inlineStr">
        <is>
          <t>男</t>
        </is>
      </c>
      <c r="G266" s="188" t="inlineStr">
        <is>
          <t>不纳入该变量（原文未报告）</t>
        </is>
      </c>
      <c r="H266" s="187" t="inlineStr">
        <is>
          <t>成人</t>
        </is>
      </c>
      <c r="I266" s="187" t="inlineStr">
        <is>
          <t>单独实施</t>
        </is>
      </c>
      <c r="J266" s="187" t="inlineStr">
        <is>
          <t>电视</t>
        </is>
      </c>
      <c r="K266" s="186" t="inlineStr">
        <is>
          <t>10分钟及以下</t>
        </is>
      </c>
      <c r="L266" s="187" t="inlineStr">
        <is>
          <t>专用训练空间</t>
        </is>
      </c>
      <c r="M266" s="187" t="inlineStr">
        <is>
          <t>研究人员</t>
        </is>
      </c>
      <c r="N266" s="186" t="n"/>
      <c r="O266" s="186" t="inlineStr">
        <is>
          <t>8.42岁</t>
        </is>
      </c>
      <c r="P266" s="187" t="inlineStr">
        <is>
          <t>每次10分钟游戏</t>
        </is>
      </c>
      <c r="Q266" s="187" t="inlineStr">
        <is>
          <t>无</t>
        </is>
      </c>
      <c r="R266" s="187" t="inlineStr">
        <is>
          <t>成人</t>
        </is>
      </c>
      <c r="S266" s="187" t="inlineStr">
        <is>
          <t>电视</t>
        </is>
      </c>
      <c r="T266" s="187" t="inlineStr">
        <is>
          <t>研究人员</t>
        </is>
      </c>
      <c r="U266" s="187" t="inlineStr">
        <is>
          <t>诊所或治疗项目</t>
        </is>
      </c>
      <c r="V266" s="187" t="inlineStr">
        <is>
          <t>只用视频</t>
        </is>
      </c>
      <c r="W266" s="186" t="inlineStr">
        <is>
          <t>Baseline vs Video Modeling</t>
        </is>
      </c>
    </row>
    <row r="267" ht="57" customHeight="1" s="176">
      <c r="A267" s="186" t="inlineStr">
        <is>
          <t>K434</t>
        </is>
      </c>
      <c r="B267" s="186" t="inlineStr">
        <is>
          <t>055-二次</t>
        </is>
      </c>
      <c r="C267" s="186" t="inlineStr">
        <is>
          <t>Mark</t>
        </is>
      </c>
      <c r="D267" s="187" t="inlineStr">
        <is>
          <t>干预</t>
        </is>
      </c>
      <c r="E267" s="186" t="inlineStr">
        <is>
          <t>6–8岁</t>
        </is>
      </c>
      <c r="F267" s="187" t="inlineStr">
        <is>
          <t>男</t>
        </is>
      </c>
      <c r="G267" s="188" t="inlineStr">
        <is>
          <t>不纳入该变量（原文未报告）</t>
        </is>
      </c>
      <c r="H267" s="187" t="inlineStr">
        <is>
          <t>成人</t>
        </is>
      </c>
      <c r="I267" s="187" t="inlineStr">
        <is>
          <t>单独实施</t>
        </is>
      </c>
      <c r="J267" s="187" t="inlineStr">
        <is>
          <t>电视</t>
        </is>
      </c>
      <c r="K267" s="186" t="inlineStr">
        <is>
          <t>10分钟及以下</t>
        </is>
      </c>
      <c r="L267" s="187" t="inlineStr">
        <is>
          <t>专用训练空间</t>
        </is>
      </c>
      <c r="M267" s="187" t="inlineStr">
        <is>
          <t>研究人员</t>
        </is>
      </c>
      <c r="N267" s="186" t="n"/>
      <c r="O267" s="186" t="inlineStr">
        <is>
          <t>8.42岁</t>
        </is>
      </c>
      <c r="P267" s="187" t="inlineStr">
        <is>
          <t>每次10分钟游戏</t>
        </is>
      </c>
      <c r="Q267" s="187" t="inlineStr">
        <is>
          <t>无</t>
        </is>
      </c>
      <c r="R267" s="187" t="inlineStr">
        <is>
          <t>成人</t>
        </is>
      </c>
      <c r="S267" s="187" t="inlineStr">
        <is>
          <t>电视</t>
        </is>
      </c>
      <c r="T267" s="187" t="inlineStr">
        <is>
          <t>研究人员</t>
        </is>
      </c>
      <c r="U267" s="187" t="inlineStr">
        <is>
          <t>诊所或治疗项目</t>
        </is>
      </c>
      <c r="V267" s="187" t="inlineStr">
        <is>
          <t>只用视频</t>
        </is>
      </c>
      <c r="W267" s="186" t="inlineStr">
        <is>
          <t>Baseline vs Video Modeling</t>
        </is>
      </c>
    </row>
    <row r="268" ht="57" customHeight="1" s="176">
      <c r="A268" s="186" t="inlineStr">
        <is>
          <t>K435</t>
        </is>
      </c>
      <c r="B268" s="186" t="inlineStr">
        <is>
          <t>055-二次</t>
        </is>
      </c>
      <c r="C268" s="186" t="inlineStr">
        <is>
          <t>Mark</t>
        </is>
      </c>
      <c r="D268" s="187" t="inlineStr">
        <is>
          <t>干预</t>
        </is>
      </c>
      <c r="E268" s="186" t="inlineStr">
        <is>
          <t>6–8岁</t>
        </is>
      </c>
      <c r="F268" s="187" t="inlineStr">
        <is>
          <t>男</t>
        </is>
      </c>
      <c r="G268" s="188" t="inlineStr">
        <is>
          <t>不纳入该变量（原文未报告）</t>
        </is>
      </c>
      <c r="H268" s="187" t="inlineStr">
        <is>
          <t>成人</t>
        </is>
      </c>
      <c r="I268" s="187" t="inlineStr">
        <is>
          <t>单独实施</t>
        </is>
      </c>
      <c r="J268" s="187" t="inlineStr">
        <is>
          <t>电视</t>
        </is>
      </c>
      <c r="K268" s="186" t="inlineStr">
        <is>
          <t>10分钟及以下</t>
        </is>
      </c>
      <c r="L268" s="187" t="inlineStr">
        <is>
          <t>专用训练空间</t>
        </is>
      </c>
      <c r="M268" s="187" t="inlineStr">
        <is>
          <t>研究人员</t>
        </is>
      </c>
      <c r="N268" s="186" t="n"/>
      <c r="O268" s="186" t="inlineStr">
        <is>
          <t>8.42岁</t>
        </is>
      </c>
      <c r="P268" s="187" t="inlineStr">
        <is>
          <t>每次10分钟游戏</t>
        </is>
      </c>
      <c r="Q268" s="187" t="inlineStr">
        <is>
          <t>无</t>
        </is>
      </c>
      <c r="R268" s="187" t="inlineStr">
        <is>
          <t>成人</t>
        </is>
      </c>
      <c r="S268" s="187" t="inlineStr">
        <is>
          <t>电视</t>
        </is>
      </c>
      <c r="T268" s="187" t="inlineStr">
        <is>
          <t>研究人员</t>
        </is>
      </c>
      <c r="U268" s="187" t="inlineStr">
        <is>
          <t>诊所或治疗项目</t>
        </is>
      </c>
      <c r="V268" s="187" t="inlineStr">
        <is>
          <t>只用视频</t>
        </is>
      </c>
      <c r="W268" s="186" t="inlineStr">
        <is>
          <t>Baseline vs Video Modeling</t>
        </is>
      </c>
    </row>
    <row r="269" ht="57" customHeight="1" s="176">
      <c r="A269" s="186" t="inlineStr">
        <is>
          <t>K436</t>
        </is>
      </c>
      <c r="B269" s="186" t="inlineStr">
        <is>
          <t>055-二次</t>
        </is>
      </c>
      <c r="C269" s="186" t="inlineStr">
        <is>
          <t>Terry</t>
        </is>
      </c>
      <c r="D269" s="187" t="inlineStr">
        <is>
          <t>干预</t>
        </is>
      </c>
      <c r="E269" s="186" t="inlineStr">
        <is>
          <t>6–8岁</t>
        </is>
      </c>
      <c r="F269" s="187" t="inlineStr">
        <is>
          <t>男</t>
        </is>
      </c>
      <c r="G269" s="188" t="inlineStr">
        <is>
          <t>不纳入该变量（原文未报告）</t>
        </is>
      </c>
      <c r="H269" s="187" t="inlineStr">
        <is>
          <t>成人</t>
        </is>
      </c>
      <c r="I269" s="187" t="inlineStr">
        <is>
          <t>单独实施</t>
        </is>
      </c>
      <c r="J269" s="187" t="inlineStr">
        <is>
          <t>电视</t>
        </is>
      </c>
      <c r="K269" s="186" t="inlineStr">
        <is>
          <t>10分钟及以下</t>
        </is>
      </c>
      <c r="L269" s="187" t="inlineStr">
        <is>
          <t>专用训练空间</t>
        </is>
      </c>
      <c r="M269" s="187" t="inlineStr">
        <is>
          <t>研究人员</t>
        </is>
      </c>
      <c r="N269" s="186" t="n"/>
      <c r="O269" s="186" t="inlineStr">
        <is>
          <t>7.08岁</t>
        </is>
      </c>
      <c r="P269" s="187" t="inlineStr">
        <is>
          <t>每次10分钟游戏</t>
        </is>
      </c>
      <c r="Q269" s="187" t="inlineStr">
        <is>
          <t>无</t>
        </is>
      </c>
      <c r="R269" s="187" t="inlineStr">
        <is>
          <t>成人</t>
        </is>
      </c>
      <c r="S269" s="187" t="inlineStr">
        <is>
          <t>电视</t>
        </is>
      </c>
      <c r="T269" s="187" t="inlineStr">
        <is>
          <t>研究人员</t>
        </is>
      </c>
      <c r="U269" s="187" t="inlineStr">
        <is>
          <t>诊所或治疗项目</t>
        </is>
      </c>
      <c r="V269" s="187" t="inlineStr">
        <is>
          <t>只用视频</t>
        </is>
      </c>
      <c r="W269" s="186" t="inlineStr">
        <is>
          <t>Baseline vs Video Modeling</t>
        </is>
      </c>
    </row>
    <row r="270" ht="15" customHeight="1" s="176">
      <c r="A270" s="186" t="inlineStr">
        <is>
          <t>K437</t>
        </is>
      </c>
      <c r="B270" s="186" t="inlineStr">
        <is>
          <t>055-二次</t>
        </is>
      </c>
      <c r="C270" s="186" t="inlineStr">
        <is>
          <t>Terry</t>
        </is>
      </c>
      <c r="D270" s="187" t="inlineStr">
        <is>
          <t>干预</t>
        </is>
      </c>
      <c r="E270" s="186" t="inlineStr">
        <is>
          <t>6–8岁</t>
        </is>
      </c>
      <c r="F270" s="187" t="inlineStr">
        <is>
          <t>男</t>
        </is>
      </c>
      <c r="G270" s="188" t="inlineStr">
        <is>
          <t>不纳入该变量（原文未报告）</t>
        </is>
      </c>
      <c r="H270" s="187" t="inlineStr">
        <is>
          <t>成人</t>
        </is>
      </c>
      <c r="I270" s="187" t="inlineStr">
        <is>
          <t>单独实施</t>
        </is>
      </c>
      <c r="J270" s="187" t="inlineStr">
        <is>
          <t>电视</t>
        </is>
      </c>
      <c r="K270" s="186" t="inlineStr">
        <is>
          <t>10分钟及以下</t>
        </is>
      </c>
      <c r="L270" s="187" t="inlineStr">
        <is>
          <t>专用训练空间</t>
        </is>
      </c>
      <c r="M270" s="187" t="inlineStr">
        <is>
          <t>研究人员</t>
        </is>
      </c>
      <c r="N270" s="186" t="n"/>
      <c r="O270" s="186" t="inlineStr">
        <is>
          <t>7.08岁</t>
        </is>
      </c>
      <c r="P270" s="187" t="inlineStr">
        <is>
          <t>每次10分钟游戏</t>
        </is>
      </c>
      <c r="Q270" s="187" t="inlineStr">
        <is>
          <t>无</t>
        </is>
      </c>
      <c r="R270" s="187" t="inlineStr">
        <is>
          <t>成人</t>
        </is>
      </c>
      <c r="S270" s="187" t="inlineStr">
        <is>
          <t>电视</t>
        </is>
      </c>
      <c r="T270" s="187" t="inlineStr">
        <is>
          <t>研究人员</t>
        </is>
      </c>
      <c r="U270" s="187" t="inlineStr">
        <is>
          <t>诊所或治疗项目</t>
        </is>
      </c>
      <c r="V270" s="187" t="inlineStr">
        <is>
          <t>只用视频</t>
        </is>
      </c>
      <c r="W270" s="186" t="inlineStr">
        <is>
          <t>Baseline vs Video Modeling</t>
        </is>
      </c>
    </row>
    <row r="271" ht="15" customHeight="1" s="176">
      <c r="A271" s="186" t="inlineStr">
        <is>
          <t>K438</t>
        </is>
      </c>
      <c r="B271" s="186" t="inlineStr">
        <is>
          <t>055-二次</t>
        </is>
      </c>
      <c r="C271" s="186" t="inlineStr">
        <is>
          <t>Terry</t>
        </is>
      </c>
      <c r="D271" s="187" t="inlineStr">
        <is>
          <t>干预</t>
        </is>
      </c>
      <c r="E271" s="186" t="inlineStr">
        <is>
          <t>6–8岁</t>
        </is>
      </c>
      <c r="F271" s="187" t="inlineStr">
        <is>
          <t>男</t>
        </is>
      </c>
      <c r="G271" s="188" t="inlineStr">
        <is>
          <t>不纳入该变量（原文未报告）</t>
        </is>
      </c>
      <c r="H271" s="187" t="inlineStr">
        <is>
          <t>成人</t>
        </is>
      </c>
      <c r="I271" s="187" t="inlineStr">
        <is>
          <t>单独实施</t>
        </is>
      </c>
      <c r="J271" s="187" t="inlineStr">
        <is>
          <t>电视</t>
        </is>
      </c>
      <c r="K271" s="186" t="inlineStr">
        <is>
          <t>10分钟及以下</t>
        </is>
      </c>
      <c r="L271" s="187" t="inlineStr">
        <is>
          <t>专用训练空间</t>
        </is>
      </c>
      <c r="M271" s="187" t="inlineStr">
        <is>
          <t>研究人员</t>
        </is>
      </c>
      <c r="N271" s="186" t="n"/>
      <c r="O271" s="186" t="inlineStr">
        <is>
          <t>7.08岁</t>
        </is>
      </c>
      <c r="P271" s="187" t="inlineStr">
        <is>
          <t>每次10分钟游戏</t>
        </is>
      </c>
      <c r="Q271" s="187" t="inlineStr">
        <is>
          <t>无</t>
        </is>
      </c>
      <c r="R271" s="187" t="inlineStr">
        <is>
          <t>成人</t>
        </is>
      </c>
      <c r="S271" s="187" t="inlineStr">
        <is>
          <t>电视</t>
        </is>
      </c>
      <c r="T271" s="187" t="inlineStr">
        <is>
          <t>研究人员</t>
        </is>
      </c>
      <c r="U271" s="187" t="inlineStr">
        <is>
          <t>诊所或治疗项目</t>
        </is>
      </c>
      <c r="V271" s="187" t="inlineStr">
        <is>
          <t>只用视频</t>
        </is>
      </c>
      <c r="W271" s="186" t="inlineStr">
        <is>
          <t>Baseline vs Video Modeling</t>
        </is>
      </c>
    </row>
    <row r="272" ht="15" customHeight="1" s="176">
      <c r="A272" s="186" t="inlineStr">
        <is>
          <t>K439</t>
        </is>
      </c>
      <c r="B272" s="186" t="inlineStr">
        <is>
          <t>055-二次</t>
        </is>
      </c>
      <c r="C272" s="186" t="inlineStr">
        <is>
          <t>Terry</t>
        </is>
      </c>
      <c r="D272" s="187" t="inlineStr">
        <is>
          <t>干预</t>
        </is>
      </c>
      <c r="E272" s="186" t="inlineStr">
        <is>
          <t>6–8岁</t>
        </is>
      </c>
      <c r="F272" s="187" t="inlineStr">
        <is>
          <t>男</t>
        </is>
      </c>
      <c r="G272" s="188" t="inlineStr">
        <is>
          <t>不纳入该变量（原文未报告）</t>
        </is>
      </c>
      <c r="H272" s="187" t="inlineStr">
        <is>
          <t>成人</t>
        </is>
      </c>
      <c r="I272" s="187" t="inlineStr">
        <is>
          <t>单独实施</t>
        </is>
      </c>
      <c r="J272" s="187" t="inlineStr">
        <is>
          <t>电视</t>
        </is>
      </c>
      <c r="K272" s="186" t="inlineStr">
        <is>
          <t>10分钟及以下</t>
        </is>
      </c>
      <c r="L272" s="187" t="inlineStr">
        <is>
          <t>专用训练空间</t>
        </is>
      </c>
      <c r="M272" s="187" t="inlineStr">
        <is>
          <t>研究人员</t>
        </is>
      </c>
      <c r="N272" s="186" t="n"/>
      <c r="O272" s="186" t="inlineStr">
        <is>
          <t>7.08岁</t>
        </is>
      </c>
      <c r="P272" s="187" t="inlineStr">
        <is>
          <t>每次10分钟游戏</t>
        </is>
      </c>
      <c r="Q272" s="187" t="inlineStr">
        <is>
          <t>无</t>
        </is>
      </c>
      <c r="R272" s="187" t="inlineStr">
        <is>
          <t>成人</t>
        </is>
      </c>
      <c r="S272" s="187" t="inlineStr">
        <is>
          <t>电视</t>
        </is>
      </c>
      <c r="T272" s="187" t="inlineStr">
        <is>
          <t>研究人员</t>
        </is>
      </c>
      <c r="U272" s="187" t="inlineStr">
        <is>
          <t>诊所或治疗项目</t>
        </is>
      </c>
      <c r="V272" s="187" t="inlineStr">
        <is>
          <t>只用视频</t>
        </is>
      </c>
      <c r="W272" s="186" t="inlineStr">
        <is>
          <t>Baseline vs Video Modeling</t>
        </is>
      </c>
    </row>
    <row r="273" ht="15" customHeight="1" s="176">
      <c r="A273" s="186" t="inlineStr">
        <is>
          <t>K440</t>
        </is>
      </c>
      <c r="B273" s="186" t="inlineStr">
        <is>
          <t>056-滚雪球</t>
        </is>
      </c>
      <c r="C273" s="186" t="inlineStr">
        <is>
          <t>Mark</t>
        </is>
      </c>
      <c r="D273" s="187" t="inlineStr">
        <is>
          <t>干预</t>
        </is>
      </c>
      <c r="E273" s="186" t="inlineStr">
        <is>
          <t>9–12岁</t>
        </is>
      </c>
      <c r="F273" s="187" t="inlineStr">
        <is>
          <t>男</t>
        </is>
      </c>
      <c r="G273" s="188" t="inlineStr">
        <is>
          <t>不纳入该变量（原文未报告）</t>
        </is>
      </c>
      <c r="H273" s="187" t="inlineStr">
        <is>
          <t>同伴儿童+动画角色</t>
        </is>
      </c>
      <c r="I273" s="187" t="inlineStr">
        <is>
          <t>嵌入综合干预方案</t>
        </is>
      </c>
      <c r="J273" s="187" t="inlineStr">
        <is>
          <t>电视</t>
        </is>
      </c>
      <c r="K273" s="186" t="inlineStr">
        <is>
          <t>60分钟以上</t>
        </is>
      </c>
      <c r="L273" s="187" t="inlineStr">
        <is>
          <t>办公辅助空间</t>
        </is>
      </c>
      <c r="M273" s="187" t="inlineStr">
        <is>
          <t>研究人员</t>
        </is>
      </c>
      <c r="N273" s="187" t="inlineStr">
        <is>
          <t>干预者回原文补齐</t>
        </is>
      </c>
      <c r="O273" s="186" t="inlineStr">
        <is>
          <t>9.50岁</t>
        </is>
      </c>
      <c r="P273" s="187" t="inlineStr">
        <is>
          <t>每次2小时</t>
        </is>
      </c>
      <c r="Q273" s="187" t="inlineStr">
        <is>
          <t>演练、现场示范、反馈、强化、自我监控</t>
        </is>
      </c>
      <c r="R273" s="187" t="inlineStr">
        <is>
          <t>同伴儿童 + 动画角色</t>
        </is>
      </c>
      <c r="S273" s="187" t="inlineStr">
        <is>
          <t>电视</t>
        </is>
      </c>
      <c r="T273" s="187" t="inlineStr">
        <is>
          <t>缺失</t>
        </is>
      </c>
      <c r="U273" s="187" t="inlineStr">
        <is>
          <t>诊所或治疗项目</t>
        </is>
      </c>
      <c r="V273" s="187" t="inlineStr">
        <is>
          <t>加3种及以上</t>
        </is>
      </c>
      <c r="W273" s="186" t="inlineStr">
        <is>
          <t>BL vs 紧接基线的第一个干预条件</t>
        </is>
      </c>
    </row>
    <row r="274" ht="15" customHeight="1" s="176">
      <c r="A274" s="186" t="inlineStr">
        <is>
          <t>K441</t>
        </is>
      </c>
      <c r="B274" s="186" t="inlineStr">
        <is>
          <t>056-滚雪球</t>
        </is>
      </c>
      <c r="C274" s="186" t="inlineStr">
        <is>
          <t>Mark</t>
        </is>
      </c>
      <c r="D274" s="187" t="inlineStr">
        <is>
          <t>维持</t>
        </is>
      </c>
      <c r="E274" s="186" t="inlineStr">
        <is>
          <t>9–12岁</t>
        </is>
      </c>
      <c r="F274" s="187" t="inlineStr">
        <is>
          <t>男</t>
        </is>
      </c>
      <c r="G274" s="188" t="inlineStr">
        <is>
          <t>不纳入该变量（原文未报告）</t>
        </is>
      </c>
      <c r="H274" s="187" t="inlineStr">
        <is>
          <t>同伴儿童+动画角色</t>
        </is>
      </c>
      <c r="I274" s="187" t="inlineStr">
        <is>
          <t>嵌入综合干预方案</t>
        </is>
      </c>
      <c r="J274" s="187" t="inlineStr">
        <is>
          <t>电视</t>
        </is>
      </c>
      <c r="K274" s="186" t="inlineStr">
        <is>
          <t>60分钟以上</t>
        </is>
      </c>
      <c r="L274" s="187" t="inlineStr">
        <is>
          <t>办公辅助空间</t>
        </is>
      </c>
      <c r="M274" s="187" t="inlineStr">
        <is>
          <t>研究人员</t>
        </is>
      </c>
      <c r="N274" s="187" t="inlineStr">
        <is>
          <t>干预者回原文补齐</t>
        </is>
      </c>
      <c r="O274" s="186" t="inlineStr">
        <is>
          <t>9.50岁</t>
        </is>
      </c>
      <c r="P274" s="187" t="inlineStr">
        <is>
          <t>每次2小时</t>
        </is>
      </c>
      <c r="Q274" s="187" t="inlineStr">
        <is>
          <t>演练、现场示范、反馈、强化、自我监控</t>
        </is>
      </c>
      <c r="R274" s="187" t="inlineStr">
        <is>
          <t>同伴儿童 + 动画角色</t>
        </is>
      </c>
      <c r="S274" s="187" t="inlineStr">
        <is>
          <t>电视</t>
        </is>
      </c>
      <c r="T274" s="187" t="inlineStr">
        <is>
          <t>缺失</t>
        </is>
      </c>
      <c r="U274" s="187" t="inlineStr">
        <is>
          <t>诊所或治疗项目</t>
        </is>
      </c>
      <c r="V274" s="187" t="inlineStr">
        <is>
          <t>加3种及以上</t>
        </is>
      </c>
      <c r="W274" s="186" t="inlineStr">
        <is>
          <t>BL vs Maintenance</t>
        </is>
      </c>
    </row>
    <row r="275" ht="15" customHeight="1" s="176">
      <c r="A275" s="186" t="inlineStr">
        <is>
          <t>K442</t>
        </is>
      </c>
      <c r="B275" s="186" t="inlineStr">
        <is>
          <t>056-滚雪球</t>
        </is>
      </c>
      <c r="C275" s="186" t="inlineStr">
        <is>
          <t>Mark</t>
        </is>
      </c>
      <c r="D275" s="187" t="inlineStr">
        <is>
          <t>干预</t>
        </is>
      </c>
      <c r="E275" s="186" t="inlineStr">
        <is>
          <t>9–12岁</t>
        </is>
      </c>
      <c r="F275" s="187" t="inlineStr">
        <is>
          <t>男</t>
        </is>
      </c>
      <c r="G275" s="188" t="inlineStr">
        <is>
          <t>不纳入该变量（原文未报告）</t>
        </is>
      </c>
      <c r="H275" s="187" t="inlineStr">
        <is>
          <t>同伴儿童+动画角色</t>
        </is>
      </c>
      <c r="I275" s="187" t="inlineStr">
        <is>
          <t>嵌入综合干预方案</t>
        </is>
      </c>
      <c r="J275" s="187" t="inlineStr">
        <is>
          <t>电视</t>
        </is>
      </c>
      <c r="K275" s="186" t="inlineStr">
        <is>
          <t>60分钟以上</t>
        </is>
      </c>
      <c r="L275" s="187" t="inlineStr">
        <is>
          <t>办公辅助空间</t>
        </is>
      </c>
      <c r="M275" s="187" t="inlineStr">
        <is>
          <t>研究人员</t>
        </is>
      </c>
      <c r="N275" s="187" t="inlineStr">
        <is>
          <t>干预者回原文补齐</t>
        </is>
      </c>
      <c r="O275" s="186" t="inlineStr">
        <is>
          <t>9.50岁</t>
        </is>
      </c>
      <c r="P275" s="187" t="inlineStr">
        <is>
          <t>每次2小时</t>
        </is>
      </c>
      <c r="Q275" s="187" t="inlineStr">
        <is>
          <t>演练、现场示范、反馈、强化、自我监控</t>
        </is>
      </c>
      <c r="R275" s="187" t="inlineStr">
        <is>
          <t>同伴儿童 + 动画角色</t>
        </is>
      </c>
      <c r="S275" s="187" t="inlineStr">
        <is>
          <t>电视</t>
        </is>
      </c>
      <c r="T275" s="187" t="inlineStr">
        <is>
          <t>缺失</t>
        </is>
      </c>
      <c r="U275" s="187" t="inlineStr">
        <is>
          <t>诊所或治疗项目</t>
        </is>
      </c>
      <c r="V275" s="187" t="inlineStr">
        <is>
          <t>加3种及以上</t>
        </is>
      </c>
      <c r="W275" s="186" t="inlineStr">
        <is>
          <t>BL vs 紧接基线的第一个干预条件</t>
        </is>
      </c>
    </row>
    <row r="276" ht="15" customHeight="1" s="176">
      <c r="A276" s="186" t="inlineStr">
        <is>
          <t>K443</t>
        </is>
      </c>
      <c r="B276" s="186" t="inlineStr">
        <is>
          <t>056-滚雪球</t>
        </is>
      </c>
      <c r="C276" s="186" t="inlineStr">
        <is>
          <t>Mark</t>
        </is>
      </c>
      <c r="D276" s="187" t="inlineStr">
        <is>
          <t>维持</t>
        </is>
      </c>
      <c r="E276" s="186" t="inlineStr">
        <is>
          <t>9–12岁</t>
        </is>
      </c>
      <c r="F276" s="187" t="inlineStr">
        <is>
          <t>男</t>
        </is>
      </c>
      <c r="G276" s="188" t="inlineStr">
        <is>
          <t>不纳入该变量（原文未报告）</t>
        </is>
      </c>
      <c r="H276" s="187" t="inlineStr">
        <is>
          <t>同伴儿童+动画角色</t>
        </is>
      </c>
      <c r="I276" s="187" t="inlineStr">
        <is>
          <t>嵌入综合干预方案</t>
        </is>
      </c>
      <c r="J276" s="187" t="inlineStr">
        <is>
          <t>电视</t>
        </is>
      </c>
      <c r="K276" s="186" t="inlineStr">
        <is>
          <t>60分钟以上</t>
        </is>
      </c>
      <c r="L276" s="187" t="inlineStr">
        <is>
          <t>办公辅助空间</t>
        </is>
      </c>
      <c r="M276" s="187" t="inlineStr">
        <is>
          <t>研究人员</t>
        </is>
      </c>
      <c r="N276" s="187" t="inlineStr">
        <is>
          <t>干预者回原文补齐</t>
        </is>
      </c>
      <c r="O276" s="186" t="inlineStr">
        <is>
          <t>9.50岁</t>
        </is>
      </c>
      <c r="P276" s="187" t="inlineStr">
        <is>
          <t>每次2小时</t>
        </is>
      </c>
      <c r="Q276" s="187" t="inlineStr">
        <is>
          <t>演练、现场示范、反馈、强化、自我监控</t>
        </is>
      </c>
      <c r="R276" s="187" t="inlineStr">
        <is>
          <t>同伴儿童 + 动画角色</t>
        </is>
      </c>
      <c r="S276" s="187" t="inlineStr">
        <is>
          <t>电视</t>
        </is>
      </c>
      <c r="T276" s="187" t="inlineStr">
        <is>
          <t>缺失</t>
        </is>
      </c>
      <c r="U276" s="187" t="inlineStr">
        <is>
          <t>诊所或治疗项目</t>
        </is>
      </c>
      <c r="V276" s="187" t="inlineStr">
        <is>
          <t>加3种及以上</t>
        </is>
      </c>
      <c r="W276" s="186" t="inlineStr">
        <is>
          <t>BL vs Maintenance</t>
        </is>
      </c>
    </row>
    <row r="277" ht="15" customHeight="1" s="176">
      <c r="A277" s="186" t="inlineStr">
        <is>
          <t>K444</t>
        </is>
      </c>
      <c r="B277" s="186" t="inlineStr">
        <is>
          <t>056-滚雪球</t>
        </is>
      </c>
      <c r="C277" s="186" t="inlineStr">
        <is>
          <t>Mark</t>
        </is>
      </c>
      <c r="D277" s="187" t="inlineStr">
        <is>
          <t>干预</t>
        </is>
      </c>
      <c r="E277" s="186" t="inlineStr">
        <is>
          <t>9–12岁</t>
        </is>
      </c>
      <c r="F277" s="187" t="inlineStr">
        <is>
          <t>男</t>
        </is>
      </c>
      <c r="G277" s="188" t="inlineStr">
        <is>
          <t>不纳入该变量（原文未报告）</t>
        </is>
      </c>
      <c r="H277" s="187" t="inlineStr">
        <is>
          <t>同伴儿童+动画角色</t>
        </is>
      </c>
      <c r="I277" s="187" t="inlineStr">
        <is>
          <t>嵌入综合干预方案</t>
        </is>
      </c>
      <c r="J277" s="187" t="inlineStr">
        <is>
          <t>电视</t>
        </is>
      </c>
      <c r="K277" s="186" t="inlineStr">
        <is>
          <t>60分钟以上</t>
        </is>
      </c>
      <c r="L277" s="187" t="inlineStr">
        <is>
          <t>办公辅助空间</t>
        </is>
      </c>
      <c r="M277" s="187" t="inlineStr">
        <is>
          <t>研究人员</t>
        </is>
      </c>
      <c r="N277" s="187" t="inlineStr">
        <is>
          <t>干预者回原文补齐</t>
        </is>
      </c>
      <c r="O277" s="186" t="inlineStr">
        <is>
          <t>9.50岁</t>
        </is>
      </c>
      <c r="P277" s="187" t="inlineStr">
        <is>
          <t>每次2小时</t>
        </is>
      </c>
      <c r="Q277" s="187" t="inlineStr">
        <is>
          <t>演练、现场示范、反馈、强化、自我监控</t>
        </is>
      </c>
      <c r="R277" s="187" t="inlineStr">
        <is>
          <t>同伴儿童 + 动画角色</t>
        </is>
      </c>
      <c r="S277" s="187" t="inlineStr">
        <is>
          <t>电视</t>
        </is>
      </c>
      <c r="T277" s="187" t="inlineStr">
        <is>
          <t>缺失</t>
        </is>
      </c>
      <c r="U277" s="187" t="inlineStr">
        <is>
          <t>诊所或治疗项目</t>
        </is>
      </c>
      <c r="V277" s="187" t="inlineStr">
        <is>
          <t>加3种及以上</t>
        </is>
      </c>
      <c r="W277" s="186" t="inlineStr">
        <is>
          <t>BL vs 紧接基线的第一个干预条件</t>
        </is>
      </c>
    </row>
    <row r="278" ht="15" customHeight="1" s="176">
      <c r="A278" s="186" t="inlineStr">
        <is>
          <t>K445</t>
        </is>
      </c>
      <c r="B278" s="186" t="inlineStr">
        <is>
          <t>056-滚雪球</t>
        </is>
      </c>
      <c r="C278" s="186" t="inlineStr">
        <is>
          <t>Mark</t>
        </is>
      </c>
      <c r="D278" s="187" t="inlineStr">
        <is>
          <t>维持</t>
        </is>
      </c>
      <c r="E278" s="186" t="inlineStr">
        <is>
          <t>9–12岁</t>
        </is>
      </c>
      <c r="F278" s="187" t="inlineStr">
        <is>
          <t>男</t>
        </is>
      </c>
      <c r="G278" s="188" t="inlineStr">
        <is>
          <t>不纳入该变量（原文未报告）</t>
        </is>
      </c>
      <c r="H278" s="187" t="inlineStr">
        <is>
          <t>同伴儿童+动画角色</t>
        </is>
      </c>
      <c r="I278" s="187" t="inlineStr">
        <is>
          <t>嵌入综合干预方案</t>
        </is>
      </c>
      <c r="J278" s="187" t="inlineStr">
        <is>
          <t>电视</t>
        </is>
      </c>
      <c r="K278" s="186" t="inlineStr">
        <is>
          <t>60分钟以上</t>
        </is>
      </c>
      <c r="L278" s="187" t="inlineStr">
        <is>
          <t>办公辅助空间</t>
        </is>
      </c>
      <c r="M278" s="187" t="inlineStr">
        <is>
          <t>研究人员</t>
        </is>
      </c>
      <c r="N278" s="187" t="inlineStr">
        <is>
          <t>干预者回原文补齐</t>
        </is>
      </c>
      <c r="O278" s="186" t="inlineStr">
        <is>
          <t>9.50岁</t>
        </is>
      </c>
      <c r="P278" s="187" t="inlineStr">
        <is>
          <t>每次2小时</t>
        </is>
      </c>
      <c r="Q278" s="187" t="inlineStr">
        <is>
          <t>演练、现场示范、反馈、强化、自我监控</t>
        </is>
      </c>
      <c r="R278" s="187" t="inlineStr">
        <is>
          <t>同伴儿童 + 动画角色</t>
        </is>
      </c>
      <c r="S278" s="187" t="inlineStr">
        <is>
          <t>电视</t>
        </is>
      </c>
      <c r="T278" s="187" t="inlineStr">
        <is>
          <t>缺失</t>
        </is>
      </c>
      <c r="U278" s="187" t="inlineStr">
        <is>
          <t>诊所或治疗项目</t>
        </is>
      </c>
      <c r="V278" s="187" t="inlineStr">
        <is>
          <t>加3种及以上</t>
        </is>
      </c>
      <c r="W278" s="186" t="inlineStr">
        <is>
          <t>BL vs Maintenance</t>
        </is>
      </c>
    </row>
    <row r="279" ht="15" customHeight="1" s="176">
      <c r="A279" s="186" t="inlineStr">
        <is>
          <t>K446</t>
        </is>
      </c>
      <c r="B279" s="186" t="inlineStr">
        <is>
          <t>056-滚雪球</t>
        </is>
      </c>
      <c r="C279" s="186" t="inlineStr">
        <is>
          <t>Mark</t>
        </is>
      </c>
      <c r="D279" s="187" t="inlineStr">
        <is>
          <t>干预</t>
        </is>
      </c>
      <c r="E279" s="186" t="inlineStr">
        <is>
          <t>9–12岁</t>
        </is>
      </c>
      <c r="F279" s="187" t="inlineStr">
        <is>
          <t>男</t>
        </is>
      </c>
      <c r="G279" s="188" t="inlineStr">
        <is>
          <t>不纳入该变量（原文未报告）</t>
        </is>
      </c>
      <c r="H279" s="187" t="inlineStr">
        <is>
          <t>同伴儿童+动画角色</t>
        </is>
      </c>
      <c r="I279" s="187" t="inlineStr">
        <is>
          <t>嵌入综合干预方案</t>
        </is>
      </c>
      <c r="J279" s="187" t="inlineStr">
        <is>
          <t>电视</t>
        </is>
      </c>
      <c r="K279" s="186" t="inlineStr">
        <is>
          <t>60分钟以上</t>
        </is>
      </c>
      <c r="L279" s="187" t="inlineStr">
        <is>
          <t>办公辅助空间</t>
        </is>
      </c>
      <c r="M279" s="187" t="inlineStr">
        <is>
          <t>研究人员</t>
        </is>
      </c>
      <c r="N279" s="187" t="inlineStr">
        <is>
          <t>干预者回原文补齐</t>
        </is>
      </c>
      <c r="O279" s="186" t="inlineStr">
        <is>
          <t>9.50岁</t>
        </is>
      </c>
      <c r="P279" s="187" t="inlineStr">
        <is>
          <t>每次2小时</t>
        </is>
      </c>
      <c r="Q279" s="187" t="inlineStr">
        <is>
          <t>演练、现场示范、反馈、强化、自我监控</t>
        </is>
      </c>
      <c r="R279" s="187" t="inlineStr">
        <is>
          <t>同伴儿童 + 动画角色</t>
        </is>
      </c>
      <c r="S279" s="187" t="inlineStr">
        <is>
          <t>电视</t>
        </is>
      </c>
      <c r="T279" s="187" t="inlineStr">
        <is>
          <t>缺失</t>
        </is>
      </c>
      <c r="U279" s="187" t="inlineStr">
        <is>
          <t>诊所或治疗项目</t>
        </is>
      </c>
      <c r="V279" s="187" t="inlineStr">
        <is>
          <t>加3种及以上</t>
        </is>
      </c>
      <c r="W279" s="186" t="inlineStr">
        <is>
          <t>BL vs 紧接基线的第一个干预条件</t>
        </is>
      </c>
    </row>
    <row r="280" ht="15" customHeight="1" s="176">
      <c r="A280" s="186" t="inlineStr">
        <is>
          <t>K447</t>
        </is>
      </c>
      <c r="B280" s="186" t="inlineStr">
        <is>
          <t>056-滚雪球</t>
        </is>
      </c>
      <c r="C280" s="186" t="inlineStr">
        <is>
          <t>Jarvis</t>
        </is>
      </c>
      <c r="D280" s="187" t="inlineStr">
        <is>
          <t>干预</t>
        </is>
      </c>
      <c r="E280" s="186" t="inlineStr">
        <is>
          <t>6–8岁</t>
        </is>
      </c>
      <c r="F280" s="187" t="inlineStr">
        <is>
          <t>男</t>
        </is>
      </c>
      <c r="G280" s="188" t="inlineStr">
        <is>
          <t>不纳入该变量（原文未报告）</t>
        </is>
      </c>
      <c r="H280" s="187" t="inlineStr">
        <is>
          <t>同伴儿童+动画角色</t>
        </is>
      </c>
      <c r="I280" s="187" t="inlineStr">
        <is>
          <t>嵌入综合干预方案</t>
        </is>
      </c>
      <c r="J280" s="187" t="inlineStr">
        <is>
          <t>电视</t>
        </is>
      </c>
      <c r="K280" s="186" t="inlineStr">
        <is>
          <t>60分钟以上</t>
        </is>
      </c>
      <c r="L280" s="187" t="inlineStr">
        <is>
          <t>办公辅助空间</t>
        </is>
      </c>
      <c r="M280" s="187" t="inlineStr">
        <is>
          <t>研究人员</t>
        </is>
      </c>
      <c r="N280" s="187" t="inlineStr">
        <is>
          <t>干预者回原文补齐</t>
        </is>
      </c>
      <c r="O280" s="186" t="inlineStr">
        <is>
          <t>8.25岁</t>
        </is>
      </c>
      <c r="P280" s="187" t="inlineStr">
        <is>
          <t>每次2小时</t>
        </is>
      </c>
      <c r="Q280" s="187" t="inlineStr">
        <is>
          <t>演练、现场示范、反馈、强化、自我监控</t>
        </is>
      </c>
      <c r="R280" s="187" t="inlineStr">
        <is>
          <t>同伴儿童 + 动画角色</t>
        </is>
      </c>
      <c r="S280" s="187" t="inlineStr">
        <is>
          <t>电视</t>
        </is>
      </c>
      <c r="T280" s="187" t="inlineStr">
        <is>
          <t>缺失</t>
        </is>
      </c>
      <c r="U280" s="187" t="inlineStr">
        <is>
          <t>诊所或治疗项目</t>
        </is>
      </c>
      <c r="V280" s="187" t="inlineStr">
        <is>
          <t>加3种及以上</t>
        </is>
      </c>
      <c r="W280" s="186" t="inlineStr">
        <is>
          <t>BL vs 紧接基线的第一个干预条件</t>
        </is>
      </c>
    </row>
    <row r="281" ht="15" customHeight="1" s="176">
      <c r="A281" s="186" t="inlineStr">
        <is>
          <t>K448</t>
        </is>
      </c>
      <c r="B281" s="186" t="inlineStr">
        <is>
          <t>056-滚雪球</t>
        </is>
      </c>
      <c r="C281" s="186" t="inlineStr">
        <is>
          <t>Jarvis</t>
        </is>
      </c>
      <c r="D281" s="187" t="inlineStr">
        <is>
          <t>维持</t>
        </is>
      </c>
      <c r="E281" s="186" t="inlineStr">
        <is>
          <t>6–8岁</t>
        </is>
      </c>
      <c r="F281" s="187" t="inlineStr">
        <is>
          <t>男</t>
        </is>
      </c>
      <c r="G281" s="188" t="inlineStr">
        <is>
          <t>不纳入该变量（原文未报告）</t>
        </is>
      </c>
      <c r="H281" s="187" t="inlineStr">
        <is>
          <t>同伴儿童+动画角色</t>
        </is>
      </c>
      <c r="I281" s="187" t="inlineStr">
        <is>
          <t>嵌入综合干预方案</t>
        </is>
      </c>
      <c r="J281" s="187" t="inlineStr">
        <is>
          <t>电视</t>
        </is>
      </c>
      <c r="K281" s="186" t="inlineStr">
        <is>
          <t>60分钟以上</t>
        </is>
      </c>
      <c r="L281" s="187" t="inlineStr">
        <is>
          <t>办公辅助空间</t>
        </is>
      </c>
      <c r="M281" s="187" t="inlineStr">
        <is>
          <t>研究人员</t>
        </is>
      </c>
      <c r="N281" s="187" t="inlineStr">
        <is>
          <t>干预者回原文补齐</t>
        </is>
      </c>
      <c r="O281" s="186" t="inlineStr">
        <is>
          <t>8.25岁</t>
        </is>
      </c>
      <c r="P281" s="187" t="inlineStr">
        <is>
          <t>每次2小时</t>
        </is>
      </c>
      <c r="Q281" s="187" t="inlineStr">
        <is>
          <t>演练、现场示范、反馈、强化、自我监控</t>
        </is>
      </c>
      <c r="R281" s="187" t="inlineStr">
        <is>
          <t>同伴儿童 + 动画角色</t>
        </is>
      </c>
      <c r="S281" s="187" t="inlineStr">
        <is>
          <t>电视</t>
        </is>
      </c>
      <c r="T281" s="187" t="inlineStr">
        <is>
          <t>缺失</t>
        </is>
      </c>
      <c r="U281" s="187" t="inlineStr">
        <is>
          <t>诊所或治疗项目</t>
        </is>
      </c>
      <c r="V281" s="187" t="inlineStr">
        <is>
          <t>加3种及以上</t>
        </is>
      </c>
      <c r="W281" s="186" t="inlineStr">
        <is>
          <t>BL vs Maintenance</t>
        </is>
      </c>
    </row>
    <row r="282" ht="15" customHeight="1" s="176">
      <c r="A282" s="186" t="inlineStr">
        <is>
          <t>K449</t>
        </is>
      </c>
      <c r="B282" s="186" t="inlineStr">
        <is>
          <t>056-滚雪球</t>
        </is>
      </c>
      <c r="C282" s="186" t="inlineStr">
        <is>
          <t>Jarvis</t>
        </is>
      </c>
      <c r="D282" s="187" t="inlineStr">
        <is>
          <t>干预</t>
        </is>
      </c>
      <c r="E282" s="186" t="inlineStr">
        <is>
          <t>6–8岁</t>
        </is>
      </c>
      <c r="F282" s="187" t="inlineStr">
        <is>
          <t>男</t>
        </is>
      </c>
      <c r="G282" s="188" t="inlineStr">
        <is>
          <t>不纳入该变量（原文未报告）</t>
        </is>
      </c>
      <c r="H282" s="187" t="inlineStr">
        <is>
          <t>同伴儿童+动画角色</t>
        </is>
      </c>
      <c r="I282" s="187" t="inlineStr">
        <is>
          <t>嵌入综合干预方案</t>
        </is>
      </c>
      <c r="J282" s="187" t="inlineStr">
        <is>
          <t>电视</t>
        </is>
      </c>
      <c r="K282" s="186" t="inlineStr">
        <is>
          <t>60分钟以上</t>
        </is>
      </c>
      <c r="L282" s="187" t="inlineStr">
        <is>
          <t>办公辅助空间</t>
        </is>
      </c>
      <c r="M282" s="187" t="inlineStr">
        <is>
          <t>研究人员</t>
        </is>
      </c>
      <c r="N282" s="187" t="inlineStr">
        <is>
          <t>干预者回原文补齐</t>
        </is>
      </c>
      <c r="O282" s="186" t="inlineStr">
        <is>
          <t>8.25岁</t>
        </is>
      </c>
      <c r="P282" s="187" t="inlineStr">
        <is>
          <t>每次2小时</t>
        </is>
      </c>
      <c r="Q282" s="187" t="inlineStr">
        <is>
          <t>演练、现场示范、反馈、强化、自我监控</t>
        </is>
      </c>
      <c r="R282" s="187" t="inlineStr">
        <is>
          <t>同伴儿童 + 动画角色</t>
        </is>
      </c>
      <c r="S282" s="187" t="inlineStr">
        <is>
          <t>电视</t>
        </is>
      </c>
      <c r="T282" s="187" t="inlineStr">
        <is>
          <t>缺失</t>
        </is>
      </c>
      <c r="U282" s="187" t="inlineStr">
        <is>
          <t>诊所或治疗项目</t>
        </is>
      </c>
      <c r="V282" s="187" t="inlineStr">
        <is>
          <t>加3种及以上</t>
        </is>
      </c>
      <c r="W282" s="186" t="inlineStr">
        <is>
          <t>BL vs 紧接基线的第一个干预条件</t>
        </is>
      </c>
    </row>
    <row r="283" ht="15" customHeight="1" s="176">
      <c r="A283" s="186" t="inlineStr">
        <is>
          <t>K450</t>
        </is>
      </c>
      <c r="B283" s="186" t="inlineStr">
        <is>
          <t>056-滚雪球</t>
        </is>
      </c>
      <c r="C283" s="186" t="inlineStr">
        <is>
          <t>Jarvis</t>
        </is>
      </c>
      <c r="D283" s="187" t="inlineStr">
        <is>
          <t>维持</t>
        </is>
      </c>
      <c r="E283" s="186" t="inlineStr">
        <is>
          <t>6–8岁</t>
        </is>
      </c>
      <c r="F283" s="187" t="inlineStr">
        <is>
          <t>男</t>
        </is>
      </c>
      <c r="G283" s="188" t="inlineStr">
        <is>
          <t>不纳入该变量（原文未报告）</t>
        </is>
      </c>
      <c r="H283" s="187" t="inlineStr">
        <is>
          <t>同伴儿童+动画角色</t>
        </is>
      </c>
      <c r="I283" s="187" t="inlineStr">
        <is>
          <t>嵌入综合干预方案</t>
        </is>
      </c>
      <c r="J283" s="187" t="inlineStr">
        <is>
          <t>电视</t>
        </is>
      </c>
      <c r="K283" s="186" t="inlineStr">
        <is>
          <t>60分钟以上</t>
        </is>
      </c>
      <c r="L283" s="187" t="inlineStr">
        <is>
          <t>办公辅助空间</t>
        </is>
      </c>
      <c r="M283" s="187" t="inlineStr">
        <is>
          <t>研究人员</t>
        </is>
      </c>
      <c r="N283" s="187" t="inlineStr">
        <is>
          <t>干预者回原文补齐</t>
        </is>
      </c>
      <c r="O283" s="186" t="inlineStr">
        <is>
          <t>8.25岁</t>
        </is>
      </c>
      <c r="P283" s="187" t="inlineStr">
        <is>
          <t>每次2小时</t>
        </is>
      </c>
      <c r="Q283" s="187" t="inlineStr">
        <is>
          <t>演练、现场示范、反馈、强化、自我监控</t>
        </is>
      </c>
      <c r="R283" s="187" t="inlineStr">
        <is>
          <t>同伴儿童 + 动画角色</t>
        </is>
      </c>
      <c r="S283" s="187" t="inlineStr">
        <is>
          <t>电视</t>
        </is>
      </c>
      <c r="T283" s="187" t="inlineStr">
        <is>
          <t>缺失</t>
        </is>
      </c>
      <c r="U283" s="187" t="inlineStr">
        <is>
          <t>诊所或治疗项目</t>
        </is>
      </c>
      <c r="V283" s="187" t="inlineStr">
        <is>
          <t>加3种及以上</t>
        </is>
      </c>
      <c r="W283" s="186" t="inlineStr">
        <is>
          <t>BL vs Maintenance</t>
        </is>
      </c>
    </row>
    <row r="284" ht="15" customHeight="1" s="176">
      <c r="A284" s="186" t="inlineStr">
        <is>
          <t>K451</t>
        </is>
      </c>
      <c r="B284" s="186" t="inlineStr">
        <is>
          <t>056-滚雪球</t>
        </is>
      </c>
      <c r="C284" s="186" t="inlineStr">
        <is>
          <t>Jarvis</t>
        </is>
      </c>
      <c r="D284" s="187" t="inlineStr">
        <is>
          <t>干预</t>
        </is>
      </c>
      <c r="E284" s="186" t="inlineStr">
        <is>
          <t>6–8岁</t>
        </is>
      </c>
      <c r="F284" s="187" t="inlineStr">
        <is>
          <t>男</t>
        </is>
      </c>
      <c r="G284" s="188" t="inlineStr">
        <is>
          <t>不纳入该变量（原文未报告）</t>
        </is>
      </c>
      <c r="H284" s="187" t="inlineStr">
        <is>
          <t>同伴儿童+动画角色</t>
        </is>
      </c>
      <c r="I284" s="187" t="inlineStr">
        <is>
          <t>嵌入综合干预方案</t>
        </is>
      </c>
      <c r="J284" s="187" t="inlineStr">
        <is>
          <t>电视</t>
        </is>
      </c>
      <c r="K284" s="186" t="inlineStr">
        <is>
          <t>60分钟以上</t>
        </is>
      </c>
      <c r="L284" s="187" t="inlineStr">
        <is>
          <t>办公辅助空间</t>
        </is>
      </c>
      <c r="M284" s="187" t="inlineStr">
        <is>
          <t>研究人员</t>
        </is>
      </c>
      <c r="N284" s="187" t="inlineStr">
        <is>
          <t>干预者回原文补齐</t>
        </is>
      </c>
      <c r="O284" s="186" t="inlineStr">
        <is>
          <t>8.25岁</t>
        </is>
      </c>
      <c r="P284" s="187" t="inlineStr">
        <is>
          <t>每次2小时</t>
        </is>
      </c>
      <c r="Q284" s="187" t="inlineStr">
        <is>
          <t>演练、现场示范、反馈、强化、自我监控</t>
        </is>
      </c>
      <c r="R284" s="187" t="inlineStr">
        <is>
          <t>同伴儿童 + 动画角色</t>
        </is>
      </c>
      <c r="S284" s="187" t="inlineStr">
        <is>
          <t>电视</t>
        </is>
      </c>
      <c r="T284" s="187" t="inlineStr">
        <is>
          <t>缺失</t>
        </is>
      </c>
      <c r="U284" s="187" t="inlineStr">
        <is>
          <t>诊所或治疗项目</t>
        </is>
      </c>
      <c r="V284" s="187" t="inlineStr">
        <is>
          <t>加3种及以上</t>
        </is>
      </c>
      <c r="W284" s="186" t="inlineStr">
        <is>
          <t>BL vs 紧接基线的第一个干预条件</t>
        </is>
      </c>
    </row>
    <row r="285" ht="15" customHeight="1" s="176">
      <c r="A285" s="186" t="inlineStr">
        <is>
          <t>K452</t>
        </is>
      </c>
      <c r="B285" s="186" t="inlineStr">
        <is>
          <t>056-滚雪球</t>
        </is>
      </c>
      <c r="C285" s="186" t="inlineStr">
        <is>
          <t>Jarvis</t>
        </is>
      </c>
      <c r="D285" s="187" t="inlineStr">
        <is>
          <t>维持</t>
        </is>
      </c>
      <c r="E285" s="186" t="inlineStr">
        <is>
          <t>6–8岁</t>
        </is>
      </c>
      <c r="F285" s="187" t="inlineStr">
        <is>
          <t>男</t>
        </is>
      </c>
      <c r="G285" s="188" t="inlineStr">
        <is>
          <t>不纳入该变量（原文未报告）</t>
        </is>
      </c>
      <c r="H285" s="187" t="inlineStr">
        <is>
          <t>同伴儿童+动画角色</t>
        </is>
      </c>
      <c r="I285" s="187" t="inlineStr">
        <is>
          <t>嵌入综合干预方案</t>
        </is>
      </c>
      <c r="J285" s="187" t="inlineStr">
        <is>
          <t>电视</t>
        </is>
      </c>
      <c r="K285" s="186" t="inlineStr">
        <is>
          <t>60分钟以上</t>
        </is>
      </c>
      <c r="L285" s="187" t="inlineStr">
        <is>
          <t>办公辅助空间</t>
        </is>
      </c>
      <c r="M285" s="187" t="inlineStr">
        <is>
          <t>研究人员</t>
        </is>
      </c>
      <c r="N285" s="187" t="inlineStr">
        <is>
          <t>干预者回原文补齐</t>
        </is>
      </c>
      <c r="O285" s="186" t="inlineStr">
        <is>
          <t>8.25岁</t>
        </is>
      </c>
      <c r="P285" s="187" t="inlineStr">
        <is>
          <t>每次2小时</t>
        </is>
      </c>
      <c r="Q285" s="187" t="inlineStr">
        <is>
          <t>演练、现场示范、反馈、强化、自我监控</t>
        </is>
      </c>
      <c r="R285" s="187" t="inlineStr">
        <is>
          <t>同伴儿童 + 动画角色</t>
        </is>
      </c>
      <c r="S285" s="187" t="inlineStr">
        <is>
          <t>电视</t>
        </is>
      </c>
      <c r="T285" s="187" t="inlineStr">
        <is>
          <t>缺失</t>
        </is>
      </c>
      <c r="U285" s="187" t="inlineStr">
        <is>
          <t>诊所或治疗项目</t>
        </is>
      </c>
      <c r="V285" s="187" t="inlineStr">
        <is>
          <t>加3种及以上</t>
        </is>
      </c>
      <c r="W285" s="186" t="inlineStr">
        <is>
          <t>BL vs Maintenance</t>
        </is>
      </c>
    </row>
    <row r="286" ht="15" customHeight="1" s="176">
      <c r="A286" s="186" t="inlineStr">
        <is>
          <t>K453</t>
        </is>
      </c>
      <c r="B286" s="186" t="inlineStr">
        <is>
          <t>056-滚雪球</t>
        </is>
      </c>
      <c r="C286" s="186" t="inlineStr">
        <is>
          <t>Jarvis</t>
        </is>
      </c>
      <c r="D286" s="187" t="inlineStr">
        <is>
          <t>干预</t>
        </is>
      </c>
      <c r="E286" s="186" t="inlineStr">
        <is>
          <t>6–8岁</t>
        </is>
      </c>
      <c r="F286" s="187" t="inlineStr">
        <is>
          <t>男</t>
        </is>
      </c>
      <c r="G286" s="188" t="inlineStr">
        <is>
          <t>不纳入该变量（原文未报告）</t>
        </is>
      </c>
      <c r="H286" s="187" t="inlineStr">
        <is>
          <t>同伴儿童+动画角色</t>
        </is>
      </c>
      <c r="I286" s="187" t="inlineStr">
        <is>
          <t>嵌入综合干预方案</t>
        </is>
      </c>
      <c r="J286" s="187" t="inlineStr">
        <is>
          <t>电视</t>
        </is>
      </c>
      <c r="K286" s="186" t="inlineStr">
        <is>
          <t>60分钟以上</t>
        </is>
      </c>
      <c r="L286" s="187" t="inlineStr">
        <is>
          <t>办公辅助空间</t>
        </is>
      </c>
      <c r="M286" s="187" t="inlineStr">
        <is>
          <t>研究人员</t>
        </is>
      </c>
      <c r="N286" s="187" t="inlineStr">
        <is>
          <t>干预者回原文补齐</t>
        </is>
      </c>
      <c r="O286" s="186" t="inlineStr">
        <is>
          <t>8.25岁</t>
        </is>
      </c>
      <c r="P286" s="187" t="inlineStr">
        <is>
          <t>每次2小时</t>
        </is>
      </c>
      <c r="Q286" s="187" t="inlineStr">
        <is>
          <t>演练、现场示范、反馈、强化、自我监控</t>
        </is>
      </c>
      <c r="R286" s="187" t="inlineStr">
        <is>
          <t>同伴儿童 + 动画角色</t>
        </is>
      </c>
      <c r="S286" s="187" t="inlineStr">
        <is>
          <t>电视</t>
        </is>
      </c>
      <c r="T286" s="187" t="inlineStr">
        <is>
          <t>缺失</t>
        </is>
      </c>
      <c r="U286" s="187" t="inlineStr">
        <is>
          <t>诊所或治疗项目</t>
        </is>
      </c>
      <c r="V286" s="187" t="inlineStr">
        <is>
          <t>加3种及以上</t>
        </is>
      </c>
      <c r="W286" s="186" t="inlineStr">
        <is>
          <t>BL vs 紧接基线的第一个干预条件</t>
        </is>
      </c>
    </row>
    <row r="287" ht="15" customHeight="1" s="176">
      <c r="A287" s="186" t="inlineStr">
        <is>
          <t>K454</t>
        </is>
      </c>
      <c r="B287" s="186" t="inlineStr">
        <is>
          <t>056-滚雪球</t>
        </is>
      </c>
      <c r="C287" s="186" t="inlineStr">
        <is>
          <t>P3</t>
        </is>
      </c>
      <c r="D287" s="187" t="inlineStr">
        <is>
          <t>干预</t>
        </is>
      </c>
      <c r="E287" s="186" t="inlineStr">
        <is>
          <t>6–8岁</t>
        </is>
      </c>
      <c r="F287" s="187" t="inlineStr">
        <is>
          <t>男</t>
        </is>
      </c>
      <c r="G287" s="188" t="inlineStr">
        <is>
          <t>不纳入该变量（原文未报告）</t>
        </is>
      </c>
      <c r="H287" s="187" t="inlineStr">
        <is>
          <t>同伴儿童+动画角色</t>
        </is>
      </c>
      <c r="I287" s="187" t="inlineStr">
        <is>
          <t>嵌入综合干预方案</t>
        </is>
      </c>
      <c r="J287" s="187" t="inlineStr">
        <is>
          <t>电视</t>
        </is>
      </c>
      <c r="K287" s="186" t="inlineStr">
        <is>
          <t>60分钟以上</t>
        </is>
      </c>
      <c r="L287" s="187" t="inlineStr">
        <is>
          <t>办公辅助空间</t>
        </is>
      </c>
      <c r="M287" s="187" t="inlineStr">
        <is>
          <t>研究人员</t>
        </is>
      </c>
      <c r="N287" s="187" t="inlineStr">
        <is>
          <t>干预者回原文补齐</t>
        </is>
      </c>
      <c r="O287" s="186" t="inlineStr">
        <is>
          <t>7.58岁</t>
        </is>
      </c>
      <c r="P287" s="187" t="inlineStr">
        <is>
          <t>每次2小时</t>
        </is>
      </c>
      <c r="Q287" s="187" t="inlineStr">
        <is>
          <t>演练、现场示范、反馈、强化、自我监控</t>
        </is>
      </c>
      <c r="R287" s="187" t="inlineStr">
        <is>
          <t>同伴儿童 + 动画角色</t>
        </is>
      </c>
      <c r="S287" s="187" t="inlineStr">
        <is>
          <t>电视</t>
        </is>
      </c>
      <c r="T287" s="187" t="inlineStr">
        <is>
          <t>缺失</t>
        </is>
      </c>
      <c r="U287" s="187" t="inlineStr">
        <is>
          <t>诊所或治疗项目</t>
        </is>
      </c>
      <c r="V287" s="187" t="inlineStr">
        <is>
          <t>加3种及以上</t>
        </is>
      </c>
      <c r="W287" s="186" t="inlineStr">
        <is>
          <t>BL vs 紧接基线的第一个干预条件</t>
        </is>
      </c>
    </row>
    <row r="288" ht="15" customHeight="1" s="176">
      <c r="A288" s="186" t="inlineStr">
        <is>
          <t>K455</t>
        </is>
      </c>
      <c r="B288" s="186" t="inlineStr">
        <is>
          <t>056-滚雪球</t>
        </is>
      </c>
      <c r="C288" s="186" t="inlineStr">
        <is>
          <t>P3</t>
        </is>
      </c>
      <c r="D288" s="187" t="inlineStr">
        <is>
          <t>维持</t>
        </is>
      </c>
      <c r="E288" s="186" t="inlineStr">
        <is>
          <t>6–8岁</t>
        </is>
      </c>
      <c r="F288" s="187" t="inlineStr">
        <is>
          <t>男</t>
        </is>
      </c>
      <c r="G288" s="188" t="inlineStr">
        <is>
          <t>不纳入该变量（原文未报告）</t>
        </is>
      </c>
      <c r="H288" s="187" t="inlineStr">
        <is>
          <t>同伴儿童+动画角色</t>
        </is>
      </c>
      <c r="I288" s="187" t="inlineStr">
        <is>
          <t>嵌入综合干预方案</t>
        </is>
      </c>
      <c r="J288" s="187" t="inlineStr">
        <is>
          <t>电视</t>
        </is>
      </c>
      <c r="K288" s="186" t="inlineStr">
        <is>
          <t>60分钟以上</t>
        </is>
      </c>
      <c r="L288" s="187" t="inlineStr">
        <is>
          <t>办公辅助空间</t>
        </is>
      </c>
      <c r="M288" s="187" t="inlineStr">
        <is>
          <t>研究人员</t>
        </is>
      </c>
      <c r="N288" s="187" t="inlineStr">
        <is>
          <t>干预者回原文补齐</t>
        </is>
      </c>
      <c r="O288" s="186" t="inlineStr">
        <is>
          <t>7.58岁</t>
        </is>
      </c>
      <c r="P288" s="187" t="inlineStr">
        <is>
          <t>每次2小时</t>
        </is>
      </c>
      <c r="Q288" s="187" t="inlineStr">
        <is>
          <t>演练、现场示范、反馈、强化、自我监控</t>
        </is>
      </c>
      <c r="R288" s="187" t="inlineStr">
        <is>
          <t>同伴儿童 + 动画角色</t>
        </is>
      </c>
      <c r="S288" s="187" t="inlineStr">
        <is>
          <t>电视</t>
        </is>
      </c>
      <c r="T288" s="187" t="inlineStr">
        <is>
          <t>缺失</t>
        </is>
      </c>
      <c r="U288" s="187" t="inlineStr">
        <is>
          <t>诊所或治疗项目</t>
        </is>
      </c>
      <c r="V288" s="187" t="inlineStr">
        <is>
          <t>加3种及以上</t>
        </is>
      </c>
      <c r="W288" s="186" t="inlineStr">
        <is>
          <t>BL vs Maintenance</t>
        </is>
      </c>
    </row>
    <row r="289" ht="15" customHeight="1" s="176">
      <c r="A289" s="186" t="inlineStr">
        <is>
          <t>K456</t>
        </is>
      </c>
      <c r="B289" s="186" t="inlineStr">
        <is>
          <t>056-滚雪球</t>
        </is>
      </c>
      <c r="C289" s="186" t="inlineStr">
        <is>
          <t>P3</t>
        </is>
      </c>
      <c r="D289" s="187" t="inlineStr">
        <is>
          <t>干预</t>
        </is>
      </c>
      <c r="E289" s="186" t="inlineStr">
        <is>
          <t>6–8岁</t>
        </is>
      </c>
      <c r="F289" s="187" t="inlineStr">
        <is>
          <t>男</t>
        </is>
      </c>
      <c r="G289" s="188" t="inlineStr">
        <is>
          <t>不纳入该变量（原文未报告）</t>
        </is>
      </c>
      <c r="H289" s="187" t="inlineStr">
        <is>
          <t>同伴儿童+动画角色</t>
        </is>
      </c>
      <c r="I289" s="187" t="inlineStr">
        <is>
          <t>嵌入综合干预方案</t>
        </is>
      </c>
      <c r="J289" s="187" t="inlineStr">
        <is>
          <t>电视</t>
        </is>
      </c>
      <c r="K289" s="186" t="inlineStr">
        <is>
          <t>60分钟以上</t>
        </is>
      </c>
      <c r="L289" s="187" t="inlineStr">
        <is>
          <t>办公辅助空间</t>
        </is>
      </c>
      <c r="M289" s="187" t="inlineStr">
        <is>
          <t>研究人员</t>
        </is>
      </c>
      <c r="N289" s="187" t="inlineStr">
        <is>
          <t>干预者回原文补齐</t>
        </is>
      </c>
      <c r="O289" s="186" t="inlineStr">
        <is>
          <t>7.58岁</t>
        </is>
      </c>
      <c r="P289" s="187" t="inlineStr">
        <is>
          <t>每次2小时</t>
        </is>
      </c>
      <c r="Q289" s="187" t="inlineStr">
        <is>
          <t>演练、现场示范、反馈、强化、自我监控</t>
        </is>
      </c>
      <c r="R289" s="187" t="inlineStr">
        <is>
          <t>同伴儿童 + 动画角色</t>
        </is>
      </c>
      <c r="S289" s="187" t="inlineStr">
        <is>
          <t>电视</t>
        </is>
      </c>
      <c r="T289" s="187" t="inlineStr">
        <is>
          <t>缺失</t>
        </is>
      </c>
      <c r="U289" s="187" t="inlineStr">
        <is>
          <t>诊所或治疗项目</t>
        </is>
      </c>
      <c r="V289" s="187" t="inlineStr">
        <is>
          <t>加3种及以上</t>
        </is>
      </c>
      <c r="W289" s="186" t="inlineStr">
        <is>
          <t>BL vs 紧接基线的第一个干预条件</t>
        </is>
      </c>
    </row>
    <row r="290" ht="15" customHeight="1" s="176">
      <c r="A290" s="186" t="inlineStr">
        <is>
          <t>K457</t>
        </is>
      </c>
      <c r="B290" s="186" t="inlineStr">
        <is>
          <t>056-滚雪球</t>
        </is>
      </c>
      <c r="C290" s="186" t="inlineStr">
        <is>
          <t>P3</t>
        </is>
      </c>
      <c r="D290" s="187" t="inlineStr">
        <is>
          <t>维持</t>
        </is>
      </c>
      <c r="E290" s="186" t="inlineStr">
        <is>
          <t>6–8岁</t>
        </is>
      </c>
      <c r="F290" s="187" t="inlineStr">
        <is>
          <t>男</t>
        </is>
      </c>
      <c r="G290" s="188" t="inlineStr">
        <is>
          <t>不纳入该变量（原文未报告）</t>
        </is>
      </c>
      <c r="H290" s="187" t="inlineStr">
        <is>
          <t>同伴儿童+动画角色</t>
        </is>
      </c>
      <c r="I290" s="187" t="inlineStr">
        <is>
          <t>嵌入综合干预方案</t>
        </is>
      </c>
      <c r="J290" s="187" t="inlineStr">
        <is>
          <t>电视</t>
        </is>
      </c>
      <c r="K290" s="186" t="inlineStr">
        <is>
          <t>60分钟以上</t>
        </is>
      </c>
      <c r="L290" s="187" t="inlineStr">
        <is>
          <t>办公辅助空间</t>
        </is>
      </c>
      <c r="M290" s="187" t="inlineStr">
        <is>
          <t>研究人员</t>
        </is>
      </c>
      <c r="N290" s="187" t="inlineStr">
        <is>
          <t>干预者回原文补齐</t>
        </is>
      </c>
      <c r="O290" s="186" t="inlineStr">
        <is>
          <t>7.58岁</t>
        </is>
      </c>
      <c r="P290" s="187" t="inlineStr">
        <is>
          <t>每次2小时</t>
        </is>
      </c>
      <c r="Q290" s="187" t="inlineStr">
        <is>
          <t>演练、现场示范、反馈、强化、自我监控</t>
        </is>
      </c>
      <c r="R290" s="187" t="inlineStr">
        <is>
          <t>同伴儿童 + 动画角色</t>
        </is>
      </c>
      <c r="S290" s="187" t="inlineStr">
        <is>
          <t>电视</t>
        </is>
      </c>
      <c r="T290" s="187" t="inlineStr">
        <is>
          <t>缺失</t>
        </is>
      </c>
      <c r="U290" s="187" t="inlineStr">
        <is>
          <t>诊所或治疗项目</t>
        </is>
      </c>
      <c r="V290" s="187" t="inlineStr">
        <is>
          <t>加3种及以上</t>
        </is>
      </c>
      <c r="W290" s="186" t="inlineStr">
        <is>
          <t>BL vs Maintenance</t>
        </is>
      </c>
    </row>
    <row r="291" ht="15" customHeight="1" s="176">
      <c r="A291" s="186" t="inlineStr">
        <is>
          <t>K458</t>
        </is>
      </c>
      <c r="B291" s="186" t="inlineStr">
        <is>
          <t>056-滚雪球</t>
        </is>
      </c>
      <c r="C291" s="186" t="inlineStr">
        <is>
          <t>P3</t>
        </is>
      </c>
      <c r="D291" s="187" t="inlineStr">
        <is>
          <t>干预</t>
        </is>
      </c>
      <c r="E291" s="186" t="inlineStr">
        <is>
          <t>6–8岁</t>
        </is>
      </c>
      <c r="F291" s="187" t="inlineStr">
        <is>
          <t>男</t>
        </is>
      </c>
      <c r="G291" s="188" t="inlineStr">
        <is>
          <t>不纳入该变量（原文未报告）</t>
        </is>
      </c>
      <c r="H291" s="187" t="inlineStr">
        <is>
          <t>同伴儿童+动画角色</t>
        </is>
      </c>
      <c r="I291" s="187" t="inlineStr">
        <is>
          <t>嵌入综合干预方案</t>
        </is>
      </c>
      <c r="J291" s="187" t="inlineStr">
        <is>
          <t>电视</t>
        </is>
      </c>
      <c r="K291" s="186" t="inlineStr">
        <is>
          <t>60分钟以上</t>
        </is>
      </c>
      <c r="L291" s="187" t="inlineStr">
        <is>
          <t>办公辅助空间</t>
        </is>
      </c>
      <c r="M291" s="187" t="inlineStr">
        <is>
          <t>研究人员</t>
        </is>
      </c>
      <c r="N291" s="187" t="inlineStr">
        <is>
          <t>干预者回原文补齐</t>
        </is>
      </c>
      <c r="O291" s="186" t="inlineStr">
        <is>
          <t>7.58岁</t>
        </is>
      </c>
      <c r="P291" s="187" t="inlineStr">
        <is>
          <t>每次2小时</t>
        </is>
      </c>
      <c r="Q291" s="187" t="inlineStr">
        <is>
          <t>演练、现场示范、反馈、强化、自我监控</t>
        </is>
      </c>
      <c r="R291" s="187" t="inlineStr">
        <is>
          <t>同伴儿童 + 动画角色</t>
        </is>
      </c>
      <c r="S291" s="187" t="inlineStr">
        <is>
          <t>电视</t>
        </is>
      </c>
      <c r="T291" s="187" t="inlineStr">
        <is>
          <t>缺失</t>
        </is>
      </c>
      <c r="U291" s="187" t="inlineStr">
        <is>
          <t>诊所或治疗项目</t>
        </is>
      </c>
      <c r="V291" s="187" t="inlineStr">
        <is>
          <t>加3种及以上</t>
        </is>
      </c>
      <c r="W291" s="186" t="inlineStr">
        <is>
          <t>BL vs 紧接基线的第一个干预条件</t>
        </is>
      </c>
    </row>
    <row r="292" ht="70" customHeight="1" s="176">
      <c r="A292" s="186" t="inlineStr">
        <is>
          <t>K459</t>
        </is>
      </c>
      <c r="B292" s="186" t="inlineStr">
        <is>
          <t>056-滚雪球</t>
        </is>
      </c>
      <c r="C292" s="186" t="inlineStr">
        <is>
          <t>P3</t>
        </is>
      </c>
      <c r="D292" s="187" t="inlineStr">
        <is>
          <t>维持</t>
        </is>
      </c>
      <c r="E292" s="186" t="inlineStr">
        <is>
          <t>6–8岁</t>
        </is>
      </c>
      <c r="F292" s="187" t="inlineStr">
        <is>
          <t>男</t>
        </is>
      </c>
      <c r="G292" s="188" t="inlineStr">
        <is>
          <t>不纳入该变量（原文未报告）</t>
        </is>
      </c>
      <c r="H292" s="187" t="inlineStr">
        <is>
          <t>同伴儿童+动画角色</t>
        </is>
      </c>
      <c r="I292" s="187" t="inlineStr">
        <is>
          <t>嵌入综合干预方案</t>
        </is>
      </c>
      <c r="J292" s="187" t="inlineStr">
        <is>
          <t>电视</t>
        </is>
      </c>
      <c r="K292" s="186" t="inlineStr">
        <is>
          <t>60分钟以上</t>
        </is>
      </c>
      <c r="L292" s="187" t="inlineStr">
        <is>
          <t>办公辅助空间</t>
        </is>
      </c>
      <c r="M292" s="187" t="inlineStr">
        <is>
          <t>研究人员</t>
        </is>
      </c>
      <c r="N292" s="187" t="inlineStr">
        <is>
          <t>干预者回原文补齐</t>
        </is>
      </c>
      <c r="O292" s="186" t="inlineStr">
        <is>
          <t>7.58岁</t>
        </is>
      </c>
      <c r="P292" s="187" t="inlineStr">
        <is>
          <t>每次2小时</t>
        </is>
      </c>
      <c r="Q292" s="187" t="inlineStr">
        <is>
          <t>演练、现场示范、反馈、强化、自我监控</t>
        </is>
      </c>
      <c r="R292" s="187" t="inlineStr">
        <is>
          <t>同伴儿童 + 动画角色</t>
        </is>
      </c>
      <c r="S292" s="187" t="inlineStr">
        <is>
          <t>电视</t>
        </is>
      </c>
      <c r="T292" s="187" t="inlineStr">
        <is>
          <t>缺失</t>
        </is>
      </c>
      <c r="U292" s="187" t="inlineStr">
        <is>
          <t>诊所或治疗项目</t>
        </is>
      </c>
      <c r="V292" s="187" t="inlineStr">
        <is>
          <t>加3种及以上</t>
        </is>
      </c>
      <c r="W292" s="186" t="inlineStr">
        <is>
          <t>BL vs Maintenance</t>
        </is>
      </c>
    </row>
    <row r="293" ht="70" customHeight="1" s="176">
      <c r="A293" s="186" t="inlineStr">
        <is>
          <t>K460</t>
        </is>
      </c>
      <c r="B293" s="186" t="inlineStr">
        <is>
          <t>056-滚雪球</t>
        </is>
      </c>
      <c r="C293" s="186" t="inlineStr">
        <is>
          <t>P3</t>
        </is>
      </c>
      <c r="D293" s="187" t="inlineStr">
        <is>
          <t>干预</t>
        </is>
      </c>
      <c r="E293" s="186" t="inlineStr">
        <is>
          <t>6–8岁</t>
        </is>
      </c>
      <c r="F293" s="187" t="inlineStr">
        <is>
          <t>男</t>
        </is>
      </c>
      <c r="G293" s="188" t="inlineStr">
        <is>
          <t>不纳入该变量（原文未报告）</t>
        </is>
      </c>
      <c r="H293" s="187" t="inlineStr">
        <is>
          <t>同伴儿童+动画角色</t>
        </is>
      </c>
      <c r="I293" s="187" t="inlineStr">
        <is>
          <t>嵌入综合干预方案</t>
        </is>
      </c>
      <c r="J293" s="187" t="inlineStr">
        <is>
          <t>电视</t>
        </is>
      </c>
      <c r="K293" s="186" t="inlineStr">
        <is>
          <t>60分钟以上</t>
        </is>
      </c>
      <c r="L293" s="187" t="inlineStr">
        <is>
          <t>办公辅助空间</t>
        </is>
      </c>
      <c r="M293" s="187" t="inlineStr">
        <is>
          <t>研究人员</t>
        </is>
      </c>
      <c r="N293" s="187" t="inlineStr">
        <is>
          <t>干预者回原文补齐</t>
        </is>
      </c>
      <c r="O293" s="186" t="inlineStr">
        <is>
          <t>7.58岁</t>
        </is>
      </c>
      <c r="P293" s="187" t="inlineStr">
        <is>
          <t>每次2小时</t>
        </is>
      </c>
      <c r="Q293" s="187" t="inlineStr">
        <is>
          <t>演练、现场示范、反馈、强化、自我监控</t>
        </is>
      </c>
      <c r="R293" s="187" t="inlineStr">
        <is>
          <t>同伴儿童 + 动画角色</t>
        </is>
      </c>
      <c r="S293" s="187" t="inlineStr">
        <is>
          <t>电视</t>
        </is>
      </c>
      <c r="T293" s="187" t="inlineStr">
        <is>
          <t>缺失</t>
        </is>
      </c>
      <c r="U293" s="187" t="inlineStr">
        <is>
          <t>诊所或治疗项目</t>
        </is>
      </c>
      <c r="V293" s="187" t="inlineStr">
        <is>
          <t>加3种及以上</t>
        </is>
      </c>
      <c r="W293" s="186" t="inlineStr">
        <is>
          <t>BL vs 紧接基线的第一个干预条件</t>
        </is>
      </c>
    </row>
    <row r="294" ht="70" customHeight="1" s="176">
      <c r="A294" s="186" t="inlineStr">
        <is>
          <t>K461</t>
        </is>
      </c>
      <c r="B294" s="186" t="inlineStr">
        <is>
          <t>056-滚雪球</t>
        </is>
      </c>
      <c r="C294" s="186" t="inlineStr">
        <is>
          <t>Jarrod</t>
        </is>
      </c>
      <c r="D294" s="187" t="inlineStr">
        <is>
          <t>干预</t>
        </is>
      </c>
      <c r="E294" s="186" t="inlineStr">
        <is>
          <t>6–8岁</t>
        </is>
      </c>
      <c r="F294" s="187" t="inlineStr">
        <is>
          <t>男</t>
        </is>
      </c>
      <c r="G294" s="188" t="inlineStr">
        <is>
          <t>不纳入该变量（原文未报告）</t>
        </is>
      </c>
      <c r="H294" s="187" t="inlineStr">
        <is>
          <t>同伴儿童+动画角色</t>
        </is>
      </c>
      <c r="I294" s="187" t="inlineStr">
        <is>
          <t>嵌入综合干预方案</t>
        </is>
      </c>
      <c r="J294" s="187" t="inlineStr">
        <is>
          <t>电视</t>
        </is>
      </c>
      <c r="K294" s="186" t="inlineStr">
        <is>
          <t>60分钟以上</t>
        </is>
      </c>
      <c r="L294" s="187" t="inlineStr">
        <is>
          <t>办公辅助空间</t>
        </is>
      </c>
      <c r="M294" s="187" t="inlineStr">
        <is>
          <t>研究人员</t>
        </is>
      </c>
      <c r="N294" s="187" t="inlineStr">
        <is>
          <t>干预者回原文补齐</t>
        </is>
      </c>
      <c r="O294" s="186" t="inlineStr">
        <is>
          <t>7.50岁</t>
        </is>
      </c>
      <c r="P294" s="187" t="inlineStr">
        <is>
          <t>每次2小时</t>
        </is>
      </c>
      <c r="Q294" s="187" t="inlineStr">
        <is>
          <t>演练、现场示范、反馈、强化、自我监控</t>
        </is>
      </c>
      <c r="R294" s="187" t="inlineStr">
        <is>
          <t>同伴儿童 + 动画角色</t>
        </is>
      </c>
      <c r="S294" s="187" t="inlineStr">
        <is>
          <t>电视</t>
        </is>
      </c>
      <c r="T294" s="187" t="inlineStr">
        <is>
          <t>缺失</t>
        </is>
      </c>
      <c r="U294" s="187" t="inlineStr">
        <is>
          <t>诊所或治疗项目</t>
        </is>
      </c>
      <c r="V294" s="187" t="inlineStr">
        <is>
          <t>加3种及以上</t>
        </is>
      </c>
      <c r="W294" s="186" t="inlineStr">
        <is>
          <t>BL vs 紧接基线的第一个干预条件</t>
        </is>
      </c>
    </row>
    <row r="295" ht="70" customHeight="1" s="176">
      <c r="A295" s="186" t="inlineStr">
        <is>
          <t>K462</t>
        </is>
      </c>
      <c r="B295" s="186" t="inlineStr">
        <is>
          <t>056-滚雪球</t>
        </is>
      </c>
      <c r="C295" s="186" t="inlineStr">
        <is>
          <t>Jarrod</t>
        </is>
      </c>
      <c r="D295" s="187" t="inlineStr">
        <is>
          <t>维持</t>
        </is>
      </c>
      <c r="E295" s="186" t="inlineStr">
        <is>
          <t>6–8岁</t>
        </is>
      </c>
      <c r="F295" s="187" t="inlineStr">
        <is>
          <t>男</t>
        </is>
      </c>
      <c r="G295" s="188" t="inlineStr">
        <is>
          <t>不纳入该变量（原文未报告）</t>
        </is>
      </c>
      <c r="H295" s="187" t="inlineStr">
        <is>
          <t>同伴儿童+动画角色</t>
        </is>
      </c>
      <c r="I295" s="187" t="inlineStr">
        <is>
          <t>嵌入综合干预方案</t>
        </is>
      </c>
      <c r="J295" s="187" t="inlineStr">
        <is>
          <t>电视</t>
        </is>
      </c>
      <c r="K295" s="186" t="inlineStr">
        <is>
          <t>60分钟以上</t>
        </is>
      </c>
      <c r="L295" s="187" t="inlineStr">
        <is>
          <t>办公辅助空间</t>
        </is>
      </c>
      <c r="M295" s="187" t="inlineStr">
        <is>
          <t>研究人员</t>
        </is>
      </c>
      <c r="N295" s="187" t="inlineStr">
        <is>
          <t>干预者回原文补齐</t>
        </is>
      </c>
      <c r="O295" s="186" t="inlineStr">
        <is>
          <t>7.50岁</t>
        </is>
      </c>
      <c r="P295" s="187" t="inlineStr">
        <is>
          <t>每次2小时</t>
        </is>
      </c>
      <c r="Q295" s="187" t="inlineStr">
        <is>
          <t>演练、现场示范、反馈、强化、自我监控</t>
        </is>
      </c>
      <c r="R295" s="187" t="inlineStr">
        <is>
          <t>同伴儿童 + 动画角色</t>
        </is>
      </c>
      <c r="S295" s="187" t="inlineStr">
        <is>
          <t>电视</t>
        </is>
      </c>
      <c r="T295" s="187" t="inlineStr">
        <is>
          <t>缺失</t>
        </is>
      </c>
      <c r="U295" s="187" t="inlineStr">
        <is>
          <t>诊所或治疗项目</t>
        </is>
      </c>
      <c r="V295" s="187" t="inlineStr">
        <is>
          <t>加3种及以上</t>
        </is>
      </c>
      <c r="W295" s="186" t="inlineStr">
        <is>
          <t>BL vs Maintenance</t>
        </is>
      </c>
    </row>
    <row r="296" ht="70" customHeight="1" s="176">
      <c r="A296" s="186" t="inlineStr">
        <is>
          <t>K463</t>
        </is>
      </c>
      <c r="B296" s="186" t="inlineStr">
        <is>
          <t>056-滚雪球</t>
        </is>
      </c>
      <c r="C296" s="186" t="inlineStr">
        <is>
          <t>Jarrod</t>
        </is>
      </c>
      <c r="D296" s="187" t="inlineStr">
        <is>
          <t>干预</t>
        </is>
      </c>
      <c r="E296" s="186" t="inlineStr">
        <is>
          <t>6–8岁</t>
        </is>
      </c>
      <c r="F296" s="187" t="inlineStr">
        <is>
          <t>男</t>
        </is>
      </c>
      <c r="G296" s="188" t="inlineStr">
        <is>
          <t>不纳入该变量（原文未报告）</t>
        </is>
      </c>
      <c r="H296" s="187" t="inlineStr">
        <is>
          <t>同伴儿童+动画角色</t>
        </is>
      </c>
      <c r="I296" s="187" t="inlineStr">
        <is>
          <t>嵌入综合干预方案</t>
        </is>
      </c>
      <c r="J296" s="187" t="inlineStr">
        <is>
          <t>电视</t>
        </is>
      </c>
      <c r="K296" s="186" t="inlineStr">
        <is>
          <t>60分钟以上</t>
        </is>
      </c>
      <c r="L296" s="187" t="inlineStr">
        <is>
          <t>办公辅助空间</t>
        </is>
      </c>
      <c r="M296" s="187" t="inlineStr">
        <is>
          <t>研究人员</t>
        </is>
      </c>
      <c r="N296" s="187" t="inlineStr">
        <is>
          <t>干预者回原文补齐</t>
        </is>
      </c>
      <c r="O296" s="186" t="inlineStr">
        <is>
          <t>7.50岁</t>
        </is>
      </c>
      <c r="P296" s="187" t="inlineStr">
        <is>
          <t>每次2小时</t>
        </is>
      </c>
      <c r="Q296" s="187" t="inlineStr">
        <is>
          <t>演练、现场示范、反馈、强化、自我监控</t>
        </is>
      </c>
      <c r="R296" s="187" t="inlineStr">
        <is>
          <t>同伴儿童 + 动画角色</t>
        </is>
      </c>
      <c r="S296" s="187" t="inlineStr">
        <is>
          <t>电视</t>
        </is>
      </c>
      <c r="T296" s="187" t="inlineStr">
        <is>
          <t>缺失</t>
        </is>
      </c>
      <c r="U296" s="187" t="inlineStr">
        <is>
          <t>诊所或治疗项目</t>
        </is>
      </c>
      <c r="V296" s="187" t="inlineStr">
        <is>
          <t>加3种及以上</t>
        </is>
      </c>
      <c r="W296" s="186" t="inlineStr">
        <is>
          <t>BL vs 紧接基线的第一个干预条件</t>
        </is>
      </c>
    </row>
    <row r="297" ht="15" customHeight="1" s="176">
      <c r="A297" s="186" t="inlineStr">
        <is>
          <t>K464</t>
        </is>
      </c>
      <c r="B297" s="186" t="inlineStr">
        <is>
          <t>056-滚雪球</t>
        </is>
      </c>
      <c r="C297" s="186" t="inlineStr">
        <is>
          <t>Jarrod</t>
        </is>
      </c>
      <c r="D297" s="187" t="inlineStr">
        <is>
          <t>维持</t>
        </is>
      </c>
      <c r="E297" s="186" t="inlineStr">
        <is>
          <t>6–8岁</t>
        </is>
      </c>
      <c r="F297" s="187" t="inlineStr">
        <is>
          <t>男</t>
        </is>
      </c>
      <c r="G297" s="188" t="inlineStr">
        <is>
          <t>不纳入该变量（原文未报告）</t>
        </is>
      </c>
      <c r="H297" s="187" t="inlineStr">
        <is>
          <t>同伴儿童+动画角色</t>
        </is>
      </c>
      <c r="I297" s="187" t="inlineStr">
        <is>
          <t>嵌入综合干预方案</t>
        </is>
      </c>
      <c r="J297" s="187" t="inlineStr">
        <is>
          <t>电视</t>
        </is>
      </c>
      <c r="K297" s="186" t="inlineStr">
        <is>
          <t>60分钟以上</t>
        </is>
      </c>
      <c r="L297" s="187" t="inlineStr">
        <is>
          <t>办公辅助空间</t>
        </is>
      </c>
      <c r="M297" s="187" t="inlineStr">
        <is>
          <t>研究人员</t>
        </is>
      </c>
      <c r="N297" s="187" t="inlineStr">
        <is>
          <t>干预者回原文补齐</t>
        </is>
      </c>
      <c r="O297" s="186" t="inlineStr">
        <is>
          <t>7.50岁</t>
        </is>
      </c>
      <c r="P297" s="187" t="inlineStr">
        <is>
          <t>每次2小时</t>
        </is>
      </c>
      <c r="Q297" s="187" t="inlineStr">
        <is>
          <t>演练、现场示范、反馈、强化、自我监控</t>
        </is>
      </c>
      <c r="R297" s="187" t="inlineStr">
        <is>
          <t>同伴儿童 + 动画角色</t>
        </is>
      </c>
      <c r="S297" s="187" t="inlineStr">
        <is>
          <t>电视</t>
        </is>
      </c>
      <c r="T297" s="187" t="inlineStr">
        <is>
          <t>缺失</t>
        </is>
      </c>
      <c r="U297" s="187" t="inlineStr">
        <is>
          <t>诊所或治疗项目</t>
        </is>
      </c>
      <c r="V297" s="187" t="inlineStr">
        <is>
          <t>加3种及以上</t>
        </is>
      </c>
      <c r="W297" s="186" t="inlineStr">
        <is>
          <t>BL vs Maintenance</t>
        </is>
      </c>
    </row>
    <row r="298" ht="15" customHeight="1" s="176">
      <c r="A298" s="186" t="inlineStr">
        <is>
          <t>K465</t>
        </is>
      </c>
      <c r="B298" s="186" t="inlineStr">
        <is>
          <t>056-滚雪球</t>
        </is>
      </c>
      <c r="C298" s="186" t="inlineStr">
        <is>
          <t>Jarrod</t>
        </is>
      </c>
      <c r="D298" s="187" t="inlineStr">
        <is>
          <t>干预</t>
        </is>
      </c>
      <c r="E298" s="186" t="inlineStr">
        <is>
          <t>6–8岁</t>
        </is>
      </c>
      <c r="F298" s="187" t="inlineStr">
        <is>
          <t>男</t>
        </is>
      </c>
      <c r="G298" s="188" t="inlineStr">
        <is>
          <t>不纳入该变量（原文未报告）</t>
        </is>
      </c>
      <c r="H298" s="187" t="inlineStr">
        <is>
          <t>同伴儿童+动画角色</t>
        </is>
      </c>
      <c r="I298" s="187" t="inlineStr">
        <is>
          <t>嵌入综合干预方案</t>
        </is>
      </c>
      <c r="J298" s="187" t="inlineStr">
        <is>
          <t>电视</t>
        </is>
      </c>
      <c r="K298" s="186" t="inlineStr">
        <is>
          <t>60分钟以上</t>
        </is>
      </c>
      <c r="L298" s="187" t="inlineStr">
        <is>
          <t>办公辅助空间</t>
        </is>
      </c>
      <c r="M298" s="187" t="inlineStr">
        <is>
          <t>研究人员</t>
        </is>
      </c>
      <c r="N298" s="187" t="inlineStr">
        <is>
          <t>干预者回原文补齐</t>
        </is>
      </c>
      <c r="O298" s="186" t="inlineStr">
        <is>
          <t>7.50岁</t>
        </is>
      </c>
      <c r="P298" s="187" t="inlineStr">
        <is>
          <t>每次2小时</t>
        </is>
      </c>
      <c r="Q298" s="187" t="inlineStr">
        <is>
          <t>演练、现场示范、反馈、强化、自我监控</t>
        </is>
      </c>
      <c r="R298" s="187" t="inlineStr">
        <is>
          <t>同伴儿童 + 动画角色</t>
        </is>
      </c>
      <c r="S298" s="187" t="inlineStr">
        <is>
          <t>电视</t>
        </is>
      </c>
      <c r="T298" s="187" t="inlineStr">
        <is>
          <t>缺失</t>
        </is>
      </c>
      <c r="U298" s="187" t="inlineStr">
        <is>
          <t>诊所或治疗项目</t>
        </is>
      </c>
      <c r="V298" s="187" t="inlineStr">
        <is>
          <t>加3种及以上</t>
        </is>
      </c>
      <c r="W298" s="186" t="inlineStr">
        <is>
          <t>BL vs 紧接基线的第一个干预条件</t>
        </is>
      </c>
    </row>
    <row r="299" ht="15" customHeight="1" s="176">
      <c r="A299" s="186" t="inlineStr">
        <is>
          <t>K466</t>
        </is>
      </c>
      <c r="B299" s="186" t="inlineStr">
        <is>
          <t>056-滚雪球</t>
        </is>
      </c>
      <c r="C299" s="186" t="inlineStr">
        <is>
          <t>Jarrod</t>
        </is>
      </c>
      <c r="D299" s="187" t="inlineStr">
        <is>
          <t>维持</t>
        </is>
      </c>
      <c r="E299" s="186" t="inlineStr">
        <is>
          <t>6–8岁</t>
        </is>
      </c>
      <c r="F299" s="187" t="inlineStr">
        <is>
          <t>男</t>
        </is>
      </c>
      <c r="G299" s="188" t="inlineStr">
        <is>
          <t>不纳入该变量（原文未报告）</t>
        </is>
      </c>
      <c r="H299" s="187" t="inlineStr">
        <is>
          <t>同伴儿童+动画角色</t>
        </is>
      </c>
      <c r="I299" s="187" t="inlineStr">
        <is>
          <t>嵌入综合干预方案</t>
        </is>
      </c>
      <c r="J299" s="187" t="inlineStr">
        <is>
          <t>电视</t>
        </is>
      </c>
      <c r="K299" s="186" t="inlineStr">
        <is>
          <t>60分钟以上</t>
        </is>
      </c>
      <c r="L299" s="187" t="inlineStr">
        <is>
          <t>办公辅助空间</t>
        </is>
      </c>
      <c r="M299" s="187" t="inlineStr">
        <is>
          <t>研究人员</t>
        </is>
      </c>
      <c r="N299" s="187" t="inlineStr">
        <is>
          <t>干预者回原文补齐</t>
        </is>
      </c>
      <c r="O299" s="186" t="inlineStr">
        <is>
          <t>7.50岁</t>
        </is>
      </c>
      <c r="P299" s="187" t="inlineStr">
        <is>
          <t>每次2小时</t>
        </is>
      </c>
      <c r="Q299" s="187" t="inlineStr">
        <is>
          <t>演练、现场示范、反馈、强化、自我监控</t>
        </is>
      </c>
      <c r="R299" s="187" t="inlineStr">
        <is>
          <t>同伴儿童 + 动画角色</t>
        </is>
      </c>
      <c r="S299" s="187" t="inlineStr">
        <is>
          <t>电视</t>
        </is>
      </c>
      <c r="T299" s="187" t="inlineStr">
        <is>
          <t>缺失</t>
        </is>
      </c>
      <c r="U299" s="187" t="inlineStr">
        <is>
          <t>诊所或治疗项目</t>
        </is>
      </c>
      <c r="V299" s="187" t="inlineStr">
        <is>
          <t>加3种及以上</t>
        </is>
      </c>
      <c r="W299" s="186" t="inlineStr">
        <is>
          <t>BL vs Maintenance</t>
        </is>
      </c>
    </row>
    <row r="300" ht="15" customHeight="1" s="176">
      <c r="A300" s="186" t="inlineStr">
        <is>
          <t>K467</t>
        </is>
      </c>
      <c r="B300" s="186" t="inlineStr">
        <is>
          <t>056-滚雪球</t>
        </is>
      </c>
      <c r="C300" s="186" t="inlineStr">
        <is>
          <t>Jarrod</t>
        </is>
      </c>
      <c r="D300" s="187" t="inlineStr">
        <is>
          <t>干预</t>
        </is>
      </c>
      <c r="E300" s="186" t="inlineStr">
        <is>
          <t>6–8岁</t>
        </is>
      </c>
      <c r="F300" s="187" t="inlineStr">
        <is>
          <t>男</t>
        </is>
      </c>
      <c r="G300" s="188" t="inlineStr">
        <is>
          <t>不纳入该变量（原文未报告）</t>
        </is>
      </c>
      <c r="H300" s="187" t="inlineStr">
        <is>
          <t>同伴儿童+动画角色</t>
        </is>
      </c>
      <c r="I300" s="187" t="inlineStr">
        <is>
          <t>嵌入综合干预方案</t>
        </is>
      </c>
      <c r="J300" s="187" t="inlineStr">
        <is>
          <t>电视</t>
        </is>
      </c>
      <c r="K300" s="186" t="inlineStr">
        <is>
          <t>60分钟以上</t>
        </is>
      </c>
      <c r="L300" s="187" t="inlineStr">
        <is>
          <t>办公辅助空间</t>
        </is>
      </c>
      <c r="M300" s="187" t="inlineStr">
        <is>
          <t>研究人员</t>
        </is>
      </c>
      <c r="N300" s="187" t="inlineStr">
        <is>
          <t>干预者回原文补齐</t>
        </is>
      </c>
      <c r="O300" s="186" t="inlineStr">
        <is>
          <t>7.50岁</t>
        </is>
      </c>
      <c r="P300" s="187" t="inlineStr">
        <is>
          <t>每次2小时</t>
        </is>
      </c>
      <c r="Q300" s="187" t="inlineStr">
        <is>
          <t>演练、现场示范、反馈、强化、自我监控</t>
        </is>
      </c>
      <c r="R300" s="187" t="inlineStr">
        <is>
          <t>同伴儿童 + 动画角色</t>
        </is>
      </c>
      <c r="S300" s="187" t="inlineStr">
        <is>
          <t>电视</t>
        </is>
      </c>
      <c r="T300" s="187" t="inlineStr">
        <is>
          <t>缺失</t>
        </is>
      </c>
      <c r="U300" s="187" t="inlineStr">
        <is>
          <t>诊所或治疗项目</t>
        </is>
      </c>
      <c r="V300" s="187" t="inlineStr">
        <is>
          <t>加3种及以上</t>
        </is>
      </c>
      <c r="W300" s="186" t="inlineStr">
        <is>
          <t>BL vs 紧接基线的第一个干预条件</t>
        </is>
      </c>
    </row>
    <row r="301" ht="15" customHeight="1" s="176">
      <c r="A301" s="186" t="inlineStr">
        <is>
          <t>K468</t>
        </is>
      </c>
      <c r="B301" s="186" t="inlineStr">
        <is>
          <t>056-滚雪球</t>
        </is>
      </c>
      <c r="C301" s="186" t="inlineStr">
        <is>
          <t>Tony</t>
        </is>
      </c>
      <c r="D301" s="187" t="inlineStr">
        <is>
          <t>干预</t>
        </is>
      </c>
      <c r="E301" s="186" t="inlineStr">
        <is>
          <t>6–8岁</t>
        </is>
      </c>
      <c r="F301" s="187" t="inlineStr">
        <is>
          <t>男</t>
        </is>
      </c>
      <c r="G301" s="188" t="inlineStr">
        <is>
          <t>不纳入该变量（原文未报告）</t>
        </is>
      </c>
      <c r="H301" s="187" t="inlineStr">
        <is>
          <t>同伴儿童+动画角色</t>
        </is>
      </c>
      <c r="I301" s="187" t="inlineStr">
        <is>
          <t>嵌入综合干预方案</t>
        </is>
      </c>
      <c r="J301" s="187" t="inlineStr">
        <is>
          <t>电视</t>
        </is>
      </c>
      <c r="K301" s="186" t="inlineStr">
        <is>
          <t>60分钟以上</t>
        </is>
      </c>
      <c r="L301" s="187" t="inlineStr">
        <is>
          <t>办公辅助空间</t>
        </is>
      </c>
      <c r="M301" s="187" t="inlineStr">
        <is>
          <t>研究人员</t>
        </is>
      </c>
      <c r="N301" s="187" t="inlineStr">
        <is>
          <t>干预者回原文补齐</t>
        </is>
      </c>
      <c r="O301" s="186" t="inlineStr">
        <is>
          <t>7.17岁</t>
        </is>
      </c>
      <c r="P301" s="187" t="inlineStr">
        <is>
          <t>每次2小时</t>
        </is>
      </c>
      <c r="Q301" s="187" t="inlineStr">
        <is>
          <t>演练、现场示范、反馈、强化、自我监控</t>
        </is>
      </c>
      <c r="R301" s="187" t="inlineStr">
        <is>
          <t>同伴儿童 + 动画角色</t>
        </is>
      </c>
      <c r="S301" s="187" t="inlineStr">
        <is>
          <t>电视</t>
        </is>
      </c>
      <c r="T301" s="187" t="inlineStr">
        <is>
          <t>缺失</t>
        </is>
      </c>
      <c r="U301" s="187" t="inlineStr">
        <is>
          <t>诊所或治疗项目</t>
        </is>
      </c>
      <c r="V301" s="187" t="inlineStr">
        <is>
          <t>加3种及以上</t>
        </is>
      </c>
      <c r="W301" s="186" t="inlineStr">
        <is>
          <t>BL vs 紧接基线的第一个干预条件</t>
        </is>
      </c>
    </row>
    <row r="302" ht="15" customHeight="1" s="176">
      <c r="A302" s="186" t="inlineStr">
        <is>
          <t>K469</t>
        </is>
      </c>
      <c r="B302" s="186" t="inlineStr">
        <is>
          <t>056-滚雪球</t>
        </is>
      </c>
      <c r="C302" s="186" t="inlineStr">
        <is>
          <t>Tony</t>
        </is>
      </c>
      <c r="D302" s="187" t="inlineStr">
        <is>
          <t>维持</t>
        </is>
      </c>
      <c r="E302" s="186" t="inlineStr">
        <is>
          <t>6–8岁</t>
        </is>
      </c>
      <c r="F302" s="187" t="inlineStr">
        <is>
          <t>男</t>
        </is>
      </c>
      <c r="G302" s="188" t="inlineStr">
        <is>
          <t>不纳入该变量（原文未报告）</t>
        </is>
      </c>
      <c r="H302" s="187" t="inlineStr">
        <is>
          <t>同伴儿童+动画角色</t>
        </is>
      </c>
      <c r="I302" s="187" t="inlineStr">
        <is>
          <t>嵌入综合干预方案</t>
        </is>
      </c>
      <c r="J302" s="187" t="inlineStr">
        <is>
          <t>电视</t>
        </is>
      </c>
      <c r="K302" s="186" t="inlineStr">
        <is>
          <t>60分钟以上</t>
        </is>
      </c>
      <c r="L302" s="187" t="inlineStr">
        <is>
          <t>办公辅助空间</t>
        </is>
      </c>
      <c r="M302" s="187" t="inlineStr">
        <is>
          <t>研究人员</t>
        </is>
      </c>
      <c r="N302" s="187" t="inlineStr">
        <is>
          <t>干预者回原文补齐</t>
        </is>
      </c>
      <c r="O302" s="186" t="inlineStr">
        <is>
          <t>7.17岁</t>
        </is>
      </c>
      <c r="P302" s="187" t="inlineStr">
        <is>
          <t>每次2小时</t>
        </is>
      </c>
      <c r="Q302" s="187" t="inlineStr">
        <is>
          <t>演练、现场示范、反馈、强化、自我监控</t>
        </is>
      </c>
      <c r="R302" s="187" t="inlineStr">
        <is>
          <t>同伴儿童 + 动画角色</t>
        </is>
      </c>
      <c r="S302" s="187" t="inlineStr">
        <is>
          <t>电视</t>
        </is>
      </c>
      <c r="T302" s="187" t="inlineStr">
        <is>
          <t>缺失</t>
        </is>
      </c>
      <c r="U302" s="187" t="inlineStr">
        <is>
          <t>诊所或治疗项目</t>
        </is>
      </c>
      <c r="V302" s="187" t="inlineStr">
        <is>
          <t>加3种及以上</t>
        </is>
      </c>
      <c r="W302" s="186" t="inlineStr">
        <is>
          <t>BL vs Maintenance</t>
        </is>
      </c>
    </row>
    <row r="303" ht="15" customHeight="1" s="176">
      <c r="A303" s="186" t="inlineStr">
        <is>
          <t>K470</t>
        </is>
      </c>
      <c r="B303" s="186" t="inlineStr">
        <is>
          <t>056-滚雪球</t>
        </is>
      </c>
      <c r="C303" s="186" t="inlineStr">
        <is>
          <t>Tony</t>
        </is>
      </c>
      <c r="D303" s="187" t="inlineStr">
        <is>
          <t>干预</t>
        </is>
      </c>
      <c r="E303" s="186" t="inlineStr">
        <is>
          <t>6–8岁</t>
        </is>
      </c>
      <c r="F303" s="187" t="inlineStr">
        <is>
          <t>男</t>
        </is>
      </c>
      <c r="G303" s="188" t="inlineStr">
        <is>
          <t>不纳入该变量（原文未报告）</t>
        </is>
      </c>
      <c r="H303" s="187" t="inlineStr">
        <is>
          <t>同伴儿童+动画角色</t>
        </is>
      </c>
      <c r="I303" s="187" t="inlineStr">
        <is>
          <t>嵌入综合干预方案</t>
        </is>
      </c>
      <c r="J303" s="187" t="inlineStr">
        <is>
          <t>电视</t>
        </is>
      </c>
      <c r="K303" s="186" t="inlineStr">
        <is>
          <t>60分钟以上</t>
        </is>
      </c>
      <c r="L303" s="187" t="inlineStr">
        <is>
          <t>办公辅助空间</t>
        </is>
      </c>
      <c r="M303" s="187" t="inlineStr">
        <is>
          <t>研究人员</t>
        </is>
      </c>
      <c r="N303" s="187" t="inlineStr">
        <is>
          <t>干预者回原文补齐</t>
        </is>
      </c>
      <c r="O303" s="186" t="inlineStr">
        <is>
          <t>7.17岁</t>
        </is>
      </c>
      <c r="P303" s="187" t="inlineStr">
        <is>
          <t>每次2小时</t>
        </is>
      </c>
      <c r="Q303" s="187" t="inlineStr">
        <is>
          <t>演练、现场示范、反馈、强化、自我监控</t>
        </is>
      </c>
      <c r="R303" s="187" t="inlineStr">
        <is>
          <t>同伴儿童 + 动画角色</t>
        </is>
      </c>
      <c r="S303" s="187" t="inlineStr">
        <is>
          <t>电视</t>
        </is>
      </c>
      <c r="T303" s="187" t="inlineStr">
        <is>
          <t>缺失</t>
        </is>
      </c>
      <c r="U303" s="187" t="inlineStr">
        <is>
          <t>诊所或治疗项目</t>
        </is>
      </c>
      <c r="V303" s="187" t="inlineStr">
        <is>
          <t>加3种及以上</t>
        </is>
      </c>
      <c r="W303" s="186" t="inlineStr">
        <is>
          <t>BL vs 紧接基线的第一个干预条件</t>
        </is>
      </c>
    </row>
    <row r="304" ht="15" customHeight="1" s="176">
      <c r="A304" s="186" t="inlineStr">
        <is>
          <t>K471</t>
        </is>
      </c>
      <c r="B304" s="186" t="inlineStr">
        <is>
          <t>056-滚雪球</t>
        </is>
      </c>
      <c r="C304" s="186" t="inlineStr">
        <is>
          <t>Tony</t>
        </is>
      </c>
      <c r="D304" s="187" t="inlineStr">
        <is>
          <t>维持</t>
        </is>
      </c>
      <c r="E304" s="186" t="inlineStr">
        <is>
          <t>6–8岁</t>
        </is>
      </c>
      <c r="F304" s="187" t="inlineStr">
        <is>
          <t>男</t>
        </is>
      </c>
      <c r="G304" s="188" t="inlineStr">
        <is>
          <t>不纳入该变量（原文未报告）</t>
        </is>
      </c>
      <c r="H304" s="187" t="inlineStr">
        <is>
          <t>同伴儿童+动画角色</t>
        </is>
      </c>
      <c r="I304" s="187" t="inlineStr">
        <is>
          <t>嵌入综合干预方案</t>
        </is>
      </c>
      <c r="J304" s="187" t="inlineStr">
        <is>
          <t>电视</t>
        </is>
      </c>
      <c r="K304" s="186" t="inlineStr">
        <is>
          <t>60分钟以上</t>
        </is>
      </c>
      <c r="L304" s="187" t="inlineStr">
        <is>
          <t>办公辅助空间</t>
        </is>
      </c>
      <c r="M304" s="187" t="inlineStr">
        <is>
          <t>研究人员</t>
        </is>
      </c>
      <c r="N304" s="187" t="inlineStr">
        <is>
          <t>干预者回原文补齐</t>
        </is>
      </c>
      <c r="O304" s="186" t="inlineStr">
        <is>
          <t>7.17岁</t>
        </is>
      </c>
      <c r="P304" s="187" t="inlineStr">
        <is>
          <t>每次2小时</t>
        </is>
      </c>
      <c r="Q304" s="187" t="inlineStr">
        <is>
          <t>演练、现场示范、反馈、强化、自我监控</t>
        </is>
      </c>
      <c r="R304" s="187" t="inlineStr">
        <is>
          <t>同伴儿童 + 动画角色</t>
        </is>
      </c>
      <c r="S304" s="187" t="inlineStr">
        <is>
          <t>电视</t>
        </is>
      </c>
      <c r="T304" s="187" t="inlineStr">
        <is>
          <t>缺失</t>
        </is>
      </c>
      <c r="U304" s="187" t="inlineStr">
        <is>
          <t>诊所或治疗项目</t>
        </is>
      </c>
      <c r="V304" s="187" t="inlineStr">
        <is>
          <t>加3种及以上</t>
        </is>
      </c>
      <c r="W304" s="186" t="inlineStr">
        <is>
          <t>BL vs Maintenance</t>
        </is>
      </c>
    </row>
    <row r="305" ht="15" customHeight="1" s="176">
      <c r="A305" s="186" t="inlineStr">
        <is>
          <t>K472</t>
        </is>
      </c>
      <c r="B305" s="186" t="inlineStr">
        <is>
          <t>056-滚雪球</t>
        </is>
      </c>
      <c r="C305" s="186" t="inlineStr">
        <is>
          <t>Tony</t>
        </is>
      </c>
      <c r="D305" s="187" t="inlineStr">
        <is>
          <t>干预</t>
        </is>
      </c>
      <c r="E305" s="186" t="inlineStr">
        <is>
          <t>6–8岁</t>
        </is>
      </c>
      <c r="F305" s="187" t="inlineStr">
        <is>
          <t>男</t>
        </is>
      </c>
      <c r="G305" s="188" t="inlineStr">
        <is>
          <t>不纳入该变量（原文未报告）</t>
        </is>
      </c>
      <c r="H305" s="187" t="inlineStr">
        <is>
          <t>同伴儿童+动画角色</t>
        </is>
      </c>
      <c r="I305" s="187" t="inlineStr">
        <is>
          <t>嵌入综合干预方案</t>
        </is>
      </c>
      <c r="J305" s="187" t="inlineStr">
        <is>
          <t>电视</t>
        </is>
      </c>
      <c r="K305" s="186" t="inlineStr">
        <is>
          <t>60分钟以上</t>
        </is>
      </c>
      <c r="L305" s="187" t="inlineStr">
        <is>
          <t>办公辅助空间</t>
        </is>
      </c>
      <c r="M305" s="187" t="inlineStr">
        <is>
          <t>研究人员</t>
        </is>
      </c>
      <c r="N305" s="187" t="inlineStr">
        <is>
          <t>干预者回原文补齐</t>
        </is>
      </c>
      <c r="O305" s="186" t="inlineStr">
        <is>
          <t>7.17岁</t>
        </is>
      </c>
      <c r="P305" s="187" t="inlineStr">
        <is>
          <t>每次2小时</t>
        </is>
      </c>
      <c r="Q305" s="187" t="inlineStr">
        <is>
          <t>演练、现场示范、反馈、强化、自我监控</t>
        </is>
      </c>
      <c r="R305" s="187" t="inlineStr">
        <is>
          <t>同伴儿童 + 动画角色</t>
        </is>
      </c>
      <c r="S305" s="187" t="inlineStr">
        <is>
          <t>电视</t>
        </is>
      </c>
      <c r="T305" s="187" t="inlineStr">
        <is>
          <t>缺失</t>
        </is>
      </c>
      <c r="U305" s="187" t="inlineStr">
        <is>
          <t>诊所或治疗项目</t>
        </is>
      </c>
      <c r="V305" s="187" t="inlineStr">
        <is>
          <t>加3种及以上</t>
        </is>
      </c>
      <c r="W305" s="186" t="inlineStr">
        <is>
          <t>BL vs 紧接基线的第一个干预条件</t>
        </is>
      </c>
    </row>
    <row r="306" ht="15" customHeight="1" s="176">
      <c r="A306" s="186" t="inlineStr">
        <is>
          <t>K473</t>
        </is>
      </c>
      <c r="B306" s="186" t="inlineStr">
        <is>
          <t>056-滚雪球</t>
        </is>
      </c>
      <c r="C306" s="186" t="inlineStr">
        <is>
          <t>Tony</t>
        </is>
      </c>
      <c r="D306" s="187" t="inlineStr">
        <is>
          <t>维持</t>
        </is>
      </c>
      <c r="E306" s="186" t="inlineStr">
        <is>
          <t>6–8岁</t>
        </is>
      </c>
      <c r="F306" s="187" t="inlineStr">
        <is>
          <t>男</t>
        </is>
      </c>
      <c r="G306" s="188" t="inlineStr">
        <is>
          <t>不纳入该变量（原文未报告）</t>
        </is>
      </c>
      <c r="H306" s="187" t="inlineStr">
        <is>
          <t>同伴儿童+动画角色</t>
        </is>
      </c>
      <c r="I306" s="187" t="inlineStr">
        <is>
          <t>嵌入综合干预方案</t>
        </is>
      </c>
      <c r="J306" s="187" t="inlineStr">
        <is>
          <t>电视</t>
        </is>
      </c>
      <c r="K306" s="186" t="inlineStr">
        <is>
          <t>60分钟以上</t>
        </is>
      </c>
      <c r="L306" s="187" t="inlineStr">
        <is>
          <t>办公辅助空间</t>
        </is>
      </c>
      <c r="M306" s="187" t="inlineStr">
        <is>
          <t>研究人员</t>
        </is>
      </c>
      <c r="N306" s="187" t="inlineStr">
        <is>
          <t>干预者回原文补齐</t>
        </is>
      </c>
      <c r="O306" s="186" t="inlineStr">
        <is>
          <t>7.17岁</t>
        </is>
      </c>
      <c r="P306" s="187" t="inlineStr">
        <is>
          <t>每次2小时</t>
        </is>
      </c>
      <c r="Q306" s="187" t="inlineStr">
        <is>
          <t>演练、现场示范、反馈、强化、自我监控</t>
        </is>
      </c>
      <c r="R306" s="187" t="inlineStr">
        <is>
          <t>同伴儿童 + 动画角色</t>
        </is>
      </c>
      <c r="S306" s="187" t="inlineStr">
        <is>
          <t>电视</t>
        </is>
      </c>
      <c r="T306" s="187" t="inlineStr">
        <is>
          <t>缺失</t>
        </is>
      </c>
      <c r="U306" s="187" t="inlineStr">
        <is>
          <t>诊所或治疗项目</t>
        </is>
      </c>
      <c r="V306" s="187" t="inlineStr">
        <is>
          <t>加3种及以上</t>
        </is>
      </c>
      <c r="W306" s="186" t="inlineStr">
        <is>
          <t>BL vs Maintenance</t>
        </is>
      </c>
    </row>
    <row r="307" ht="15" customHeight="1" s="176">
      <c r="A307" s="186" t="inlineStr">
        <is>
          <t>K474</t>
        </is>
      </c>
      <c r="B307" s="186" t="inlineStr">
        <is>
          <t>056-滚雪球</t>
        </is>
      </c>
      <c r="C307" s="186" t="inlineStr">
        <is>
          <t>Tony</t>
        </is>
      </c>
      <c r="D307" s="187" t="inlineStr">
        <is>
          <t>干预</t>
        </is>
      </c>
      <c r="E307" s="186" t="inlineStr">
        <is>
          <t>6–8岁</t>
        </is>
      </c>
      <c r="F307" s="187" t="inlineStr">
        <is>
          <t>男</t>
        </is>
      </c>
      <c r="G307" s="188" t="inlineStr">
        <is>
          <t>不纳入该变量（原文未报告）</t>
        </is>
      </c>
      <c r="H307" s="187" t="inlineStr">
        <is>
          <t>同伴儿童+动画角色</t>
        </is>
      </c>
      <c r="I307" s="187" t="inlineStr">
        <is>
          <t>嵌入综合干预方案</t>
        </is>
      </c>
      <c r="J307" s="187" t="inlineStr">
        <is>
          <t>电视</t>
        </is>
      </c>
      <c r="K307" s="186" t="inlineStr">
        <is>
          <t>60分钟以上</t>
        </is>
      </c>
      <c r="L307" s="187" t="inlineStr">
        <is>
          <t>办公辅助空间</t>
        </is>
      </c>
      <c r="M307" s="187" t="inlineStr">
        <is>
          <t>研究人员</t>
        </is>
      </c>
      <c r="N307" s="187" t="inlineStr">
        <is>
          <t>干预者回原文补齐</t>
        </is>
      </c>
      <c r="O307" s="186" t="inlineStr">
        <is>
          <t>7.17岁</t>
        </is>
      </c>
      <c r="P307" s="187" t="inlineStr">
        <is>
          <t>每次2小时</t>
        </is>
      </c>
      <c r="Q307" s="187" t="inlineStr">
        <is>
          <t>演练、现场示范、反馈、强化、自我监控</t>
        </is>
      </c>
      <c r="R307" s="187" t="inlineStr">
        <is>
          <t>同伴儿童 + 动画角色</t>
        </is>
      </c>
      <c r="S307" s="187" t="inlineStr">
        <is>
          <t>电视</t>
        </is>
      </c>
      <c r="T307" s="187" t="inlineStr">
        <is>
          <t>缺失</t>
        </is>
      </c>
      <c r="U307" s="187" t="inlineStr">
        <is>
          <t>诊所或治疗项目</t>
        </is>
      </c>
      <c r="V307" s="187" t="inlineStr">
        <is>
          <t>加3种及以上</t>
        </is>
      </c>
      <c r="W307" s="186" t="inlineStr">
        <is>
          <t>BL vs 紧接基线的第一个干预条件</t>
        </is>
      </c>
    </row>
    <row r="308" ht="15" customHeight="1" s="176">
      <c r="A308" s="186" t="inlineStr">
        <is>
          <t>K477</t>
        </is>
      </c>
      <c r="B308" s="186" t="inlineStr">
        <is>
          <t>057-二次</t>
        </is>
      </c>
      <c r="C308" s="186" t="inlineStr">
        <is>
          <t>Abby（化名）</t>
        </is>
      </c>
      <c r="D308" s="187" t="inlineStr">
        <is>
          <t>干预</t>
        </is>
      </c>
      <c r="E308" s="186" t="inlineStr">
        <is>
          <t>9–12岁</t>
        </is>
      </c>
      <c r="F308" s="187" t="inlineStr">
        <is>
          <t>女</t>
        </is>
      </c>
      <c r="G308" s="188" t="inlineStr">
        <is>
          <t>不纳入该变量（原文未报告）</t>
        </is>
      </c>
      <c r="H308" s="187" t="inlineStr">
        <is>
          <t>同伴儿童（含兄弟姐妹）</t>
        </is>
      </c>
      <c r="I308" s="187" t="inlineStr">
        <is>
          <t>嵌入综合干预方案</t>
        </is>
      </c>
      <c r="J308" s="187" t="inlineStr">
        <is>
          <t>电脑</t>
        </is>
      </c>
      <c r="K308" s="188" t="inlineStr">
        <is>
          <t>不纳入该变量（原文未报告）</t>
        </is>
      </c>
      <c r="L308" s="187" t="inlineStr">
        <is>
          <t>家庭社区</t>
        </is>
      </c>
      <c r="M308" s="187" t="inlineStr">
        <is>
          <t>家长</t>
        </is>
      </c>
      <c r="N308" s="190" t="inlineStr">
        <is>
          <t>示范者由“手足”改归
视频设备依据：年份推定（原文播放终端未明确，按确认方案归组）</t>
        </is>
      </c>
      <c r="O308" s="186" t="inlineStr">
        <is>
          <t>9.00岁</t>
        </is>
      </c>
      <c r="P308" s="187" t="inlineStr">
        <is>
          <t>未报告（辨别训练60分钟、自我记录训练30分钟各1次，之后为家中日常自我管理）</t>
        </is>
      </c>
      <c r="Q308" s="187" t="inlineStr">
        <is>
          <t>演练、现场示范、强化、自我监控</t>
        </is>
      </c>
      <c r="R308" s="187" t="inlineStr">
        <is>
          <t>手足</t>
        </is>
      </c>
      <c r="S308" s="187" t="inlineStr">
        <is>
          <t>缺失</t>
        </is>
      </c>
      <c r="T308" s="187" t="inlineStr">
        <is>
          <t>家长</t>
        </is>
      </c>
      <c r="U308" s="187" t="inlineStr">
        <is>
          <t>家庭</t>
        </is>
      </c>
      <c r="V308" s="187" t="inlineStr">
        <is>
          <t>加3种及以上</t>
        </is>
      </c>
      <c r="W308" s="186" t="inlineStr">
        <is>
          <t>Baseline vs Intervention（自我管理含视频示范）</t>
        </is>
      </c>
    </row>
    <row r="309" ht="15" customHeight="1" s="176">
      <c r="A309" s="186" t="inlineStr">
        <is>
          <t>K478</t>
        </is>
      </c>
      <c r="B309" s="186" t="inlineStr">
        <is>
          <t>057-二次</t>
        </is>
      </c>
      <c r="C309" s="186" t="inlineStr">
        <is>
          <t>Abby（化名）</t>
        </is>
      </c>
      <c r="D309" s="187" t="inlineStr">
        <is>
          <t>维持</t>
        </is>
      </c>
      <c r="E309" s="186" t="inlineStr">
        <is>
          <t>9–12岁</t>
        </is>
      </c>
      <c r="F309" s="187" t="inlineStr">
        <is>
          <t>女</t>
        </is>
      </c>
      <c r="G309" s="188" t="inlineStr">
        <is>
          <t>不纳入该变量（原文未报告）</t>
        </is>
      </c>
      <c r="H309" s="187" t="inlineStr">
        <is>
          <t>同伴儿童（含兄弟姐妹）</t>
        </is>
      </c>
      <c r="I309" s="187" t="inlineStr">
        <is>
          <t>嵌入综合干预方案</t>
        </is>
      </c>
      <c r="J309" s="187" t="inlineStr">
        <is>
          <t>电脑</t>
        </is>
      </c>
      <c r="K309" s="188" t="inlineStr">
        <is>
          <t>不纳入该变量（原文未报告）</t>
        </is>
      </c>
      <c r="L309" s="187" t="inlineStr">
        <is>
          <t>家庭社区</t>
        </is>
      </c>
      <c r="M309" s="187" t="inlineStr">
        <is>
          <t>家长</t>
        </is>
      </c>
      <c r="N309" s="190" t="inlineStr">
        <is>
          <t>示范者由“手足”改归
视频设备依据：年份推定（原文播放终端未明确，按确认方案归组）</t>
        </is>
      </c>
      <c r="O309" s="186" t="inlineStr">
        <is>
          <t>9.00岁</t>
        </is>
      </c>
      <c r="P309" s="187" t="inlineStr">
        <is>
          <t>未报告（辨别训练60分钟、自我记录训练30分钟各1次，之后为家中日常自我管理）</t>
        </is>
      </c>
      <c r="Q309" s="187" t="inlineStr">
        <is>
          <t>演练、现场示范、强化、自我监控</t>
        </is>
      </c>
      <c r="R309" s="187" t="inlineStr">
        <is>
          <t>手足</t>
        </is>
      </c>
      <c r="S309" s="187" t="inlineStr">
        <is>
          <t>缺失</t>
        </is>
      </c>
      <c r="T309" s="187" t="inlineStr">
        <is>
          <t>家长</t>
        </is>
      </c>
      <c r="U309" s="187" t="inlineStr">
        <is>
          <t>家庭</t>
        </is>
      </c>
      <c r="V309" s="187" t="inlineStr">
        <is>
          <t>加3种及以上</t>
        </is>
      </c>
      <c r="W309" s="186" t="inlineStr">
        <is>
          <t>Baseline vs Follow-up（1 个月后；Fading 段不用）</t>
        </is>
      </c>
    </row>
    <row r="310" ht="15" customHeight="1" s="176">
      <c r="A310" s="186" t="inlineStr">
        <is>
          <t>K479</t>
        </is>
      </c>
      <c r="B310" s="186" t="inlineStr">
        <is>
          <t>057-二次</t>
        </is>
      </c>
      <c r="C310" s="186" t="inlineStr">
        <is>
          <t>Abby（化名）</t>
        </is>
      </c>
      <c r="D310" s="187" t="inlineStr">
        <is>
          <t>干预</t>
        </is>
      </c>
      <c r="E310" s="186" t="inlineStr">
        <is>
          <t>9–12岁</t>
        </is>
      </c>
      <c r="F310" s="187" t="inlineStr">
        <is>
          <t>女</t>
        </is>
      </c>
      <c r="G310" s="188" t="inlineStr">
        <is>
          <t>不纳入该变量（原文未报告）</t>
        </is>
      </c>
      <c r="H310" s="187" t="inlineStr">
        <is>
          <t>成人</t>
        </is>
      </c>
      <c r="I310" s="187" t="inlineStr">
        <is>
          <t>嵌入综合干预方案</t>
        </is>
      </c>
      <c r="J310" s="187" t="inlineStr">
        <is>
          <t>电脑</t>
        </is>
      </c>
      <c r="K310" s="188" t="inlineStr">
        <is>
          <t>不纳入该变量（原文未报告）</t>
        </is>
      </c>
      <c r="L310" s="187" t="inlineStr">
        <is>
          <t>家庭社区</t>
        </is>
      </c>
      <c r="M310" s="187" t="inlineStr">
        <is>
          <t>家长</t>
        </is>
      </c>
      <c r="N310" s="189" t="inlineStr">
        <is>
          <t>视频设备依据：年份推定（原文播放终端未明确，按确认方案归组）</t>
        </is>
      </c>
      <c r="O310" s="186" t="inlineStr">
        <is>
          <t>9.00岁</t>
        </is>
      </c>
      <c r="P310" s="187" t="inlineStr">
        <is>
          <t>未报告（辨别训练60分钟、自我记录训练30分钟各1次，之后为家中日常自我管理）</t>
        </is>
      </c>
      <c r="Q310" s="187" t="inlineStr">
        <is>
          <t>演练、现场示范、强化、自我监控</t>
        </is>
      </c>
      <c r="R310" s="187" t="inlineStr">
        <is>
          <t>成人</t>
        </is>
      </c>
      <c r="S310" s="187" t="inlineStr">
        <is>
          <t>缺失</t>
        </is>
      </c>
      <c r="T310" s="187" t="inlineStr">
        <is>
          <t>家长</t>
        </is>
      </c>
      <c r="U310" s="187" t="inlineStr">
        <is>
          <t>家庭</t>
        </is>
      </c>
      <c r="V310" s="187" t="inlineStr">
        <is>
          <t>加3种及以上</t>
        </is>
      </c>
      <c r="W310" s="186" t="inlineStr">
        <is>
          <t>Baseline vs Intervention（自我管理含视频示范）</t>
        </is>
      </c>
    </row>
    <row r="311" ht="15" customHeight="1" s="176">
      <c r="A311" s="186" t="inlineStr">
        <is>
          <t>K480</t>
        </is>
      </c>
      <c r="B311" s="186" t="inlineStr">
        <is>
          <t>057-二次</t>
        </is>
      </c>
      <c r="C311" s="186" t="inlineStr">
        <is>
          <t>Abby（化名）</t>
        </is>
      </c>
      <c r="D311" s="187" t="inlineStr">
        <is>
          <t>维持</t>
        </is>
      </c>
      <c r="E311" s="186" t="inlineStr">
        <is>
          <t>9–12岁</t>
        </is>
      </c>
      <c r="F311" s="187" t="inlineStr">
        <is>
          <t>女</t>
        </is>
      </c>
      <c r="G311" s="188" t="inlineStr">
        <is>
          <t>不纳入该变量（原文未报告）</t>
        </is>
      </c>
      <c r="H311" s="187" t="inlineStr">
        <is>
          <t>成人</t>
        </is>
      </c>
      <c r="I311" s="187" t="inlineStr">
        <is>
          <t>嵌入综合干预方案</t>
        </is>
      </c>
      <c r="J311" s="187" t="inlineStr">
        <is>
          <t>电脑</t>
        </is>
      </c>
      <c r="K311" s="188" t="inlineStr">
        <is>
          <t>不纳入该变量（原文未报告）</t>
        </is>
      </c>
      <c r="L311" s="187" t="inlineStr">
        <is>
          <t>家庭社区</t>
        </is>
      </c>
      <c r="M311" s="187" t="inlineStr">
        <is>
          <t>家长</t>
        </is>
      </c>
      <c r="N311" s="189" t="inlineStr">
        <is>
          <t>视频设备依据：年份推定（原文播放终端未明确，按确认方案归组）</t>
        </is>
      </c>
      <c r="O311" s="186" t="inlineStr">
        <is>
          <t>9.00岁</t>
        </is>
      </c>
      <c r="P311" s="187" t="inlineStr">
        <is>
          <t>未报告（辨别训练60分钟、自我记录训练30分钟各1次，之后为家中日常自我管理）</t>
        </is>
      </c>
      <c r="Q311" s="187" t="inlineStr">
        <is>
          <t>演练、现场示范、强化、自我监控</t>
        </is>
      </c>
      <c r="R311" s="187" t="inlineStr">
        <is>
          <t>成人</t>
        </is>
      </c>
      <c r="S311" s="187" t="inlineStr">
        <is>
          <t>缺失</t>
        </is>
      </c>
      <c r="T311" s="187" t="inlineStr">
        <is>
          <t>家长</t>
        </is>
      </c>
      <c r="U311" s="187" t="inlineStr">
        <is>
          <t>家庭</t>
        </is>
      </c>
      <c r="V311" s="187" t="inlineStr">
        <is>
          <t>加3种及以上</t>
        </is>
      </c>
      <c r="W311" s="186" t="inlineStr">
        <is>
          <t>Baseline vs Follow-up（1 个月后；Fading 段不用）</t>
        </is>
      </c>
    </row>
    <row r="312" ht="15" customHeight="1" s="176">
      <c r="A312" s="186" t="inlineStr">
        <is>
          <t>K481</t>
        </is>
      </c>
      <c r="B312" s="186" t="inlineStr">
        <is>
          <t>065-二次</t>
        </is>
      </c>
      <c r="C312" s="186" t="inlineStr">
        <is>
          <t>Efe</t>
        </is>
      </c>
      <c r="D312" s="187" t="inlineStr">
        <is>
          <t>干预</t>
        </is>
      </c>
      <c r="E312" s="186" t="inlineStr">
        <is>
          <t>6岁以下</t>
        </is>
      </c>
      <c r="F312" s="187" t="inlineStr">
        <is>
          <t>男</t>
        </is>
      </c>
      <c r="G312" s="188" t="inlineStr">
        <is>
          <t>不纳入该变量（原文未报告）</t>
        </is>
      </c>
      <c r="H312" s="187" t="inlineStr">
        <is>
          <t>成人</t>
        </is>
      </c>
      <c r="I312" s="187" t="inlineStr">
        <is>
          <t>结合教学程序</t>
        </is>
      </c>
      <c r="J312" s="187" t="inlineStr">
        <is>
          <t>投影与白板</t>
        </is>
      </c>
      <c r="K312" s="186" t="inlineStr">
        <is>
          <t>11～60分钟</t>
        </is>
      </c>
      <c r="L312" s="187" t="inlineStr">
        <is>
          <t>专用训练空间</t>
        </is>
      </c>
      <c r="M312" s="187" t="inlineStr">
        <is>
          <t>研究人员</t>
        </is>
      </c>
      <c r="N312" s="186" t="n"/>
      <c r="O312" s="186" t="inlineStr">
        <is>
          <t>3.75岁</t>
        </is>
      </c>
      <c r="P312" s="187" t="inlineStr">
        <is>
          <t>约13分钟（推算：总训练时长÷训练次数）</t>
        </is>
      </c>
      <c r="Q312" s="187" t="inlineStr">
        <is>
          <t>演练、强化</t>
        </is>
      </c>
      <c r="R312" s="187" t="inlineStr">
        <is>
          <t>成人</t>
        </is>
      </c>
      <c r="S312" s="187" t="inlineStr">
        <is>
          <t>智能白板</t>
        </is>
      </c>
      <c r="T312" s="187" t="inlineStr">
        <is>
          <t>研究人员</t>
        </is>
      </c>
      <c r="U312" s="187" t="inlineStr">
        <is>
          <t>大学或研究场所</t>
        </is>
      </c>
      <c r="V312" s="187" t="inlineStr">
        <is>
          <t>加1–2种</t>
        </is>
      </c>
      <c r="W312" s="186" t="inlineStr">
        <is>
          <t>Baseline vs Intervention（每日探测）</t>
        </is>
      </c>
    </row>
    <row r="313" ht="15" customHeight="1" s="176">
      <c r="A313" s="186" t="inlineStr">
        <is>
          <t>K482</t>
        </is>
      </c>
      <c r="B313" s="186" t="inlineStr">
        <is>
          <t>065-二次</t>
        </is>
      </c>
      <c r="C313" s="186" t="inlineStr">
        <is>
          <t>Efe</t>
        </is>
      </c>
      <c r="D313" s="187" t="inlineStr">
        <is>
          <t>维持</t>
        </is>
      </c>
      <c r="E313" s="186" t="inlineStr">
        <is>
          <t>6岁以下</t>
        </is>
      </c>
      <c r="F313" s="187" t="inlineStr">
        <is>
          <t>男</t>
        </is>
      </c>
      <c r="G313" s="188" t="inlineStr">
        <is>
          <t>不纳入该变量（原文未报告）</t>
        </is>
      </c>
      <c r="H313" s="187" t="inlineStr">
        <is>
          <t>成人</t>
        </is>
      </c>
      <c r="I313" s="187" t="inlineStr">
        <is>
          <t>结合教学程序</t>
        </is>
      </c>
      <c r="J313" s="187" t="inlineStr">
        <is>
          <t>投影与白板</t>
        </is>
      </c>
      <c r="K313" s="186" t="inlineStr">
        <is>
          <t>11～60分钟</t>
        </is>
      </c>
      <c r="L313" s="187" t="inlineStr">
        <is>
          <t>专用训练空间</t>
        </is>
      </c>
      <c r="M313" s="187" t="inlineStr">
        <is>
          <t>研究人员</t>
        </is>
      </c>
      <c r="N313" s="186" t="n"/>
      <c r="O313" s="186" t="inlineStr">
        <is>
          <t>3.75岁</t>
        </is>
      </c>
      <c r="P313" s="187" t="inlineStr">
        <is>
          <t>约13分钟（推算：总训练时长÷训练次数）</t>
        </is>
      </c>
      <c r="Q313" s="187" t="inlineStr">
        <is>
          <t>演练、强化</t>
        </is>
      </c>
      <c r="R313" s="187" t="inlineStr">
        <is>
          <t>成人</t>
        </is>
      </c>
      <c r="S313" s="187" t="inlineStr">
        <is>
          <t>智能白板</t>
        </is>
      </c>
      <c r="T313" s="187" t="inlineStr">
        <is>
          <t>研究人员</t>
        </is>
      </c>
      <c r="U313" s="187" t="inlineStr">
        <is>
          <t>大学或研究场所</t>
        </is>
      </c>
      <c r="V313" s="187" t="inlineStr">
        <is>
          <t>加1–2种</t>
        </is>
      </c>
      <c r="W313" s="186" t="inlineStr">
        <is>
          <t>Baseline vs Maintenance（4 周、6 周、7 个月）</t>
        </is>
      </c>
    </row>
    <row r="314" ht="15" customHeight="1" s="176">
      <c r="A314" s="186" t="inlineStr">
        <is>
          <t>K483</t>
        </is>
      </c>
      <c r="B314" s="186" t="inlineStr">
        <is>
          <t>065-二次</t>
        </is>
      </c>
      <c r="C314" s="186" t="inlineStr">
        <is>
          <t>Uzay</t>
        </is>
      </c>
      <c r="D314" s="187" t="inlineStr">
        <is>
          <t>干预</t>
        </is>
      </c>
      <c r="E314" s="186" t="inlineStr">
        <is>
          <t>6岁以下</t>
        </is>
      </c>
      <c r="F314" s="187" t="inlineStr">
        <is>
          <t>男</t>
        </is>
      </c>
      <c r="G314" s="188" t="inlineStr">
        <is>
          <t>不纳入该变量（原文未报告）</t>
        </is>
      </c>
      <c r="H314" s="187" t="inlineStr">
        <is>
          <t>成人</t>
        </is>
      </c>
      <c r="I314" s="187" t="inlineStr">
        <is>
          <t>结合教学程序</t>
        </is>
      </c>
      <c r="J314" s="187" t="inlineStr">
        <is>
          <t>投影与白板</t>
        </is>
      </c>
      <c r="K314" s="186" t="inlineStr">
        <is>
          <t>11～60分钟</t>
        </is>
      </c>
      <c r="L314" s="187" t="inlineStr">
        <is>
          <t>专用训练空间</t>
        </is>
      </c>
      <c r="M314" s="187" t="inlineStr">
        <is>
          <t>研究人员</t>
        </is>
      </c>
      <c r="N314" s="186" t="n"/>
      <c r="O314" s="186" t="inlineStr">
        <is>
          <t>4.25岁</t>
        </is>
      </c>
      <c r="P314" s="187" t="inlineStr">
        <is>
          <t>约13分钟（推算：总训练时长÷训练次数）</t>
        </is>
      </c>
      <c r="Q314" s="187" t="inlineStr">
        <is>
          <t>演练、强化</t>
        </is>
      </c>
      <c r="R314" s="187" t="inlineStr">
        <is>
          <t>成人</t>
        </is>
      </c>
      <c r="S314" s="187" t="inlineStr">
        <is>
          <t>智能白板</t>
        </is>
      </c>
      <c r="T314" s="187" t="inlineStr">
        <is>
          <t>研究人员</t>
        </is>
      </c>
      <c r="U314" s="187" t="inlineStr">
        <is>
          <t>大学或研究场所</t>
        </is>
      </c>
      <c r="V314" s="187" t="inlineStr">
        <is>
          <t>加1–2种</t>
        </is>
      </c>
      <c r="W314" s="186" t="inlineStr">
        <is>
          <t>Baseline vs Intervention（每日探测）</t>
        </is>
      </c>
    </row>
    <row r="315" ht="15" customHeight="1" s="176">
      <c r="A315" s="186" t="inlineStr">
        <is>
          <t>K484</t>
        </is>
      </c>
      <c r="B315" s="186" t="inlineStr">
        <is>
          <t>065-二次</t>
        </is>
      </c>
      <c r="C315" s="186" t="inlineStr">
        <is>
          <t>Uzay</t>
        </is>
      </c>
      <c r="D315" s="187" t="inlineStr">
        <is>
          <t>维持</t>
        </is>
      </c>
      <c r="E315" s="186" t="inlineStr">
        <is>
          <t>6岁以下</t>
        </is>
      </c>
      <c r="F315" s="187" t="inlineStr">
        <is>
          <t>男</t>
        </is>
      </c>
      <c r="G315" s="188" t="inlineStr">
        <is>
          <t>不纳入该变量（原文未报告）</t>
        </is>
      </c>
      <c r="H315" s="187" t="inlineStr">
        <is>
          <t>成人</t>
        </is>
      </c>
      <c r="I315" s="187" t="inlineStr">
        <is>
          <t>结合教学程序</t>
        </is>
      </c>
      <c r="J315" s="187" t="inlineStr">
        <is>
          <t>投影与白板</t>
        </is>
      </c>
      <c r="K315" s="186" t="inlineStr">
        <is>
          <t>11～60分钟</t>
        </is>
      </c>
      <c r="L315" s="187" t="inlineStr">
        <is>
          <t>专用训练空间</t>
        </is>
      </c>
      <c r="M315" s="187" t="inlineStr">
        <is>
          <t>研究人员</t>
        </is>
      </c>
      <c r="N315" s="186" t="n"/>
      <c r="O315" s="186" t="inlineStr">
        <is>
          <t>4.25岁</t>
        </is>
      </c>
      <c r="P315" s="187" t="inlineStr">
        <is>
          <t>约13分钟（推算：总训练时长÷训练次数）</t>
        </is>
      </c>
      <c r="Q315" s="187" t="inlineStr">
        <is>
          <t>演练、强化</t>
        </is>
      </c>
      <c r="R315" s="187" t="inlineStr">
        <is>
          <t>成人</t>
        </is>
      </c>
      <c r="S315" s="187" t="inlineStr">
        <is>
          <t>智能白板</t>
        </is>
      </c>
      <c r="T315" s="187" t="inlineStr">
        <is>
          <t>研究人员</t>
        </is>
      </c>
      <c r="U315" s="187" t="inlineStr">
        <is>
          <t>大学或研究场所</t>
        </is>
      </c>
      <c r="V315" s="187" t="inlineStr">
        <is>
          <t>加1–2种</t>
        </is>
      </c>
      <c r="W315" s="186" t="inlineStr">
        <is>
          <t>Baseline vs Maintenance（4 周、6 周、7 个月）</t>
        </is>
      </c>
    </row>
    <row r="316" ht="15" customHeight="1" s="176">
      <c r="A316" s="186" t="inlineStr">
        <is>
          <t>K485</t>
        </is>
      </c>
      <c r="B316" s="186" t="inlineStr">
        <is>
          <t>065-二次</t>
        </is>
      </c>
      <c r="C316" s="186" t="inlineStr">
        <is>
          <t>Eren</t>
        </is>
      </c>
      <c r="D316" s="187" t="inlineStr">
        <is>
          <t>干预</t>
        </is>
      </c>
      <c r="E316" s="186" t="inlineStr">
        <is>
          <t>6岁以下</t>
        </is>
      </c>
      <c r="F316" s="187" t="inlineStr">
        <is>
          <t>男</t>
        </is>
      </c>
      <c r="G316" s="188" t="inlineStr">
        <is>
          <t>不纳入该变量（原文未报告）</t>
        </is>
      </c>
      <c r="H316" s="187" t="inlineStr">
        <is>
          <t>成人</t>
        </is>
      </c>
      <c r="I316" s="187" t="inlineStr">
        <is>
          <t>结合教学程序</t>
        </is>
      </c>
      <c r="J316" s="187" t="inlineStr">
        <is>
          <t>投影与白板</t>
        </is>
      </c>
      <c r="K316" s="186" t="inlineStr">
        <is>
          <t>11～60分钟</t>
        </is>
      </c>
      <c r="L316" s="187" t="inlineStr">
        <is>
          <t>专用训练空间</t>
        </is>
      </c>
      <c r="M316" s="187" t="inlineStr">
        <is>
          <t>研究人员</t>
        </is>
      </c>
      <c r="N316" s="186" t="n"/>
      <c r="O316" s="186" t="inlineStr">
        <is>
          <t>5.25岁</t>
        </is>
      </c>
      <c r="P316" s="187" t="inlineStr">
        <is>
          <t>约13分钟（推算：总训练时长÷训练次数）</t>
        </is>
      </c>
      <c r="Q316" s="187" t="inlineStr">
        <is>
          <t>演练、强化</t>
        </is>
      </c>
      <c r="R316" s="187" t="inlineStr">
        <is>
          <t>成人</t>
        </is>
      </c>
      <c r="S316" s="187" t="inlineStr">
        <is>
          <t>智能白板</t>
        </is>
      </c>
      <c r="T316" s="187" t="inlineStr">
        <is>
          <t>研究人员</t>
        </is>
      </c>
      <c r="U316" s="187" t="inlineStr">
        <is>
          <t>大学或研究场所</t>
        </is>
      </c>
      <c r="V316" s="187" t="inlineStr">
        <is>
          <t>加1–2种</t>
        </is>
      </c>
      <c r="W316" s="186" t="inlineStr">
        <is>
          <t>Baseline vs Intervention（每日探测）</t>
        </is>
      </c>
    </row>
    <row r="317" ht="15" customHeight="1" s="176">
      <c r="A317" s="186" t="inlineStr">
        <is>
          <t>K486</t>
        </is>
      </c>
      <c r="B317" s="186" t="inlineStr">
        <is>
          <t>065-二次</t>
        </is>
      </c>
      <c r="C317" s="186" t="inlineStr">
        <is>
          <t>Eren</t>
        </is>
      </c>
      <c r="D317" s="187" t="inlineStr">
        <is>
          <t>维持</t>
        </is>
      </c>
      <c r="E317" s="186" t="inlineStr">
        <is>
          <t>6岁以下</t>
        </is>
      </c>
      <c r="F317" s="187" t="inlineStr">
        <is>
          <t>男</t>
        </is>
      </c>
      <c r="G317" s="188" t="inlineStr">
        <is>
          <t>不纳入该变量（原文未报告）</t>
        </is>
      </c>
      <c r="H317" s="187" t="inlineStr">
        <is>
          <t>成人</t>
        </is>
      </c>
      <c r="I317" s="187" t="inlineStr">
        <is>
          <t>结合教学程序</t>
        </is>
      </c>
      <c r="J317" s="187" t="inlineStr">
        <is>
          <t>投影与白板</t>
        </is>
      </c>
      <c r="K317" s="186" t="inlineStr">
        <is>
          <t>11～60分钟</t>
        </is>
      </c>
      <c r="L317" s="187" t="inlineStr">
        <is>
          <t>专用训练空间</t>
        </is>
      </c>
      <c r="M317" s="187" t="inlineStr">
        <is>
          <t>研究人员</t>
        </is>
      </c>
      <c r="N317" s="186" t="n"/>
      <c r="O317" s="186" t="inlineStr">
        <is>
          <t>5.25岁</t>
        </is>
      </c>
      <c r="P317" s="187" t="inlineStr">
        <is>
          <t>约13分钟（推算：总训练时长÷训练次数）</t>
        </is>
      </c>
      <c r="Q317" s="187" t="inlineStr">
        <is>
          <t>演练、强化</t>
        </is>
      </c>
      <c r="R317" s="187" t="inlineStr">
        <is>
          <t>成人</t>
        </is>
      </c>
      <c r="S317" s="187" t="inlineStr">
        <is>
          <t>智能白板</t>
        </is>
      </c>
      <c r="T317" s="187" t="inlineStr">
        <is>
          <t>研究人员</t>
        </is>
      </c>
      <c r="U317" s="187" t="inlineStr">
        <is>
          <t>大学或研究场所</t>
        </is>
      </c>
      <c r="V317" s="187" t="inlineStr">
        <is>
          <t>加1–2种</t>
        </is>
      </c>
      <c r="W317" s="186" t="inlineStr">
        <is>
          <t>Baseline vs Maintenance（4 周、6 周、7 个月）</t>
        </is>
      </c>
    </row>
    <row r="318" ht="15" customHeight="1" s="176">
      <c r="A318" s="186" t="inlineStr">
        <is>
          <t>K487</t>
        </is>
      </c>
      <c r="B318" s="186" t="inlineStr">
        <is>
          <t>066-二次</t>
        </is>
      </c>
      <c r="C318" s="187" t="inlineStr">
        <is>
          <t>小A</t>
        </is>
      </c>
      <c r="D318" s="187" t="inlineStr">
        <is>
          <t>干预</t>
        </is>
      </c>
      <c r="E318" s="186" t="inlineStr">
        <is>
          <t>9–12岁</t>
        </is>
      </c>
      <c r="F318" s="187" t="inlineStr">
        <is>
          <t>男</t>
        </is>
      </c>
      <c r="G318" s="188" t="inlineStr">
        <is>
          <t>不纳入该变量（原文未报告）</t>
        </is>
      </c>
      <c r="H318" s="187" t="inlineStr">
        <is>
          <t>成人</t>
        </is>
      </c>
      <c r="I318" s="187" t="inlineStr">
        <is>
          <t>嵌入综合干预方案</t>
        </is>
      </c>
      <c r="J318" s="187" t="inlineStr">
        <is>
          <t>电脑</t>
        </is>
      </c>
      <c r="K318" s="186" t="inlineStr">
        <is>
          <t>11～60分钟</t>
        </is>
      </c>
      <c r="L318" s="187" t="inlineStr">
        <is>
          <t>专用训练空间</t>
        </is>
      </c>
      <c r="M318" s="187" t="inlineStr">
        <is>
          <t>研究人员</t>
        </is>
      </c>
      <c r="N318" s="189" t="inlineStr">
        <is>
          <t>视频设备依据：年份推定（原文播放终端未明确，按确认方案归组）</t>
        </is>
      </c>
      <c r="O318" s="186" t="inlineStr">
        <is>
          <t>10.75岁</t>
        </is>
      </c>
      <c r="P318" s="187" t="inlineStr">
        <is>
          <t>每课时30分钟</t>
        </is>
      </c>
      <c r="Q318" s="187" t="inlineStr">
        <is>
          <t>演练、反馈</t>
        </is>
      </c>
      <c r="R318" s="187" t="inlineStr">
        <is>
          <t>成人</t>
        </is>
      </c>
      <c r="S318" s="187" t="inlineStr">
        <is>
          <t>缺失</t>
        </is>
      </c>
      <c r="T318" s="187" t="inlineStr">
        <is>
          <t>研究人员</t>
        </is>
      </c>
      <c r="U318" s="187" t="inlineStr">
        <is>
          <t>学校</t>
        </is>
      </c>
      <c r="V318" s="187" t="inlineStr">
        <is>
          <t>加1–2种</t>
        </is>
      </c>
      <c r="W318" s="187" t="inlineStr">
        <is>
          <t>基线期 vs PECS 第一至第四阶段合并（每阶段都有对应视频）</t>
        </is>
      </c>
    </row>
    <row r="319" ht="15" customHeight="1" s="176">
      <c r="A319" s="186" t="inlineStr">
        <is>
          <t>K488</t>
        </is>
      </c>
      <c r="B319" s="186" t="inlineStr">
        <is>
          <t>066-二次</t>
        </is>
      </c>
      <c r="C319" s="187" t="inlineStr">
        <is>
          <t>小A</t>
        </is>
      </c>
      <c r="D319" s="187" t="inlineStr">
        <is>
          <t>维持</t>
        </is>
      </c>
      <c r="E319" s="186" t="inlineStr">
        <is>
          <t>9–12岁</t>
        </is>
      </c>
      <c r="F319" s="187" t="inlineStr">
        <is>
          <t>男</t>
        </is>
      </c>
      <c r="G319" s="188" t="inlineStr">
        <is>
          <t>不纳入该变量（原文未报告）</t>
        </is>
      </c>
      <c r="H319" s="187" t="inlineStr">
        <is>
          <t>成人</t>
        </is>
      </c>
      <c r="I319" s="187" t="inlineStr">
        <is>
          <t>嵌入综合干预方案</t>
        </is>
      </c>
      <c r="J319" s="187" t="inlineStr">
        <is>
          <t>电脑</t>
        </is>
      </c>
      <c r="K319" s="186" t="inlineStr">
        <is>
          <t>11～60分钟</t>
        </is>
      </c>
      <c r="L319" s="187" t="inlineStr">
        <is>
          <t>专用训练空间</t>
        </is>
      </c>
      <c r="M319" s="187" t="inlineStr">
        <is>
          <t>研究人员</t>
        </is>
      </c>
      <c r="N319" s="189" t="inlineStr">
        <is>
          <t>视频设备依据：年份推定（原文播放终端未明确，按确认方案归组）</t>
        </is>
      </c>
      <c r="O319" s="186" t="inlineStr">
        <is>
          <t>10.75岁</t>
        </is>
      </c>
      <c r="P319" s="187" t="inlineStr">
        <is>
          <t>每课时30分钟</t>
        </is>
      </c>
      <c r="Q319" s="187" t="inlineStr">
        <is>
          <t>演练、反馈</t>
        </is>
      </c>
      <c r="R319" s="187" t="inlineStr">
        <is>
          <t>成人</t>
        </is>
      </c>
      <c r="S319" s="187" t="inlineStr">
        <is>
          <t>缺失</t>
        </is>
      </c>
      <c r="T319" s="187" t="inlineStr">
        <is>
          <t>研究人员</t>
        </is>
      </c>
      <c r="U319" s="187" t="inlineStr">
        <is>
          <t>学校</t>
        </is>
      </c>
      <c r="V319" s="187" t="inlineStr">
        <is>
          <t>加1–2种</t>
        </is>
      </c>
      <c r="W319" s="187" t="inlineStr">
        <is>
          <t>基线期 vs 维持期（每周一次）</t>
        </is>
      </c>
    </row>
    <row r="320" ht="15" customHeight="1" s="176">
      <c r="A320" s="186" t="inlineStr">
        <is>
          <t>K489</t>
        </is>
      </c>
      <c r="B320" s="186" t="inlineStr">
        <is>
          <t>066-二次</t>
        </is>
      </c>
      <c r="C320" s="187" t="inlineStr">
        <is>
          <t>小B</t>
        </is>
      </c>
      <c r="D320" s="187" t="inlineStr">
        <is>
          <t>干预</t>
        </is>
      </c>
      <c r="E320" s="186" t="inlineStr">
        <is>
          <t>9–12岁</t>
        </is>
      </c>
      <c r="F320" s="187" t="inlineStr">
        <is>
          <t>男</t>
        </is>
      </c>
      <c r="G320" s="188" t="inlineStr">
        <is>
          <t>不纳入该变量（原文未报告）</t>
        </is>
      </c>
      <c r="H320" s="187" t="inlineStr">
        <is>
          <t>成人</t>
        </is>
      </c>
      <c r="I320" s="187" t="inlineStr">
        <is>
          <t>嵌入综合干预方案</t>
        </is>
      </c>
      <c r="J320" s="187" t="inlineStr">
        <is>
          <t>电脑</t>
        </is>
      </c>
      <c r="K320" s="186" t="inlineStr">
        <is>
          <t>11～60分钟</t>
        </is>
      </c>
      <c r="L320" s="187" t="inlineStr">
        <is>
          <t>专用训练空间</t>
        </is>
      </c>
      <c r="M320" s="187" t="inlineStr">
        <is>
          <t>研究人员</t>
        </is>
      </c>
      <c r="N320" s="189" t="inlineStr">
        <is>
          <t>视频设备依据：年份推定（原文播放终端未明确，按确认方案归组）</t>
        </is>
      </c>
      <c r="O320" s="186" t="inlineStr">
        <is>
          <t>12.42岁</t>
        </is>
      </c>
      <c r="P320" s="187" t="inlineStr">
        <is>
          <t>每课时30分钟</t>
        </is>
      </c>
      <c r="Q320" s="187" t="inlineStr">
        <is>
          <t>演练、反馈</t>
        </is>
      </c>
      <c r="R320" s="187" t="inlineStr">
        <is>
          <t>成人</t>
        </is>
      </c>
      <c r="S320" s="187" t="inlineStr">
        <is>
          <t>缺失</t>
        </is>
      </c>
      <c r="T320" s="187" t="inlineStr">
        <is>
          <t>研究人员</t>
        </is>
      </c>
      <c r="U320" s="187" t="inlineStr">
        <is>
          <t>学校</t>
        </is>
      </c>
      <c r="V320" s="187" t="inlineStr">
        <is>
          <t>加1–2种</t>
        </is>
      </c>
      <c r="W320" s="187" t="inlineStr">
        <is>
          <t>基线期 vs PECS 第一至第四阶段合并（每阶段都有对应视频）</t>
        </is>
      </c>
    </row>
    <row r="321" ht="15" customHeight="1" s="176">
      <c r="A321" s="186" t="inlineStr">
        <is>
          <t>K490</t>
        </is>
      </c>
      <c r="B321" s="186" t="inlineStr">
        <is>
          <t>066-二次</t>
        </is>
      </c>
      <c r="C321" s="187" t="inlineStr">
        <is>
          <t>小B</t>
        </is>
      </c>
      <c r="D321" s="187" t="inlineStr">
        <is>
          <t>维持</t>
        </is>
      </c>
      <c r="E321" s="186" t="inlineStr">
        <is>
          <t>9–12岁</t>
        </is>
      </c>
      <c r="F321" s="187" t="inlineStr">
        <is>
          <t>男</t>
        </is>
      </c>
      <c r="G321" s="188" t="inlineStr">
        <is>
          <t>不纳入该变量（原文未报告）</t>
        </is>
      </c>
      <c r="H321" s="187" t="inlineStr">
        <is>
          <t>成人</t>
        </is>
      </c>
      <c r="I321" s="187" t="inlineStr">
        <is>
          <t>嵌入综合干预方案</t>
        </is>
      </c>
      <c r="J321" s="187" t="inlineStr">
        <is>
          <t>电脑</t>
        </is>
      </c>
      <c r="K321" s="186" t="inlineStr">
        <is>
          <t>11～60分钟</t>
        </is>
      </c>
      <c r="L321" s="187" t="inlineStr">
        <is>
          <t>专用训练空间</t>
        </is>
      </c>
      <c r="M321" s="187" t="inlineStr">
        <is>
          <t>研究人员</t>
        </is>
      </c>
      <c r="N321" s="189" t="inlineStr">
        <is>
          <t>视频设备依据：年份推定（原文播放终端未明确，按确认方案归组）</t>
        </is>
      </c>
      <c r="O321" s="186" t="inlineStr">
        <is>
          <t>12.42岁</t>
        </is>
      </c>
      <c r="P321" s="187" t="inlineStr">
        <is>
          <t>每课时30分钟</t>
        </is>
      </c>
      <c r="Q321" s="187" t="inlineStr">
        <is>
          <t>演练、反馈</t>
        </is>
      </c>
      <c r="R321" s="187" t="inlineStr">
        <is>
          <t>成人</t>
        </is>
      </c>
      <c r="S321" s="187" t="inlineStr">
        <is>
          <t>缺失</t>
        </is>
      </c>
      <c r="T321" s="187" t="inlineStr">
        <is>
          <t>研究人员</t>
        </is>
      </c>
      <c r="U321" s="187" t="inlineStr">
        <is>
          <t>学校</t>
        </is>
      </c>
      <c r="V321" s="187" t="inlineStr">
        <is>
          <t>加1–2种</t>
        </is>
      </c>
      <c r="W321" s="187" t="inlineStr">
        <is>
          <t>基线期 vs 维持期（每周一次）</t>
        </is>
      </c>
    </row>
    <row r="322" ht="15" customHeight="1" s="176">
      <c r="A322" s="186" t="inlineStr">
        <is>
          <t>K491</t>
        </is>
      </c>
      <c r="B322" s="186" t="inlineStr">
        <is>
          <t>066-二次</t>
        </is>
      </c>
      <c r="C322" s="187" t="inlineStr">
        <is>
          <t>小C</t>
        </is>
      </c>
      <c r="D322" s="187" t="inlineStr">
        <is>
          <t>干预</t>
        </is>
      </c>
      <c r="E322" s="186" t="inlineStr">
        <is>
          <t>9–12岁</t>
        </is>
      </c>
      <c r="F322" s="187" t="inlineStr">
        <is>
          <t>男</t>
        </is>
      </c>
      <c r="G322" s="188" t="inlineStr">
        <is>
          <t>不纳入该变量（原文未报告）</t>
        </is>
      </c>
      <c r="H322" s="187" t="inlineStr">
        <is>
          <t>成人</t>
        </is>
      </c>
      <c r="I322" s="187" t="inlineStr">
        <is>
          <t>嵌入综合干预方案</t>
        </is>
      </c>
      <c r="J322" s="187" t="inlineStr">
        <is>
          <t>电脑</t>
        </is>
      </c>
      <c r="K322" s="186" t="inlineStr">
        <is>
          <t>11～60分钟</t>
        </is>
      </c>
      <c r="L322" s="187" t="inlineStr">
        <is>
          <t>专用训练空间</t>
        </is>
      </c>
      <c r="M322" s="187" t="inlineStr">
        <is>
          <t>研究人员</t>
        </is>
      </c>
      <c r="N322" s="189" t="inlineStr">
        <is>
          <t>视频设备依据：年份推定（原文播放终端未明确，按确认方案归组）</t>
        </is>
      </c>
      <c r="O322" s="186" t="inlineStr">
        <is>
          <t>10.33岁</t>
        </is>
      </c>
      <c r="P322" s="187" t="inlineStr">
        <is>
          <t>每课时30分钟</t>
        </is>
      </c>
      <c r="Q322" s="187" t="inlineStr">
        <is>
          <t>演练、反馈</t>
        </is>
      </c>
      <c r="R322" s="187" t="inlineStr">
        <is>
          <t>成人</t>
        </is>
      </c>
      <c r="S322" s="187" t="inlineStr">
        <is>
          <t>缺失</t>
        </is>
      </c>
      <c r="T322" s="187" t="inlineStr">
        <is>
          <t>研究人员</t>
        </is>
      </c>
      <c r="U322" s="187" t="inlineStr">
        <is>
          <t>学校</t>
        </is>
      </c>
      <c r="V322" s="187" t="inlineStr">
        <is>
          <t>加1–2种</t>
        </is>
      </c>
      <c r="W322" s="187" t="inlineStr">
        <is>
          <t>基线期 vs PECS 第一至第四阶段合并（每阶段都有对应视频）</t>
        </is>
      </c>
    </row>
    <row r="323" ht="15" customHeight="1" s="176">
      <c r="A323" s="186" t="inlineStr">
        <is>
          <t>K492</t>
        </is>
      </c>
      <c r="B323" s="186" t="inlineStr">
        <is>
          <t>066-二次</t>
        </is>
      </c>
      <c r="C323" s="187" t="inlineStr">
        <is>
          <t>小C</t>
        </is>
      </c>
      <c r="D323" s="187" t="inlineStr">
        <is>
          <t>维持</t>
        </is>
      </c>
      <c r="E323" s="186" t="inlineStr">
        <is>
          <t>9–12岁</t>
        </is>
      </c>
      <c r="F323" s="187" t="inlineStr">
        <is>
          <t>男</t>
        </is>
      </c>
      <c r="G323" s="188" t="inlineStr">
        <is>
          <t>不纳入该变量（原文未报告）</t>
        </is>
      </c>
      <c r="H323" s="187" t="inlineStr">
        <is>
          <t>成人</t>
        </is>
      </c>
      <c r="I323" s="187" t="inlineStr">
        <is>
          <t>嵌入综合干预方案</t>
        </is>
      </c>
      <c r="J323" s="187" t="inlineStr">
        <is>
          <t>电脑</t>
        </is>
      </c>
      <c r="K323" s="186" t="inlineStr">
        <is>
          <t>11～60分钟</t>
        </is>
      </c>
      <c r="L323" s="187" t="inlineStr">
        <is>
          <t>专用训练空间</t>
        </is>
      </c>
      <c r="M323" s="187" t="inlineStr">
        <is>
          <t>研究人员</t>
        </is>
      </c>
      <c r="N323" s="189" t="inlineStr">
        <is>
          <t>视频设备依据：年份推定（原文播放终端未明确，按确认方案归组）</t>
        </is>
      </c>
      <c r="O323" s="186" t="inlineStr">
        <is>
          <t>10.33岁</t>
        </is>
      </c>
      <c r="P323" s="187" t="inlineStr">
        <is>
          <t>每课时30分钟</t>
        </is>
      </c>
      <c r="Q323" s="187" t="inlineStr">
        <is>
          <t>演练、反馈</t>
        </is>
      </c>
      <c r="R323" s="187" t="inlineStr">
        <is>
          <t>成人</t>
        </is>
      </c>
      <c r="S323" s="187" t="inlineStr">
        <is>
          <t>缺失</t>
        </is>
      </c>
      <c r="T323" s="187" t="inlineStr">
        <is>
          <t>研究人员</t>
        </is>
      </c>
      <c r="U323" s="187" t="inlineStr">
        <is>
          <t>学校</t>
        </is>
      </c>
      <c r="V323" s="187" t="inlineStr">
        <is>
          <t>加1–2种</t>
        </is>
      </c>
      <c r="W323" s="187" t="inlineStr">
        <is>
          <t>基线期 vs 维持期（每周一次）</t>
        </is>
      </c>
    </row>
    <row r="324" ht="15" customHeight="1" s="176">
      <c r="A324" s="186" t="inlineStr">
        <is>
          <t>K499</t>
        </is>
      </c>
      <c r="B324" s="186" t="inlineStr">
        <is>
          <t>069-滚雪球</t>
        </is>
      </c>
      <c r="C324" s="186" t="inlineStr">
        <is>
          <t>Delia</t>
        </is>
      </c>
      <c r="D324" s="187" t="inlineStr">
        <is>
          <t>干预</t>
        </is>
      </c>
      <c r="E324" s="186" t="inlineStr">
        <is>
          <t>9–12岁</t>
        </is>
      </c>
      <c r="F324" s="187" t="inlineStr">
        <is>
          <t>女</t>
        </is>
      </c>
      <c r="G324" s="188" t="inlineStr">
        <is>
          <t>不纳入该变量（原文未报告）</t>
        </is>
      </c>
      <c r="H324" s="187" t="inlineStr">
        <is>
          <t>动画角色</t>
        </is>
      </c>
      <c r="I324" s="187" t="inlineStr">
        <is>
          <t>单独实施</t>
        </is>
      </c>
      <c r="J324" s="187" t="inlineStr">
        <is>
          <t>电脑</t>
        </is>
      </c>
      <c r="K324" s="186" t="inlineStr">
        <is>
          <t>11～60分钟</t>
        </is>
      </c>
      <c r="L324" s="187" t="inlineStr">
        <is>
          <t>教室</t>
        </is>
      </c>
      <c r="M324" s="187" t="inlineStr">
        <is>
          <t>研究人员</t>
        </is>
      </c>
      <c r="N324" s="187" t="inlineStr">
        <is>
          <t>干预者回原文补齐</t>
        </is>
      </c>
      <c r="O324" s="186" t="inlineStr">
        <is>
          <t>12.50岁</t>
        </is>
      </c>
      <c r="P324" s="186" t="inlineStr">
        <is>
          <t>10–25分钟（随情境增加而延长）</t>
        </is>
      </c>
      <c r="Q324" s="187" t="inlineStr">
        <is>
          <t>无</t>
        </is>
      </c>
      <c r="R324" s="187" t="inlineStr">
        <is>
          <t>动画角色</t>
        </is>
      </c>
      <c r="S324" s="187" t="inlineStr">
        <is>
          <t>电脑</t>
        </is>
      </c>
      <c r="T324" s="187" t="inlineStr">
        <is>
          <t>缺失</t>
        </is>
      </c>
      <c r="U324" s="187" t="inlineStr">
        <is>
          <t>学校</t>
        </is>
      </c>
      <c r="V324" s="187" t="inlineStr">
        <is>
          <t>只用视频</t>
        </is>
      </c>
      <c r="W324" s="187" t="inlineStr">
        <is>
          <t>该情境自然课堂基线 vs 该情境电脑训练开始后的自然课堂</t>
        </is>
      </c>
    </row>
    <row r="325" ht="15" customHeight="1" s="176">
      <c r="A325" s="186" t="inlineStr">
        <is>
          <t>K500</t>
        </is>
      </c>
      <c r="B325" s="186" t="inlineStr">
        <is>
          <t>069-滚雪球</t>
        </is>
      </c>
      <c r="C325" s="186" t="inlineStr">
        <is>
          <t>Delia</t>
        </is>
      </c>
      <c r="D325" s="187" t="inlineStr">
        <is>
          <t>干预</t>
        </is>
      </c>
      <c r="E325" s="186" t="inlineStr">
        <is>
          <t>9–12岁</t>
        </is>
      </c>
      <c r="F325" s="187" t="inlineStr">
        <is>
          <t>女</t>
        </is>
      </c>
      <c r="G325" s="188" t="inlineStr">
        <is>
          <t>不纳入该变量（原文未报告）</t>
        </is>
      </c>
      <c r="H325" s="187" t="inlineStr">
        <is>
          <t>动画角色</t>
        </is>
      </c>
      <c r="I325" s="187" t="inlineStr">
        <is>
          <t>单独实施</t>
        </is>
      </c>
      <c r="J325" s="187" t="inlineStr">
        <is>
          <t>电脑</t>
        </is>
      </c>
      <c r="K325" s="186" t="inlineStr">
        <is>
          <t>11～60分钟</t>
        </is>
      </c>
      <c r="L325" s="187" t="inlineStr">
        <is>
          <t>教室</t>
        </is>
      </c>
      <c r="M325" s="187" t="inlineStr">
        <is>
          <t>研究人员</t>
        </is>
      </c>
      <c r="N325" s="187" t="inlineStr">
        <is>
          <t>干预者回原文补齐</t>
        </is>
      </c>
      <c r="O325" s="186" t="inlineStr">
        <is>
          <t>12.50岁</t>
        </is>
      </c>
      <c r="P325" s="186" t="inlineStr">
        <is>
          <t>10–25分钟（随情境增加而延长）</t>
        </is>
      </c>
      <c r="Q325" s="187" t="inlineStr">
        <is>
          <t>无</t>
        </is>
      </c>
      <c r="R325" s="187" t="inlineStr">
        <is>
          <t>动画角色</t>
        </is>
      </c>
      <c r="S325" s="187" t="inlineStr">
        <is>
          <t>电脑</t>
        </is>
      </c>
      <c r="T325" s="187" t="inlineStr">
        <is>
          <t>缺失</t>
        </is>
      </c>
      <c r="U325" s="187" t="inlineStr">
        <is>
          <t>学校</t>
        </is>
      </c>
      <c r="V325" s="187" t="inlineStr">
        <is>
          <t>只用视频</t>
        </is>
      </c>
      <c r="W325" s="187" t="inlineStr">
        <is>
          <t>该情境自然课堂基线 vs 该情境电脑训练开始后的自然课堂</t>
        </is>
      </c>
    </row>
    <row r="326" ht="15" customHeight="1" s="176">
      <c r="A326" s="186" t="inlineStr">
        <is>
          <t>K501</t>
        </is>
      </c>
      <c r="B326" s="186" t="inlineStr">
        <is>
          <t>069-滚雪球</t>
        </is>
      </c>
      <c r="C326" s="186" t="inlineStr">
        <is>
          <t>Delia</t>
        </is>
      </c>
      <c r="D326" s="187" t="inlineStr">
        <is>
          <t>干预</t>
        </is>
      </c>
      <c r="E326" s="186" t="inlineStr">
        <is>
          <t>9–12岁</t>
        </is>
      </c>
      <c r="F326" s="187" t="inlineStr">
        <is>
          <t>女</t>
        </is>
      </c>
      <c r="G326" s="188" t="inlineStr">
        <is>
          <t>不纳入该变量（原文未报告）</t>
        </is>
      </c>
      <c r="H326" s="187" t="inlineStr">
        <is>
          <t>动画角色</t>
        </is>
      </c>
      <c r="I326" s="187" t="inlineStr">
        <is>
          <t>单独实施</t>
        </is>
      </c>
      <c r="J326" s="187" t="inlineStr">
        <is>
          <t>电脑</t>
        </is>
      </c>
      <c r="K326" s="186" t="inlineStr">
        <is>
          <t>11～60分钟</t>
        </is>
      </c>
      <c r="L326" s="187" t="inlineStr">
        <is>
          <t>教室</t>
        </is>
      </c>
      <c r="M326" s="187" t="inlineStr">
        <is>
          <t>研究人员</t>
        </is>
      </c>
      <c r="N326" s="187" t="inlineStr">
        <is>
          <t>干预者回原文补齐</t>
        </is>
      </c>
      <c r="O326" s="186" t="inlineStr">
        <is>
          <t>12.50岁</t>
        </is>
      </c>
      <c r="P326" s="186" t="inlineStr">
        <is>
          <t>10–25分钟（随情境增加而延长）</t>
        </is>
      </c>
      <c r="Q326" s="187" t="inlineStr">
        <is>
          <t>无</t>
        </is>
      </c>
      <c r="R326" s="187" t="inlineStr">
        <is>
          <t>动画角色</t>
        </is>
      </c>
      <c r="S326" s="187" t="inlineStr">
        <is>
          <t>电脑</t>
        </is>
      </c>
      <c r="T326" s="187" t="inlineStr">
        <is>
          <t>缺失</t>
        </is>
      </c>
      <c r="U326" s="187" t="inlineStr">
        <is>
          <t>学校</t>
        </is>
      </c>
      <c r="V326" s="187" t="inlineStr">
        <is>
          <t>只用视频</t>
        </is>
      </c>
      <c r="W326" s="187" t="inlineStr">
        <is>
          <t>该情境自然课堂基线 vs 该情境电脑训练开始后的自然课堂</t>
        </is>
      </c>
    </row>
    <row r="327" ht="15" customHeight="1" s="176">
      <c r="A327" s="186" t="inlineStr">
        <is>
          <t>K502</t>
        </is>
      </c>
      <c r="B327" s="186" t="inlineStr">
        <is>
          <t>069-滚雪球</t>
        </is>
      </c>
      <c r="C327" s="186" t="inlineStr">
        <is>
          <t>Tom</t>
        </is>
      </c>
      <c r="D327" s="187" t="inlineStr">
        <is>
          <t>干预</t>
        </is>
      </c>
      <c r="E327" s="186" t="inlineStr">
        <is>
          <t>6–8岁</t>
        </is>
      </c>
      <c r="F327" s="187" t="inlineStr">
        <is>
          <t>男</t>
        </is>
      </c>
      <c r="G327" s="188" t="inlineStr">
        <is>
          <t>不纳入该变量（原文未报告）</t>
        </is>
      </c>
      <c r="H327" s="187" t="inlineStr">
        <is>
          <t>动画角色</t>
        </is>
      </c>
      <c r="I327" s="187" t="inlineStr">
        <is>
          <t>单独实施</t>
        </is>
      </c>
      <c r="J327" s="187" t="inlineStr">
        <is>
          <t>电脑</t>
        </is>
      </c>
      <c r="K327" s="186" t="inlineStr">
        <is>
          <t>11～60分钟</t>
        </is>
      </c>
      <c r="L327" s="187" t="inlineStr">
        <is>
          <t>教室</t>
        </is>
      </c>
      <c r="M327" s="187" t="inlineStr">
        <is>
          <t>研究人员</t>
        </is>
      </c>
      <c r="N327" s="187" t="inlineStr">
        <is>
          <t>干预者回原文补齐</t>
        </is>
      </c>
      <c r="O327" s="186" t="inlineStr">
        <is>
          <t>8.00岁</t>
        </is>
      </c>
      <c r="P327" s="186" t="inlineStr">
        <is>
          <t>10–25分钟（随情境增加而延长）</t>
        </is>
      </c>
      <c r="Q327" s="187" t="inlineStr">
        <is>
          <t>无</t>
        </is>
      </c>
      <c r="R327" s="187" t="inlineStr">
        <is>
          <t>动画角色</t>
        </is>
      </c>
      <c r="S327" s="187" t="inlineStr">
        <is>
          <t>电脑</t>
        </is>
      </c>
      <c r="T327" s="187" t="inlineStr">
        <is>
          <t>缺失</t>
        </is>
      </c>
      <c r="U327" s="187" t="inlineStr">
        <is>
          <t>学校</t>
        </is>
      </c>
      <c r="V327" s="187" t="inlineStr">
        <is>
          <t>只用视频</t>
        </is>
      </c>
      <c r="W327" s="187" t="inlineStr">
        <is>
          <t>该情境自然课堂基线 vs 该情境电脑训练开始后的自然课堂</t>
        </is>
      </c>
    </row>
    <row r="328" ht="15" customHeight="1" s="176">
      <c r="A328" s="186" t="inlineStr">
        <is>
          <t>K503</t>
        </is>
      </c>
      <c r="B328" s="186" t="inlineStr">
        <is>
          <t>069-滚雪球</t>
        </is>
      </c>
      <c r="C328" s="186" t="inlineStr">
        <is>
          <t>Tom</t>
        </is>
      </c>
      <c r="D328" s="187" t="inlineStr">
        <is>
          <t>干预</t>
        </is>
      </c>
      <c r="E328" s="186" t="inlineStr">
        <is>
          <t>6–8岁</t>
        </is>
      </c>
      <c r="F328" s="187" t="inlineStr">
        <is>
          <t>男</t>
        </is>
      </c>
      <c r="G328" s="188" t="inlineStr">
        <is>
          <t>不纳入该变量（原文未报告）</t>
        </is>
      </c>
      <c r="H328" s="187" t="inlineStr">
        <is>
          <t>动画角色</t>
        </is>
      </c>
      <c r="I328" s="187" t="inlineStr">
        <is>
          <t>单独实施</t>
        </is>
      </c>
      <c r="J328" s="187" t="inlineStr">
        <is>
          <t>电脑</t>
        </is>
      </c>
      <c r="K328" s="186" t="inlineStr">
        <is>
          <t>11～60分钟</t>
        </is>
      </c>
      <c r="L328" s="187" t="inlineStr">
        <is>
          <t>教室</t>
        </is>
      </c>
      <c r="M328" s="187" t="inlineStr">
        <is>
          <t>研究人员</t>
        </is>
      </c>
      <c r="N328" s="187" t="inlineStr">
        <is>
          <t>干预者回原文补齐</t>
        </is>
      </c>
      <c r="O328" s="186" t="inlineStr">
        <is>
          <t>8.00岁</t>
        </is>
      </c>
      <c r="P328" s="186" t="inlineStr">
        <is>
          <t>10–25分钟（随情境增加而延长）</t>
        </is>
      </c>
      <c r="Q328" s="187" t="inlineStr">
        <is>
          <t>无</t>
        </is>
      </c>
      <c r="R328" s="187" t="inlineStr">
        <is>
          <t>动画角色</t>
        </is>
      </c>
      <c r="S328" s="187" t="inlineStr">
        <is>
          <t>电脑</t>
        </is>
      </c>
      <c r="T328" s="187" t="inlineStr">
        <is>
          <t>缺失</t>
        </is>
      </c>
      <c r="U328" s="187" t="inlineStr">
        <is>
          <t>学校</t>
        </is>
      </c>
      <c r="V328" s="187" t="inlineStr">
        <is>
          <t>只用视频</t>
        </is>
      </c>
      <c r="W328" s="187" t="inlineStr">
        <is>
          <t>该情境自然课堂基线 vs 该情境电脑训练开始后的自然课堂</t>
        </is>
      </c>
    </row>
    <row r="329" ht="15" customHeight="1" s="176">
      <c r="A329" s="186" t="inlineStr">
        <is>
          <t>K504</t>
        </is>
      </c>
      <c r="B329" s="186" t="inlineStr">
        <is>
          <t>069-滚雪球</t>
        </is>
      </c>
      <c r="C329" s="186" t="inlineStr">
        <is>
          <t>Tom</t>
        </is>
      </c>
      <c r="D329" s="187" t="inlineStr">
        <is>
          <t>干预</t>
        </is>
      </c>
      <c r="E329" s="186" t="inlineStr">
        <is>
          <t>6–8岁</t>
        </is>
      </c>
      <c r="F329" s="187" t="inlineStr">
        <is>
          <t>男</t>
        </is>
      </c>
      <c r="G329" s="188" t="inlineStr">
        <is>
          <t>不纳入该变量（原文未报告）</t>
        </is>
      </c>
      <c r="H329" s="187" t="inlineStr">
        <is>
          <t>动画角色</t>
        </is>
      </c>
      <c r="I329" s="187" t="inlineStr">
        <is>
          <t>单独实施</t>
        </is>
      </c>
      <c r="J329" s="187" t="inlineStr">
        <is>
          <t>电脑</t>
        </is>
      </c>
      <c r="K329" s="186" t="inlineStr">
        <is>
          <t>11～60分钟</t>
        </is>
      </c>
      <c r="L329" s="187" t="inlineStr">
        <is>
          <t>教室</t>
        </is>
      </c>
      <c r="M329" s="187" t="inlineStr">
        <is>
          <t>研究人员</t>
        </is>
      </c>
      <c r="N329" s="187" t="inlineStr">
        <is>
          <t>干预者回原文补齐</t>
        </is>
      </c>
      <c r="O329" s="186" t="inlineStr">
        <is>
          <t>8.00岁</t>
        </is>
      </c>
      <c r="P329" s="186" t="inlineStr">
        <is>
          <t>10–25分钟（随情境增加而延长）</t>
        </is>
      </c>
      <c r="Q329" s="187" t="inlineStr">
        <is>
          <t>无</t>
        </is>
      </c>
      <c r="R329" s="187" t="inlineStr">
        <is>
          <t>动画角色</t>
        </is>
      </c>
      <c r="S329" s="187" t="inlineStr">
        <is>
          <t>电脑</t>
        </is>
      </c>
      <c r="T329" s="187" t="inlineStr">
        <is>
          <t>缺失</t>
        </is>
      </c>
      <c r="U329" s="187" t="inlineStr">
        <is>
          <t>学校</t>
        </is>
      </c>
      <c r="V329" s="187" t="inlineStr">
        <is>
          <t>只用视频</t>
        </is>
      </c>
      <c r="W329" s="187" t="inlineStr">
        <is>
          <t>该情境自然课堂基线 vs 该情境电脑训练开始后的自然课堂</t>
        </is>
      </c>
    </row>
    <row r="330" ht="15" customHeight="1" s="176">
      <c r="A330" s="186" t="inlineStr">
        <is>
          <t>K505</t>
        </is>
      </c>
      <c r="B330" s="186" t="inlineStr">
        <is>
          <t>069-滚雪球</t>
        </is>
      </c>
      <c r="C330" s="186" t="inlineStr">
        <is>
          <t>Sid</t>
        </is>
      </c>
      <c r="D330" s="187" t="inlineStr">
        <is>
          <t>干预</t>
        </is>
      </c>
      <c r="E330" s="186" t="inlineStr">
        <is>
          <t>6–8岁</t>
        </is>
      </c>
      <c r="F330" s="187" t="inlineStr">
        <is>
          <t>男</t>
        </is>
      </c>
      <c r="G330" s="188" t="inlineStr">
        <is>
          <t>不纳入该变量（原文未报告）</t>
        </is>
      </c>
      <c r="H330" s="187" t="inlineStr">
        <is>
          <t>动画角色</t>
        </is>
      </c>
      <c r="I330" s="187" t="inlineStr">
        <is>
          <t>单独实施</t>
        </is>
      </c>
      <c r="J330" s="187" t="inlineStr">
        <is>
          <t>电脑</t>
        </is>
      </c>
      <c r="K330" s="186" t="inlineStr">
        <is>
          <t>11～60分钟</t>
        </is>
      </c>
      <c r="L330" s="187" t="inlineStr">
        <is>
          <t>教室</t>
        </is>
      </c>
      <c r="M330" s="187" t="inlineStr">
        <is>
          <t>研究人员</t>
        </is>
      </c>
      <c r="N330" s="187" t="inlineStr">
        <is>
          <t>干预者回原文补齐</t>
        </is>
      </c>
      <c r="O330" s="186" t="inlineStr">
        <is>
          <t>7.80岁</t>
        </is>
      </c>
      <c r="P330" s="186" t="inlineStr">
        <is>
          <t>10–25分钟（随情境增加而延长）</t>
        </is>
      </c>
      <c r="Q330" s="187" t="inlineStr">
        <is>
          <t>无</t>
        </is>
      </c>
      <c r="R330" s="187" t="inlineStr">
        <is>
          <t>动画角色</t>
        </is>
      </c>
      <c r="S330" s="187" t="inlineStr">
        <is>
          <t>电脑</t>
        </is>
      </c>
      <c r="T330" s="187" t="inlineStr">
        <is>
          <t>缺失</t>
        </is>
      </c>
      <c r="U330" s="187" t="inlineStr">
        <is>
          <t>学校</t>
        </is>
      </c>
      <c r="V330" s="187" t="inlineStr">
        <is>
          <t>只用视频</t>
        </is>
      </c>
      <c r="W330" s="187" t="inlineStr">
        <is>
          <t>该情境自然课堂基线 vs 该情境电脑训练开始后的自然课堂</t>
        </is>
      </c>
    </row>
    <row r="331" ht="15" customHeight="1" s="176">
      <c r="A331" s="186" t="inlineStr">
        <is>
          <t>K506</t>
        </is>
      </c>
      <c r="B331" s="186" t="inlineStr">
        <is>
          <t>069-滚雪球</t>
        </is>
      </c>
      <c r="C331" s="186" t="inlineStr">
        <is>
          <t>Sid</t>
        </is>
      </c>
      <c r="D331" s="187" t="inlineStr">
        <is>
          <t>干预</t>
        </is>
      </c>
      <c r="E331" s="186" t="inlineStr">
        <is>
          <t>6–8岁</t>
        </is>
      </c>
      <c r="F331" s="187" t="inlineStr">
        <is>
          <t>男</t>
        </is>
      </c>
      <c r="G331" s="188" t="inlineStr">
        <is>
          <t>不纳入该变量（原文未报告）</t>
        </is>
      </c>
      <c r="H331" s="187" t="inlineStr">
        <is>
          <t>动画角色</t>
        </is>
      </c>
      <c r="I331" s="187" t="inlineStr">
        <is>
          <t>单独实施</t>
        </is>
      </c>
      <c r="J331" s="187" t="inlineStr">
        <is>
          <t>电脑</t>
        </is>
      </c>
      <c r="K331" s="186" t="inlineStr">
        <is>
          <t>11～60分钟</t>
        </is>
      </c>
      <c r="L331" s="187" t="inlineStr">
        <is>
          <t>教室</t>
        </is>
      </c>
      <c r="M331" s="187" t="inlineStr">
        <is>
          <t>研究人员</t>
        </is>
      </c>
      <c r="N331" s="187" t="inlineStr">
        <is>
          <t>干预者回原文补齐</t>
        </is>
      </c>
      <c r="O331" s="186" t="inlineStr">
        <is>
          <t>7.80岁</t>
        </is>
      </c>
      <c r="P331" s="186" t="inlineStr">
        <is>
          <t>10–25分钟（随情境增加而延长）</t>
        </is>
      </c>
      <c r="Q331" s="187" t="inlineStr">
        <is>
          <t>无</t>
        </is>
      </c>
      <c r="R331" s="187" t="inlineStr">
        <is>
          <t>动画角色</t>
        </is>
      </c>
      <c r="S331" s="187" t="inlineStr">
        <is>
          <t>电脑</t>
        </is>
      </c>
      <c r="T331" s="187" t="inlineStr">
        <is>
          <t>缺失</t>
        </is>
      </c>
      <c r="U331" s="187" t="inlineStr">
        <is>
          <t>学校</t>
        </is>
      </c>
      <c r="V331" s="187" t="inlineStr">
        <is>
          <t>只用视频</t>
        </is>
      </c>
      <c r="W331" s="187" t="inlineStr">
        <is>
          <t>该情境自然课堂基线 vs 该情境电脑训练开始后的自然课堂</t>
        </is>
      </c>
    </row>
    <row r="332" ht="15" customHeight="1" s="176">
      <c r="A332" s="186" t="inlineStr">
        <is>
          <t>K507</t>
        </is>
      </c>
      <c r="B332" s="186" t="inlineStr">
        <is>
          <t>069-滚雪球</t>
        </is>
      </c>
      <c r="C332" s="186" t="inlineStr">
        <is>
          <t>Sid</t>
        </is>
      </c>
      <c r="D332" s="187" t="inlineStr">
        <is>
          <t>干预</t>
        </is>
      </c>
      <c r="E332" s="186" t="inlineStr">
        <is>
          <t>6–8岁</t>
        </is>
      </c>
      <c r="F332" s="187" t="inlineStr">
        <is>
          <t>男</t>
        </is>
      </c>
      <c r="G332" s="188" t="inlineStr">
        <is>
          <t>不纳入该变量（原文未报告）</t>
        </is>
      </c>
      <c r="H332" s="187" t="inlineStr">
        <is>
          <t>动画角色</t>
        </is>
      </c>
      <c r="I332" s="187" t="inlineStr">
        <is>
          <t>单独实施</t>
        </is>
      </c>
      <c r="J332" s="187" t="inlineStr">
        <is>
          <t>电脑</t>
        </is>
      </c>
      <c r="K332" s="186" t="inlineStr">
        <is>
          <t>11～60分钟</t>
        </is>
      </c>
      <c r="L332" s="187" t="inlineStr">
        <is>
          <t>教室</t>
        </is>
      </c>
      <c r="M332" s="187" t="inlineStr">
        <is>
          <t>研究人员</t>
        </is>
      </c>
      <c r="N332" s="187" t="inlineStr">
        <is>
          <t>干预者回原文补齐</t>
        </is>
      </c>
      <c r="O332" s="186" t="inlineStr">
        <is>
          <t>7.80岁</t>
        </is>
      </c>
      <c r="P332" s="186" t="inlineStr">
        <is>
          <t>10–25分钟（随情境增加而延长）</t>
        </is>
      </c>
      <c r="Q332" s="187" t="inlineStr">
        <is>
          <t>无</t>
        </is>
      </c>
      <c r="R332" s="187" t="inlineStr">
        <is>
          <t>动画角色</t>
        </is>
      </c>
      <c r="S332" s="187" t="inlineStr">
        <is>
          <t>电脑</t>
        </is>
      </c>
      <c r="T332" s="187" t="inlineStr">
        <is>
          <t>缺失</t>
        </is>
      </c>
      <c r="U332" s="187" t="inlineStr">
        <is>
          <t>学校</t>
        </is>
      </c>
      <c r="V332" s="187" t="inlineStr">
        <is>
          <t>只用视频</t>
        </is>
      </c>
      <c r="W332" s="187" t="inlineStr">
        <is>
          <t>该情境自然课堂基线 vs 该情境电脑训练开始后的自然课堂</t>
        </is>
      </c>
    </row>
    <row r="333" ht="15" customHeight="1" s="176">
      <c r="A333" s="186" t="inlineStr">
        <is>
          <t>K508</t>
        </is>
      </c>
      <c r="B333" s="186" t="inlineStr">
        <is>
          <t>080-二次</t>
        </is>
      </c>
      <c r="C333" s="186" t="inlineStr">
        <is>
          <t>Samuel</t>
        </is>
      </c>
      <c r="D333" s="187" t="inlineStr">
        <is>
          <t>干预</t>
        </is>
      </c>
      <c r="E333" s="186" t="inlineStr">
        <is>
          <t>9–12岁</t>
        </is>
      </c>
      <c r="F333" s="187" t="inlineStr">
        <is>
          <t>男</t>
        </is>
      </c>
      <c r="G333" s="188" t="inlineStr">
        <is>
          <t>不纳入该变量（原文未报告）</t>
        </is>
      </c>
      <c r="H333" s="187" t="inlineStr">
        <is>
          <t>儿童本人</t>
        </is>
      </c>
      <c r="I333" s="187" t="inlineStr">
        <is>
          <t>单独实施</t>
        </is>
      </c>
      <c r="J333" s="188" t="inlineStr">
        <is>
          <t>不纳入该变量（原文未报告）</t>
        </is>
      </c>
      <c r="K333" s="188" t="inlineStr">
        <is>
          <t>不纳入该变量（原文未报告）</t>
        </is>
      </c>
      <c r="L333" s="187" t="inlineStr">
        <is>
          <t>教室</t>
        </is>
      </c>
      <c r="M333" s="188" t="inlineStr">
        <is>
          <t>不纳入该变量（原文未报告）</t>
        </is>
      </c>
      <c r="N333" s="187" t="inlineStr">
        <is>
          <t>2026-10-18恢复。研究场景为两间中学教室，部分问候在午餐区；未单列视频观看房间（原文PDF4、6）。播放设备未报告，仅从该调节变量排除4K，其余分析保留。</t>
        </is>
      </c>
      <c r="O333" s="187" t="inlineStr">
        <is>
          <t>按六年级推定为9–12岁；原文未报告实足年龄（PDF4）</t>
        </is>
      </c>
      <c r="P333" s="187" t="inlineStr">
        <is>
          <t>未报告（每天午饭后看一次完整录像，录像时长未报告）</t>
        </is>
      </c>
      <c r="Q333" s="187" t="inlineStr">
        <is>
          <t>无</t>
        </is>
      </c>
      <c r="R333" s="187" t="inlineStr">
        <is>
          <t>儿童本人</t>
        </is>
      </c>
      <c r="S333" s="187" t="inlineStr">
        <is>
          <t>缺失</t>
        </is>
      </c>
      <c r="T333" s="187" t="inlineStr">
        <is>
          <t>缺失</t>
        </is>
      </c>
      <c r="U333" s="187" t="inlineStr">
        <is>
          <t>缺失</t>
        </is>
      </c>
      <c r="V333" s="187" t="inlineStr">
        <is>
          <t>只用视频</t>
        </is>
      </c>
      <c r="W333" s="187" t="inlineStr">
        <is>
          <t>两段基线合并 vs Intervention</t>
        </is>
      </c>
    </row>
    <row r="334" ht="15" customHeight="1" s="176">
      <c r="A334" s="186" t="inlineStr">
        <is>
          <t>K509</t>
        </is>
      </c>
      <c r="B334" s="186" t="inlineStr">
        <is>
          <t>080-二次</t>
        </is>
      </c>
      <c r="C334" s="186" t="inlineStr">
        <is>
          <t>Samuel</t>
        </is>
      </c>
      <c r="D334" s="187" t="inlineStr">
        <is>
          <t>维持</t>
        </is>
      </c>
      <c r="E334" s="186" t="inlineStr">
        <is>
          <t>9–12岁</t>
        </is>
      </c>
      <c r="F334" s="187" t="inlineStr">
        <is>
          <t>男</t>
        </is>
      </c>
      <c r="G334" s="188" t="inlineStr">
        <is>
          <t>不纳入该变量（原文未报告）</t>
        </is>
      </c>
      <c r="H334" s="187" t="inlineStr">
        <is>
          <t>儿童本人</t>
        </is>
      </c>
      <c r="I334" s="187" t="inlineStr">
        <is>
          <t>单独实施</t>
        </is>
      </c>
      <c r="J334" s="188" t="inlineStr">
        <is>
          <t>不纳入该变量（原文未报告）</t>
        </is>
      </c>
      <c r="K334" s="188" t="inlineStr">
        <is>
          <t>不纳入该变量（原文未报告）</t>
        </is>
      </c>
      <c r="L334" s="187" t="inlineStr">
        <is>
          <t>教室</t>
        </is>
      </c>
      <c r="M334" s="188" t="inlineStr">
        <is>
          <t>不纳入该变量（原文未报告）</t>
        </is>
      </c>
      <c r="N334" s="187" t="inlineStr">
        <is>
          <t>2026-10-18恢复。研究场景为两间中学教室，部分问候在午餐区；未单列视频观看房间（原文PDF4、6）。播放设备未报告，仅从该调节变量排除4K，其余分析保留。</t>
        </is>
      </c>
      <c r="O334" s="187" t="inlineStr">
        <is>
          <t>按六年级推定为9–12岁；原文未报告实足年龄（PDF4）</t>
        </is>
      </c>
      <c r="P334" s="187" t="inlineStr">
        <is>
          <t>未报告（每天午饭后看一次完整录像，录像时长未报告）</t>
        </is>
      </c>
      <c r="Q334" s="187" t="inlineStr">
        <is>
          <t>无</t>
        </is>
      </c>
      <c r="R334" s="187" t="inlineStr">
        <is>
          <t>儿童本人</t>
        </is>
      </c>
      <c r="S334" s="187" t="inlineStr">
        <is>
          <t>缺失</t>
        </is>
      </c>
      <c r="T334" s="187" t="inlineStr">
        <is>
          <t>缺失</t>
        </is>
      </c>
      <c r="U334" s="187" t="inlineStr">
        <is>
          <t>缺失</t>
        </is>
      </c>
      <c r="V334" s="187" t="inlineStr">
        <is>
          <t>只用视频</t>
        </is>
      </c>
      <c r="W334" s="187" t="inlineStr">
        <is>
          <t>两段基线合并 vs Follow Up（图标 Generalization）</t>
        </is>
      </c>
    </row>
    <row r="335" ht="15" customHeight="1" s="176">
      <c r="A335" s="186" t="inlineStr">
        <is>
          <t>K510</t>
        </is>
      </c>
      <c r="B335" s="186" t="inlineStr">
        <is>
          <t>080-二次</t>
        </is>
      </c>
      <c r="C335" s="186" t="inlineStr">
        <is>
          <t>Katarina</t>
        </is>
      </c>
      <c r="D335" s="187" t="inlineStr">
        <is>
          <t>干预</t>
        </is>
      </c>
      <c r="E335" s="186" t="inlineStr">
        <is>
          <t>9–12岁</t>
        </is>
      </c>
      <c r="F335" s="187" t="inlineStr">
        <is>
          <t>女</t>
        </is>
      </c>
      <c r="G335" s="188" t="inlineStr">
        <is>
          <t>不纳入该变量（原文未报告）</t>
        </is>
      </c>
      <c r="H335" s="187" t="inlineStr">
        <is>
          <t>儿童本人</t>
        </is>
      </c>
      <c r="I335" s="187" t="inlineStr">
        <is>
          <t>单独实施</t>
        </is>
      </c>
      <c r="J335" s="188" t="inlineStr">
        <is>
          <t>不纳入该变量（原文未报告）</t>
        </is>
      </c>
      <c r="K335" s="188" t="inlineStr">
        <is>
          <t>不纳入该变量（原文未报告）</t>
        </is>
      </c>
      <c r="L335" s="187" t="inlineStr">
        <is>
          <t>教室</t>
        </is>
      </c>
      <c r="M335" s="188" t="inlineStr">
        <is>
          <t>不纳入该变量（原文未报告）</t>
        </is>
      </c>
      <c r="N335" s="187" t="inlineStr">
        <is>
          <t>2026-10-18恢复。研究场景为两间中学教室，部分问候在午餐区；未单列视频观看房间（原文PDF4、6）。播放设备未报告，仅从该调节变量排除4K，其余分析保留。</t>
        </is>
      </c>
      <c r="O335" s="187" t="inlineStr">
        <is>
          <t>按六年级推定为9–12岁；原文未报告实足年龄（PDF4）</t>
        </is>
      </c>
      <c r="P335" s="187" t="inlineStr">
        <is>
          <t>未报告（每天午饭后看一次完整录像，录像时长未报告）</t>
        </is>
      </c>
      <c r="Q335" s="187" t="inlineStr">
        <is>
          <t>无</t>
        </is>
      </c>
      <c r="R335" s="187" t="inlineStr">
        <is>
          <t>儿童本人</t>
        </is>
      </c>
      <c r="S335" s="187" t="inlineStr">
        <is>
          <t>缺失</t>
        </is>
      </c>
      <c r="T335" s="187" t="inlineStr">
        <is>
          <t>缺失</t>
        </is>
      </c>
      <c r="U335" s="187" t="inlineStr">
        <is>
          <t>缺失</t>
        </is>
      </c>
      <c r="V335" s="187" t="inlineStr">
        <is>
          <t>只用视频</t>
        </is>
      </c>
      <c r="W335" s="187" t="inlineStr">
        <is>
          <t>两段基线合并 vs Intervention</t>
        </is>
      </c>
    </row>
    <row r="336" ht="15" customHeight="1" s="176">
      <c r="A336" s="186" t="inlineStr">
        <is>
          <t>K511</t>
        </is>
      </c>
      <c r="B336" s="186" t="inlineStr">
        <is>
          <t>080-二次</t>
        </is>
      </c>
      <c r="C336" s="186" t="inlineStr">
        <is>
          <t>Katarina</t>
        </is>
      </c>
      <c r="D336" s="187" t="inlineStr">
        <is>
          <t>维持</t>
        </is>
      </c>
      <c r="E336" s="186" t="inlineStr">
        <is>
          <t>9–12岁</t>
        </is>
      </c>
      <c r="F336" s="187" t="inlineStr">
        <is>
          <t>女</t>
        </is>
      </c>
      <c r="G336" s="188" t="inlineStr">
        <is>
          <t>不纳入该变量（原文未报告）</t>
        </is>
      </c>
      <c r="H336" s="187" t="inlineStr">
        <is>
          <t>儿童本人</t>
        </is>
      </c>
      <c r="I336" s="187" t="inlineStr">
        <is>
          <t>单独实施</t>
        </is>
      </c>
      <c r="J336" s="188" t="inlineStr">
        <is>
          <t>不纳入该变量（原文未报告）</t>
        </is>
      </c>
      <c r="K336" s="188" t="inlineStr">
        <is>
          <t>不纳入该变量（原文未报告）</t>
        </is>
      </c>
      <c r="L336" s="187" t="inlineStr">
        <is>
          <t>教室</t>
        </is>
      </c>
      <c r="M336" s="188" t="inlineStr">
        <is>
          <t>不纳入该变量（原文未报告）</t>
        </is>
      </c>
      <c r="N336" s="187" t="inlineStr">
        <is>
          <t>2026-10-18恢复。研究场景为两间中学教室，部分问候在午餐区；未单列视频观看房间（原文PDF4、6）。播放设备未报告，仅从该调节变量排除4K，其余分析保留。</t>
        </is>
      </c>
      <c r="O336" s="187" t="inlineStr">
        <is>
          <t>按六年级推定为9–12岁；原文未报告实足年龄（PDF4）</t>
        </is>
      </c>
      <c r="P336" s="187" t="inlineStr">
        <is>
          <t>未报告（每天午饭后看一次完整录像，录像时长未报告）</t>
        </is>
      </c>
      <c r="Q336" s="187" t="inlineStr">
        <is>
          <t>无</t>
        </is>
      </c>
      <c r="R336" s="187" t="inlineStr">
        <is>
          <t>儿童本人</t>
        </is>
      </c>
      <c r="S336" s="187" t="inlineStr">
        <is>
          <t>缺失</t>
        </is>
      </c>
      <c r="T336" s="187" t="inlineStr">
        <is>
          <t>缺失</t>
        </is>
      </c>
      <c r="U336" s="187" t="inlineStr">
        <is>
          <t>缺失</t>
        </is>
      </c>
      <c r="V336" s="187" t="inlineStr">
        <is>
          <t>只用视频</t>
        </is>
      </c>
      <c r="W336" s="187" t="inlineStr">
        <is>
          <t>两段基线合并 vs Follow Up（图标 Generalization）</t>
        </is>
      </c>
    </row>
    <row r="337" ht="15" customHeight="1" s="176">
      <c r="A337" s="186" t="inlineStr">
        <is>
          <t>K512</t>
        </is>
      </c>
      <c r="B337" s="186" t="inlineStr">
        <is>
          <t>102-滚雪球</t>
        </is>
      </c>
      <c r="C337" s="186" t="inlineStr">
        <is>
          <t>Isaiah</t>
        </is>
      </c>
      <c r="D337" s="187" t="inlineStr">
        <is>
          <t>干预</t>
        </is>
      </c>
      <c r="E337" s="186" t="inlineStr">
        <is>
          <t>6岁以下</t>
        </is>
      </c>
      <c r="F337" s="187" t="inlineStr">
        <is>
          <t>男</t>
        </is>
      </c>
      <c r="G337" s="187" t="inlineStr">
        <is>
          <t>轻中度</t>
        </is>
      </c>
      <c r="H337" s="187" t="inlineStr">
        <is>
          <t>同伴儿童（含兄弟姐妹）</t>
        </is>
      </c>
      <c r="I337" s="187" t="inlineStr">
        <is>
          <t>单独实施</t>
        </is>
      </c>
      <c r="J337" s="187" t="inlineStr">
        <is>
          <t>电脑</t>
        </is>
      </c>
      <c r="K337" s="186" t="inlineStr">
        <is>
          <t>11～60分钟</t>
        </is>
      </c>
      <c r="L337" s="187" t="inlineStr">
        <is>
          <t>教室</t>
        </is>
      </c>
      <c r="M337" s="187" t="inlineStr">
        <is>
          <t>学校人员</t>
        </is>
      </c>
      <c r="N337" s="186" t="n"/>
      <c r="O337" s="186" t="inlineStr">
        <is>
          <t>5.00岁</t>
        </is>
      </c>
      <c r="P337" s="187" t="inlineStr">
        <is>
          <t>每次30分钟</t>
        </is>
      </c>
      <c r="Q337" s="187" t="inlineStr">
        <is>
          <t>无</t>
        </is>
      </c>
      <c r="R337" s="187" t="inlineStr">
        <is>
          <t>同伴儿童</t>
        </is>
      </c>
      <c r="S337" s="187" t="inlineStr">
        <is>
          <t>电脑</t>
        </is>
      </c>
      <c r="T337" s="187" t="inlineStr">
        <is>
          <t>学校人员</t>
        </is>
      </c>
      <c r="U337" s="187" t="inlineStr">
        <is>
          <t>学校</t>
        </is>
      </c>
      <c r="V337" s="187" t="inlineStr">
        <is>
          <t>只用视频</t>
        </is>
      </c>
      <c r="W337" s="186" t="inlineStr">
        <is>
          <t>Baseline vs 电脑嵌入视频教学期</t>
        </is>
      </c>
    </row>
    <row r="338" ht="15" customHeight="1" s="176">
      <c r="A338" s="186" t="inlineStr">
        <is>
          <t>K513</t>
        </is>
      </c>
      <c r="B338" s="186" t="inlineStr">
        <is>
          <t>102-滚雪球</t>
        </is>
      </c>
      <c r="C338" s="186" t="inlineStr">
        <is>
          <t>Isaiah</t>
        </is>
      </c>
      <c r="D338" s="187" t="inlineStr">
        <is>
          <t>干预</t>
        </is>
      </c>
      <c r="E338" s="186" t="inlineStr">
        <is>
          <t>6岁以下</t>
        </is>
      </c>
      <c r="F338" s="187" t="inlineStr">
        <is>
          <t>男</t>
        </is>
      </c>
      <c r="G338" s="187" t="inlineStr">
        <is>
          <t>轻中度</t>
        </is>
      </c>
      <c r="H338" s="187" t="inlineStr">
        <is>
          <t>同伴儿童（含兄弟姐妹）</t>
        </is>
      </c>
      <c r="I338" s="187" t="inlineStr">
        <is>
          <t>单独实施</t>
        </is>
      </c>
      <c r="J338" s="187" t="inlineStr">
        <is>
          <t>电脑</t>
        </is>
      </c>
      <c r="K338" s="186" t="inlineStr">
        <is>
          <t>11～60分钟</t>
        </is>
      </c>
      <c r="L338" s="187" t="inlineStr">
        <is>
          <t>教室</t>
        </is>
      </c>
      <c r="M338" s="187" t="inlineStr">
        <is>
          <t>学校人员</t>
        </is>
      </c>
      <c r="N338" s="186" t="n"/>
      <c r="O338" s="186" t="inlineStr">
        <is>
          <t>5.00岁</t>
        </is>
      </c>
      <c r="P338" s="187" t="inlineStr">
        <is>
          <t>每次30分钟</t>
        </is>
      </c>
      <c r="Q338" s="187" t="inlineStr">
        <is>
          <t>无</t>
        </is>
      </c>
      <c r="R338" s="187" t="inlineStr">
        <is>
          <t>同伴儿童</t>
        </is>
      </c>
      <c r="S338" s="187" t="inlineStr">
        <is>
          <t>电脑</t>
        </is>
      </c>
      <c r="T338" s="187" t="inlineStr">
        <is>
          <t>学校人员</t>
        </is>
      </c>
      <c r="U338" s="187" t="inlineStr">
        <is>
          <t>学校</t>
        </is>
      </c>
      <c r="V338" s="187" t="inlineStr">
        <is>
          <t>只用视频</t>
        </is>
      </c>
      <c r="W338" s="186" t="inlineStr">
        <is>
          <t>Baseline vs 电脑嵌入视频教学期</t>
        </is>
      </c>
    </row>
    <row r="339" ht="15" customHeight="1" s="176">
      <c r="A339" s="186" t="inlineStr">
        <is>
          <t>K514</t>
        </is>
      </c>
      <c r="B339" s="186" t="inlineStr">
        <is>
          <t>102-滚雪球</t>
        </is>
      </c>
      <c r="C339" s="186" t="inlineStr">
        <is>
          <t>Hannah</t>
        </is>
      </c>
      <c r="D339" s="187" t="inlineStr">
        <is>
          <t>干预</t>
        </is>
      </c>
      <c r="E339" s="186" t="inlineStr">
        <is>
          <t>6岁以下</t>
        </is>
      </c>
      <c r="F339" s="187" t="inlineStr">
        <is>
          <t>女</t>
        </is>
      </c>
      <c r="G339" s="187" t="inlineStr">
        <is>
          <t>轻中度</t>
        </is>
      </c>
      <c r="H339" s="187" t="inlineStr">
        <is>
          <t>同伴儿童（含兄弟姐妹）</t>
        </is>
      </c>
      <c r="I339" s="187" t="inlineStr">
        <is>
          <t>单独实施</t>
        </is>
      </c>
      <c r="J339" s="187" t="inlineStr">
        <is>
          <t>电脑</t>
        </is>
      </c>
      <c r="K339" s="186" t="inlineStr">
        <is>
          <t>11～60分钟</t>
        </is>
      </c>
      <c r="L339" s="187" t="inlineStr">
        <is>
          <t>教室</t>
        </is>
      </c>
      <c r="M339" s="187" t="inlineStr">
        <is>
          <t>学校人员</t>
        </is>
      </c>
      <c r="N339" s="186" t="n"/>
      <c r="O339" s="186" t="inlineStr">
        <is>
          <t>5.00岁</t>
        </is>
      </c>
      <c r="P339" s="187" t="inlineStr">
        <is>
          <t>每次30分钟</t>
        </is>
      </c>
      <c r="Q339" s="187" t="inlineStr">
        <is>
          <t>无</t>
        </is>
      </c>
      <c r="R339" s="187" t="inlineStr">
        <is>
          <t>同伴儿童</t>
        </is>
      </c>
      <c r="S339" s="187" t="inlineStr">
        <is>
          <t>电脑</t>
        </is>
      </c>
      <c r="T339" s="187" t="inlineStr">
        <is>
          <t>学校人员</t>
        </is>
      </c>
      <c r="U339" s="187" t="inlineStr">
        <is>
          <t>学校</t>
        </is>
      </c>
      <c r="V339" s="187" t="inlineStr">
        <is>
          <t>只用视频</t>
        </is>
      </c>
      <c r="W339" s="186" t="inlineStr">
        <is>
          <t>Baseline vs 电脑嵌入视频教学期</t>
        </is>
      </c>
    </row>
    <row r="340" ht="15" customHeight="1" s="176">
      <c r="A340" s="186" t="inlineStr">
        <is>
          <t>K515</t>
        </is>
      </c>
      <c r="B340" s="186" t="inlineStr">
        <is>
          <t>102-滚雪球</t>
        </is>
      </c>
      <c r="C340" s="186" t="inlineStr">
        <is>
          <t>Hannah</t>
        </is>
      </c>
      <c r="D340" s="187" t="inlineStr">
        <is>
          <t>干预</t>
        </is>
      </c>
      <c r="E340" s="186" t="inlineStr">
        <is>
          <t>6岁以下</t>
        </is>
      </c>
      <c r="F340" s="187" t="inlineStr">
        <is>
          <t>女</t>
        </is>
      </c>
      <c r="G340" s="187" t="inlineStr">
        <is>
          <t>轻中度</t>
        </is>
      </c>
      <c r="H340" s="187" t="inlineStr">
        <is>
          <t>同伴儿童（含兄弟姐妹）</t>
        </is>
      </c>
      <c r="I340" s="187" t="inlineStr">
        <is>
          <t>单独实施</t>
        </is>
      </c>
      <c r="J340" s="187" t="inlineStr">
        <is>
          <t>电脑</t>
        </is>
      </c>
      <c r="K340" s="186" t="inlineStr">
        <is>
          <t>11～60分钟</t>
        </is>
      </c>
      <c r="L340" s="187" t="inlineStr">
        <is>
          <t>教室</t>
        </is>
      </c>
      <c r="M340" s="187" t="inlineStr">
        <is>
          <t>学校人员</t>
        </is>
      </c>
      <c r="N340" s="186" t="n"/>
      <c r="O340" s="186" t="inlineStr">
        <is>
          <t>5.00岁</t>
        </is>
      </c>
      <c r="P340" s="187" t="inlineStr">
        <is>
          <t>每次30分钟</t>
        </is>
      </c>
      <c r="Q340" s="187" t="inlineStr">
        <is>
          <t>无</t>
        </is>
      </c>
      <c r="R340" s="187" t="inlineStr">
        <is>
          <t>同伴儿童</t>
        </is>
      </c>
      <c r="S340" s="187" t="inlineStr">
        <is>
          <t>电脑</t>
        </is>
      </c>
      <c r="T340" s="187" t="inlineStr">
        <is>
          <t>学校人员</t>
        </is>
      </c>
      <c r="U340" s="187" t="inlineStr">
        <is>
          <t>学校</t>
        </is>
      </c>
      <c r="V340" s="187" t="inlineStr">
        <is>
          <t>只用视频</t>
        </is>
      </c>
      <c r="W340" s="186" t="inlineStr">
        <is>
          <t>Baseline vs 电脑嵌入视频教学期</t>
        </is>
      </c>
    </row>
    <row r="341" ht="15" customHeight="1" s="176">
      <c r="A341" s="186" t="inlineStr">
        <is>
          <t>K516</t>
        </is>
      </c>
      <c r="B341" s="186" t="inlineStr">
        <is>
          <t>102-滚雪球</t>
        </is>
      </c>
      <c r="C341" s="186" t="inlineStr">
        <is>
          <t>Marcus</t>
        </is>
      </c>
      <c r="D341" s="187" t="inlineStr">
        <is>
          <t>干预</t>
        </is>
      </c>
      <c r="E341" s="186" t="inlineStr">
        <is>
          <t>6–8岁</t>
        </is>
      </c>
      <c r="F341" s="187" t="inlineStr">
        <is>
          <t>男</t>
        </is>
      </c>
      <c r="G341" s="187" t="inlineStr">
        <is>
          <t>轻中度</t>
        </is>
      </c>
      <c r="H341" s="187" t="inlineStr">
        <is>
          <t>同伴儿童（含兄弟姐妹）</t>
        </is>
      </c>
      <c r="I341" s="187" t="inlineStr">
        <is>
          <t>单独实施</t>
        </is>
      </c>
      <c r="J341" s="187" t="inlineStr">
        <is>
          <t>电脑</t>
        </is>
      </c>
      <c r="K341" s="186" t="inlineStr">
        <is>
          <t>11～60分钟</t>
        </is>
      </c>
      <c r="L341" s="187" t="inlineStr">
        <is>
          <t>教室</t>
        </is>
      </c>
      <c r="M341" s="187" t="inlineStr">
        <is>
          <t>学校人员</t>
        </is>
      </c>
      <c r="N341" s="186" t="n"/>
      <c r="O341" s="186" t="inlineStr">
        <is>
          <t>6.00岁</t>
        </is>
      </c>
      <c r="P341" s="187" t="inlineStr">
        <is>
          <t>每次30分钟</t>
        </is>
      </c>
      <c r="Q341" s="187" t="inlineStr">
        <is>
          <t>无</t>
        </is>
      </c>
      <c r="R341" s="187" t="inlineStr">
        <is>
          <t>同伴儿童</t>
        </is>
      </c>
      <c r="S341" s="187" t="inlineStr">
        <is>
          <t>电脑</t>
        </is>
      </c>
      <c r="T341" s="187" t="inlineStr">
        <is>
          <t>学校人员</t>
        </is>
      </c>
      <c r="U341" s="187" t="inlineStr">
        <is>
          <t>学校</t>
        </is>
      </c>
      <c r="V341" s="187" t="inlineStr">
        <is>
          <t>只用视频</t>
        </is>
      </c>
      <c r="W341" s="186" t="inlineStr">
        <is>
          <t>Baseline vs 电脑嵌入视频教学期</t>
        </is>
      </c>
    </row>
    <row r="342" ht="15" customHeight="1" s="176">
      <c r="A342" s="186" t="inlineStr">
        <is>
          <t>K517</t>
        </is>
      </c>
      <c r="B342" s="186" t="inlineStr">
        <is>
          <t>102-滚雪球</t>
        </is>
      </c>
      <c r="C342" s="186" t="inlineStr">
        <is>
          <t>Marcus</t>
        </is>
      </c>
      <c r="D342" s="187" t="inlineStr">
        <is>
          <t>干预</t>
        </is>
      </c>
      <c r="E342" s="186" t="inlineStr">
        <is>
          <t>6–8岁</t>
        </is>
      </c>
      <c r="F342" s="187" t="inlineStr">
        <is>
          <t>男</t>
        </is>
      </c>
      <c r="G342" s="187" t="inlineStr">
        <is>
          <t>轻中度</t>
        </is>
      </c>
      <c r="H342" s="187" t="inlineStr">
        <is>
          <t>同伴儿童（含兄弟姐妹）</t>
        </is>
      </c>
      <c r="I342" s="187" t="inlineStr">
        <is>
          <t>单独实施</t>
        </is>
      </c>
      <c r="J342" s="187" t="inlineStr">
        <is>
          <t>电脑</t>
        </is>
      </c>
      <c r="K342" s="186" t="inlineStr">
        <is>
          <t>11～60分钟</t>
        </is>
      </c>
      <c r="L342" s="187" t="inlineStr">
        <is>
          <t>教室</t>
        </is>
      </c>
      <c r="M342" s="187" t="inlineStr">
        <is>
          <t>学校人员</t>
        </is>
      </c>
      <c r="N342" s="186" t="n"/>
      <c r="O342" s="186" t="inlineStr">
        <is>
          <t>6.00岁</t>
        </is>
      </c>
      <c r="P342" s="187" t="inlineStr">
        <is>
          <t>每次30分钟</t>
        </is>
      </c>
      <c r="Q342" s="187" t="inlineStr">
        <is>
          <t>无</t>
        </is>
      </c>
      <c r="R342" s="187" t="inlineStr">
        <is>
          <t>同伴儿童</t>
        </is>
      </c>
      <c r="S342" s="187" t="inlineStr">
        <is>
          <t>电脑</t>
        </is>
      </c>
      <c r="T342" s="187" t="inlineStr">
        <is>
          <t>学校人员</t>
        </is>
      </c>
      <c r="U342" s="187" t="inlineStr">
        <is>
          <t>学校</t>
        </is>
      </c>
      <c r="V342" s="187" t="inlineStr">
        <is>
          <t>只用视频</t>
        </is>
      </c>
      <c r="W342" s="186" t="inlineStr">
        <is>
          <t>Baseline vs 电脑嵌入视频教学期</t>
        </is>
      </c>
    </row>
    <row r="343" ht="15" customHeight="1" s="176">
      <c r="A343" s="186" t="inlineStr">
        <is>
          <t>K518</t>
        </is>
      </c>
      <c r="B343" s="186" t="inlineStr">
        <is>
          <t>102-滚雪球</t>
        </is>
      </c>
      <c r="C343" s="186" t="inlineStr">
        <is>
          <t>Kia</t>
        </is>
      </c>
      <c r="D343" s="187" t="inlineStr">
        <is>
          <t>干预</t>
        </is>
      </c>
      <c r="E343" s="186" t="inlineStr">
        <is>
          <t>6–8岁</t>
        </is>
      </c>
      <c r="F343" s="187" t="inlineStr">
        <is>
          <t>女</t>
        </is>
      </c>
      <c r="G343" s="187" t="inlineStr">
        <is>
          <t>轻中度</t>
        </is>
      </c>
      <c r="H343" s="187" t="inlineStr">
        <is>
          <t>同伴儿童（含兄弟姐妹）</t>
        </is>
      </c>
      <c r="I343" s="187" t="inlineStr">
        <is>
          <t>单独实施</t>
        </is>
      </c>
      <c r="J343" s="187" t="inlineStr">
        <is>
          <t>电脑</t>
        </is>
      </c>
      <c r="K343" s="186" t="inlineStr">
        <is>
          <t>11～60分钟</t>
        </is>
      </c>
      <c r="L343" s="187" t="inlineStr">
        <is>
          <t>教室</t>
        </is>
      </c>
      <c r="M343" s="187" t="inlineStr">
        <is>
          <t>学校人员</t>
        </is>
      </c>
      <c r="N343" s="186" t="n"/>
      <c r="O343" s="186" t="inlineStr">
        <is>
          <t>6.00岁</t>
        </is>
      </c>
      <c r="P343" s="187" t="inlineStr">
        <is>
          <t>每次30分钟</t>
        </is>
      </c>
      <c r="Q343" s="187" t="inlineStr">
        <is>
          <t>无</t>
        </is>
      </c>
      <c r="R343" s="187" t="inlineStr">
        <is>
          <t>同伴儿童</t>
        </is>
      </c>
      <c r="S343" s="187" t="inlineStr">
        <is>
          <t>电脑</t>
        </is>
      </c>
      <c r="T343" s="187" t="inlineStr">
        <is>
          <t>学校人员</t>
        </is>
      </c>
      <c r="U343" s="187" t="inlineStr">
        <is>
          <t>学校</t>
        </is>
      </c>
      <c r="V343" s="187" t="inlineStr">
        <is>
          <t>只用视频</t>
        </is>
      </c>
      <c r="W343" s="186" t="inlineStr">
        <is>
          <t>Baseline vs 电脑嵌入视频教学期</t>
        </is>
      </c>
    </row>
    <row r="344" ht="57" customHeight="1" s="176">
      <c r="A344" s="186" t="inlineStr">
        <is>
          <t>K519</t>
        </is>
      </c>
      <c r="B344" s="186" t="inlineStr">
        <is>
          <t>102-滚雪球</t>
        </is>
      </c>
      <c r="C344" s="186" t="inlineStr">
        <is>
          <t>Kia</t>
        </is>
      </c>
      <c r="D344" s="187" t="inlineStr">
        <is>
          <t>干预</t>
        </is>
      </c>
      <c r="E344" s="186" t="inlineStr">
        <is>
          <t>6–8岁</t>
        </is>
      </c>
      <c r="F344" s="187" t="inlineStr">
        <is>
          <t>女</t>
        </is>
      </c>
      <c r="G344" s="187" t="inlineStr">
        <is>
          <t>轻中度</t>
        </is>
      </c>
      <c r="H344" s="187" t="inlineStr">
        <is>
          <t>同伴儿童（含兄弟姐妹）</t>
        </is>
      </c>
      <c r="I344" s="187" t="inlineStr">
        <is>
          <t>单独实施</t>
        </is>
      </c>
      <c r="J344" s="187" t="inlineStr">
        <is>
          <t>电脑</t>
        </is>
      </c>
      <c r="K344" s="186" t="inlineStr">
        <is>
          <t>11～60分钟</t>
        </is>
      </c>
      <c r="L344" s="187" t="inlineStr">
        <is>
          <t>教室</t>
        </is>
      </c>
      <c r="M344" s="187" t="inlineStr">
        <is>
          <t>学校人员</t>
        </is>
      </c>
      <c r="N344" s="186" t="n"/>
      <c r="O344" s="186" t="inlineStr">
        <is>
          <t>6.00岁</t>
        </is>
      </c>
      <c r="P344" s="187" t="inlineStr">
        <is>
          <t>每次30分钟</t>
        </is>
      </c>
      <c r="Q344" s="187" t="inlineStr">
        <is>
          <t>无</t>
        </is>
      </c>
      <c r="R344" s="187" t="inlineStr">
        <is>
          <t>同伴儿童</t>
        </is>
      </c>
      <c r="S344" s="187" t="inlineStr">
        <is>
          <t>电脑</t>
        </is>
      </c>
      <c r="T344" s="187" t="inlineStr">
        <is>
          <t>学校人员</t>
        </is>
      </c>
      <c r="U344" s="187" t="inlineStr">
        <is>
          <t>学校</t>
        </is>
      </c>
      <c r="V344" s="187" t="inlineStr">
        <is>
          <t>只用视频</t>
        </is>
      </c>
      <c r="W344" s="186" t="inlineStr">
        <is>
          <t>Baseline vs 电脑嵌入视频教学期</t>
        </is>
      </c>
    </row>
    <row r="345" ht="57" customHeight="1" s="176">
      <c r="A345" s="191" t="inlineStr">
        <is>
          <t>K520</t>
        </is>
      </c>
      <c r="B345" s="191" t="inlineStr">
        <is>
          <t>110-二次</t>
        </is>
      </c>
      <c r="C345" s="191" t="inlineStr">
        <is>
          <t>Isaac</t>
        </is>
      </c>
      <c r="D345" s="192" t="inlineStr">
        <is>
          <t>干预</t>
        </is>
      </c>
      <c r="E345" s="191" t="inlineStr">
        <is>
          <t>6–8岁</t>
        </is>
      </c>
      <c r="F345" s="192" t="inlineStr">
        <is>
          <t>男</t>
        </is>
      </c>
      <c r="G345" s="188" t="inlineStr">
        <is>
          <t>不纳入该变量（原文未报告）</t>
        </is>
      </c>
      <c r="H345" s="192" t="inlineStr">
        <is>
          <t>成人</t>
        </is>
      </c>
      <c r="I345" s="192" t="inlineStr">
        <is>
          <t>单独实施</t>
        </is>
      </c>
      <c r="J345" s="192" t="inlineStr">
        <is>
          <t>便携触屏设备</t>
        </is>
      </c>
      <c r="K345" s="191" t="inlineStr">
        <is>
          <t>10分钟及以下</t>
        </is>
      </c>
      <c r="L345" s="192" t="inlineStr">
        <is>
          <t>教室</t>
        </is>
      </c>
      <c r="M345" s="192" t="inlineStr">
        <is>
          <t>学校人员</t>
        </is>
      </c>
      <c r="N345" s="193" t="inlineStr">
        <is>
          <t>新增：110-二次（推翻规则X03纳入）
视频设备依据：材料推断（110二次材料清单列iPad）</t>
        </is>
      </c>
      <c r="O345" s="191" t="inlineStr">
        <is>
          <t>7.00岁</t>
        </is>
      </c>
      <c r="P345" s="192" t="inlineStr">
        <is>
          <t>约2–3分钟（推算：40–60秒视频×3遍）</t>
        </is>
      </c>
      <c r="Q345" s="192" t="inlineStr">
        <is>
          <t>无</t>
        </is>
      </c>
      <c r="R345" s="192" t="inlineStr">
        <is>
          <t>成人</t>
        </is>
      </c>
      <c r="S345" s="192" t="inlineStr">
        <is>
          <t>（新增）</t>
        </is>
      </c>
      <c r="T345" s="192" t="inlineStr">
        <is>
          <t>（新增）</t>
        </is>
      </c>
      <c r="U345" s="192" t="inlineStr">
        <is>
          <t>（新增）</t>
        </is>
      </c>
      <c r="V345" s="192" t="inlineStr">
        <is>
          <t>（新增）</t>
        </is>
      </c>
      <c r="W345" s="192" t="inlineStr">
        <is>
          <t>该示范者脚本的基线 vs 该示范者视频示范期</t>
        </is>
      </c>
    </row>
    <row r="346" ht="44" customHeight="1" s="176">
      <c r="A346" s="191" t="inlineStr">
        <is>
          <t>K521</t>
        </is>
      </c>
      <c r="B346" s="191" t="inlineStr">
        <is>
          <t>110-二次</t>
        </is>
      </c>
      <c r="C346" s="191" t="inlineStr">
        <is>
          <t>Isaac</t>
        </is>
      </c>
      <c r="D346" s="192" t="inlineStr">
        <is>
          <t>干预</t>
        </is>
      </c>
      <c r="E346" s="191" t="inlineStr">
        <is>
          <t>6–8岁</t>
        </is>
      </c>
      <c r="F346" s="192" t="inlineStr">
        <is>
          <t>男</t>
        </is>
      </c>
      <c r="G346" s="188" t="inlineStr">
        <is>
          <t>不纳入该变量（原文未报告）</t>
        </is>
      </c>
      <c r="H346" s="192" t="inlineStr">
        <is>
          <t>动画角色</t>
        </is>
      </c>
      <c r="I346" s="192" t="inlineStr">
        <is>
          <t>单独实施</t>
        </is>
      </c>
      <c r="J346" s="192" t="inlineStr">
        <is>
          <t>便携触屏设备</t>
        </is>
      </c>
      <c r="K346" s="191" t="inlineStr">
        <is>
          <t>10分钟及以下</t>
        </is>
      </c>
      <c r="L346" s="192" t="inlineStr">
        <is>
          <t>教室</t>
        </is>
      </c>
      <c r="M346" s="192" t="inlineStr">
        <is>
          <t>学校人员</t>
        </is>
      </c>
      <c r="N346" s="193" t="inlineStr">
        <is>
          <t>新增：110-二次（推翻规则X03纳入）
视频设备依据：材料推断（110二次材料清单列iPad）</t>
        </is>
      </c>
      <c r="O346" s="191" t="inlineStr">
        <is>
          <t>7.00岁</t>
        </is>
      </c>
      <c r="P346" s="192" t="inlineStr">
        <is>
          <t>约2–3分钟（推算：40–60秒视频×3遍）</t>
        </is>
      </c>
      <c r="Q346" s="192" t="inlineStr">
        <is>
          <t>无</t>
        </is>
      </c>
      <c r="R346" s="192" t="inlineStr">
        <is>
          <t>动画</t>
        </is>
      </c>
      <c r="S346" s="192" t="inlineStr">
        <is>
          <t>（新增）</t>
        </is>
      </c>
      <c r="T346" s="192" t="inlineStr">
        <is>
          <t>（新增）</t>
        </is>
      </c>
      <c r="U346" s="192" t="inlineStr">
        <is>
          <t>（新增）</t>
        </is>
      </c>
      <c r="V346" s="192" t="inlineStr">
        <is>
          <t>（新增）</t>
        </is>
      </c>
      <c r="W346" s="192" t="inlineStr">
        <is>
          <t>该示范者脚本的基线 vs 该示范者视频示范期</t>
        </is>
      </c>
    </row>
    <row r="347" ht="44" customHeight="1" s="176">
      <c r="A347" s="191" t="inlineStr">
        <is>
          <t>K522</t>
        </is>
      </c>
      <c r="B347" s="191" t="inlineStr">
        <is>
          <t>110-二次</t>
        </is>
      </c>
      <c r="C347" s="191" t="inlineStr">
        <is>
          <t>Mark</t>
        </is>
      </c>
      <c r="D347" s="192" t="inlineStr">
        <is>
          <t>干预</t>
        </is>
      </c>
      <c r="E347" s="191" t="inlineStr">
        <is>
          <t>6岁以下</t>
        </is>
      </c>
      <c r="F347" s="192" t="inlineStr">
        <is>
          <t>男</t>
        </is>
      </c>
      <c r="G347" s="188" t="inlineStr">
        <is>
          <t>不纳入该变量（原文未报告）</t>
        </is>
      </c>
      <c r="H347" s="192" t="inlineStr">
        <is>
          <t>成人</t>
        </is>
      </c>
      <c r="I347" s="192" t="inlineStr">
        <is>
          <t>单独实施</t>
        </is>
      </c>
      <c r="J347" s="192" t="inlineStr">
        <is>
          <t>便携触屏设备</t>
        </is>
      </c>
      <c r="K347" s="191" t="inlineStr">
        <is>
          <t>10分钟及以下</t>
        </is>
      </c>
      <c r="L347" s="192" t="inlineStr">
        <is>
          <t>教室</t>
        </is>
      </c>
      <c r="M347" s="192" t="inlineStr">
        <is>
          <t>学校人员</t>
        </is>
      </c>
      <c r="N347" s="193" t="inlineStr">
        <is>
          <t>新增：110-二次（推翻规则X03纳入）
视频设备依据：材料推断（110二次材料清单列iPad）</t>
        </is>
      </c>
      <c r="O347" s="191" t="inlineStr">
        <is>
          <t>5.00岁</t>
        </is>
      </c>
      <c r="P347" s="192" t="inlineStr">
        <is>
          <t>约2–3分钟（推算：40–60秒视频×3遍）</t>
        </is>
      </c>
      <c r="Q347" s="192" t="inlineStr">
        <is>
          <t>无</t>
        </is>
      </c>
      <c r="R347" s="192" t="inlineStr">
        <is>
          <t>成人</t>
        </is>
      </c>
      <c r="S347" s="192" t="inlineStr">
        <is>
          <t>（新增）</t>
        </is>
      </c>
      <c r="T347" s="192" t="inlineStr">
        <is>
          <t>（新增）</t>
        </is>
      </c>
      <c r="U347" s="192" t="inlineStr">
        <is>
          <t>（新增）</t>
        </is>
      </c>
      <c r="V347" s="192" t="inlineStr">
        <is>
          <t>（新增）</t>
        </is>
      </c>
      <c r="W347" s="192" t="inlineStr">
        <is>
          <t>该示范者脚本的基线 vs 该示范者视频示范期</t>
        </is>
      </c>
    </row>
    <row r="348" ht="15" customHeight="1" s="176">
      <c r="A348" s="191" t="inlineStr">
        <is>
          <t>K523</t>
        </is>
      </c>
      <c r="B348" s="191" t="inlineStr">
        <is>
          <t>110-二次</t>
        </is>
      </c>
      <c r="C348" s="191" t="inlineStr">
        <is>
          <t>Mark</t>
        </is>
      </c>
      <c r="D348" s="192" t="inlineStr">
        <is>
          <t>干预</t>
        </is>
      </c>
      <c r="E348" s="191" t="inlineStr">
        <is>
          <t>6岁以下</t>
        </is>
      </c>
      <c r="F348" s="192" t="inlineStr">
        <is>
          <t>男</t>
        </is>
      </c>
      <c r="G348" s="188" t="inlineStr">
        <is>
          <t>不纳入该变量（原文未报告）</t>
        </is>
      </c>
      <c r="H348" s="192" t="inlineStr">
        <is>
          <t>动画角色</t>
        </is>
      </c>
      <c r="I348" s="192" t="inlineStr">
        <is>
          <t>单独实施</t>
        </is>
      </c>
      <c r="J348" s="192" t="inlineStr">
        <is>
          <t>便携触屏设备</t>
        </is>
      </c>
      <c r="K348" s="191" t="inlineStr">
        <is>
          <t>10分钟及以下</t>
        </is>
      </c>
      <c r="L348" s="192" t="inlineStr">
        <is>
          <t>教室</t>
        </is>
      </c>
      <c r="M348" s="192" t="inlineStr">
        <is>
          <t>学校人员</t>
        </is>
      </c>
      <c r="N348" s="193" t="inlineStr">
        <is>
          <t>新增：110-二次（推翻规则X03纳入）
视频设备依据：材料推断（110二次材料清单列iPad）</t>
        </is>
      </c>
      <c r="O348" s="191" t="inlineStr">
        <is>
          <t>5.00岁</t>
        </is>
      </c>
      <c r="P348" s="192" t="inlineStr">
        <is>
          <t>约2–3分钟（推算：40–60秒视频×3遍）</t>
        </is>
      </c>
      <c r="Q348" s="192" t="inlineStr">
        <is>
          <t>无</t>
        </is>
      </c>
      <c r="R348" s="192" t="inlineStr">
        <is>
          <t>动画</t>
        </is>
      </c>
      <c r="S348" s="192" t="inlineStr">
        <is>
          <t>（新增）</t>
        </is>
      </c>
      <c r="T348" s="192" t="inlineStr">
        <is>
          <t>（新增）</t>
        </is>
      </c>
      <c r="U348" s="192" t="inlineStr">
        <is>
          <t>（新增）</t>
        </is>
      </c>
      <c r="V348" s="192" t="inlineStr">
        <is>
          <t>（新增）</t>
        </is>
      </c>
      <c r="W348" s="192" t="inlineStr">
        <is>
          <t>该示范者脚本的基线 vs 该示范者视频示范期</t>
        </is>
      </c>
    </row>
    <row r="349" ht="15" customHeight="1" s="176">
      <c r="A349" s="191" t="inlineStr">
        <is>
          <t>K524</t>
        </is>
      </c>
      <c r="B349" s="191" t="inlineStr">
        <is>
          <t>110-二次</t>
        </is>
      </c>
      <c r="C349" s="191" t="inlineStr">
        <is>
          <t>Anesha</t>
        </is>
      </c>
      <c r="D349" s="192" t="inlineStr">
        <is>
          <t>干预</t>
        </is>
      </c>
      <c r="E349" s="191" t="inlineStr">
        <is>
          <t>6–8岁</t>
        </is>
      </c>
      <c r="F349" s="192" t="inlineStr">
        <is>
          <t>女</t>
        </is>
      </c>
      <c r="G349" s="188" t="inlineStr">
        <is>
          <t>不纳入该变量（原文未报告）</t>
        </is>
      </c>
      <c r="H349" s="192" t="inlineStr">
        <is>
          <t>成人</t>
        </is>
      </c>
      <c r="I349" s="192" t="inlineStr">
        <is>
          <t>单独实施</t>
        </is>
      </c>
      <c r="J349" s="192" t="inlineStr">
        <is>
          <t>便携触屏设备</t>
        </is>
      </c>
      <c r="K349" s="191" t="inlineStr">
        <is>
          <t>10分钟及以下</t>
        </is>
      </c>
      <c r="L349" s="192" t="inlineStr">
        <is>
          <t>教室</t>
        </is>
      </c>
      <c r="M349" s="192" t="inlineStr">
        <is>
          <t>学校人员</t>
        </is>
      </c>
      <c r="N349" s="193" t="inlineStr">
        <is>
          <t>新增：110-二次（推翻规则X03纳入）
视频设备依据：材料推断（110二次材料清单列iPad）</t>
        </is>
      </c>
      <c r="O349" s="191" t="inlineStr">
        <is>
          <t>7.00岁</t>
        </is>
      </c>
      <c r="P349" s="192" t="inlineStr">
        <is>
          <t>约2–3分钟（推算：40–60秒视频×3遍）</t>
        </is>
      </c>
      <c r="Q349" s="192" t="inlineStr">
        <is>
          <t>无</t>
        </is>
      </c>
      <c r="R349" s="192" t="inlineStr">
        <is>
          <t>成人</t>
        </is>
      </c>
      <c r="S349" s="192" t="inlineStr">
        <is>
          <t>（新增）</t>
        </is>
      </c>
      <c r="T349" s="192" t="inlineStr">
        <is>
          <t>（新增）</t>
        </is>
      </c>
      <c r="U349" s="192" t="inlineStr">
        <is>
          <t>（新增）</t>
        </is>
      </c>
      <c r="V349" s="192" t="inlineStr">
        <is>
          <t>（新增）</t>
        </is>
      </c>
      <c r="W349" s="192" t="inlineStr">
        <is>
          <t>该示范者脚本的基线 vs 该示范者视频示范期</t>
        </is>
      </c>
    </row>
    <row r="350" ht="15" customHeight="1" s="176">
      <c r="A350" s="191" t="inlineStr">
        <is>
          <t>K525</t>
        </is>
      </c>
      <c r="B350" s="191" t="inlineStr">
        <is>
          <t>110-二次</t>
        </is>
      </c>
      <c r="C350" s="191" t="inlineStr">
        <is>
          <t>Anesha</t>
        </is>
      </c>
      <c r="D350" s="192" t="inlineStr">
        <is>
          <t>干预</t>
        </is>
      </c>
      <c r="E350" s="191" t="inlineStr">
        <is>
          <t>6–8岁</t>
        </is>
      </c>
      <c r="F350" s="192" t="inlineStr">
        <is>
          <t>女</t>
        </is>
      </c>
      <c r="G350" s="188" t="inlineStr">
        <is>
          <t>不纳入该变量（原文未报告）</t>
        </is>
      </c>
      <c r="H350" s="192" t="inlineStr">
        <is>
          <t>动画角色</t>
        </is>
      </c>
      <c r="I350" s="192" t="inlineStr">
        <is>
          <t>单独实施</t>
        </is>
      </c>
      <c r="J350" s="192" t="inlineStr">
        <is>
          <t>便携触屏设备</t>
        </is>
      </c>
      <c r="K350" s="191" t="inlineStr">
        <is>
          <t>10分钟及以下</t>
        </is>
      </c>
      <c r="L350" s="192" t="inlineStr">
        <is>
          <t>教室</t>
        </is>
      </c>
      <c r="M350" s="192" t="inlineStr">
        <is>
          <t>学校人员</t>
        </is>
      </c>
      <c r="N350" s="193" t="inlineStr">
        <is>
          <t>新增：110-二次（推翻规则X03纳入）
视频设备依据：材料推断（110二次材料清单列iPad）</t>
        </is>
      </c>
      <c r="O350" s="191" t="inlineStr">
        <is>
          <t>7.00岁</t>
        </is>
      </c>
      <c r="P350" s="192" t="inlineStr">
        <is>
          <t>约2–3分钟（推算：40–60秒视频×3遍）</t>
        </is>
      </c>
      <c r="Q350" s="192" t="inlineStr">
        <is>
          <t>无</t>
        </is>
      </c>
      <c r="R350" s="192" t="inlineStr">
        <is>
          <t>动画</t>
        </is>
      </c>
      <c r="S350" s="192" t="inlineStr">
        <is>
          <t>（新增）</t>
        </is>
      </c>
      <c r="T350" s="192" t="inlineStr">
        <is>
          <t>（新增）</t>
        </is>
      </c>
      <c r="U350" s="192" t="inlineStr">
        <is>
          <t>（新增）</t>
        </is>
      </c>
      <c r="V350" s="192" t="inlineStr">
        <is>
          <t>（新增）</t>
        </is>
      </c>
      <c r="W350" s="192" t="inlineStr">
        <is>
          <t>该示范者脚本的基线 vs 该示范者视频示范期</t>
        </is>
      </c>
    </row>
    <row r="351" ht="15" customHeight="1" s="176">
      <c r="A351" s="191" t="inlineStr">
        <is>
          <t>K526</t>
        </is>
      </c>
      <c r="B351" s="191" t="inlineStr">
        <is>
          <t>110-二次</t>
        </is>
      </c>
      <c r="C351" s="191" t="inlineStr">
        <is>
          <t>Maria</t>
        </is>
      </c>
      <c r="D351" s="192" t="inlineStr">
        <is>
          <t>干预</t>
        </is>
      </c>
      <c r="E351" s="191" t="inlineStr">
        <is>
          <t>6–8岁</t>
        </is>
      </c>
      <c r="F351" s="192" t="inlineStr">
        <is>
          <t>女</t>
        </is>
      </c>
      <c r="G351" s="188" t="inlineStr">
        <is>
          <t>不纳入该变量（原文未报告）</t>
        </is>
      </c>
      <c r="H351" s="192" t="inlineStr">
        <is>
          <t>成人</t>
        </is>
      </c>
      <c r="I351" s="192" t="inlineStr">
        <is>
          <t>单独实施</t>
        </is>
      </c>
      <c r="J351" s="192" t="inlineStr">
        <is>
          <t>便携触屏设备</t>
        </is>
      </c>
      <c r="K351" s="191" t="inlineStr">
        <is>
          <t>10分钟及以下</t>
        </is>
      </c>
      <c r="L351" s="192" t="inlineStr">
        <is>
          <t>教室</t>
        </is>
      </c>
      <c r="M351" s="192" t="inlineStr">
        <is>
          <t>学校人员</t>
        </is>
      </c>
      <c r="N351" s="193" t="inlineStr">
        <is>
          <t>新增：110-二次（推翻规则X03纳入）
视频设备依据：材料推断（110二次材料清单列iPad）</t>
        </is>
      </c>
      <c r="O351" s="191" t="inlineStr">
        <is>
          <t>6.00岁</t>
        </is>
      </c>
      <c r="P351" s="192" t="inlineStr">
        <is>
          <t>约2–3分钟（推算：40–60秒视频×3遍）</t>
        </is>
      </c>
      <c r="Q351" s="192" t="inlineStr">
        <is>
          <t>无</t>
        </is>
      </c>
      <c r="R351" s="192" t="inlineStr">
        <is>
          <t>成人</t>
        </is>
      </c>
      <c r="S351" s="192" t="inlineStr">
        <is>
          <t>（新增）</t>
        </is>
      </c>
      <c r="T351" s="192" t="inlineStr">
        <is>
          <t>（新增）</t>
        </is>
      </c>
      <c r="U351" s="192" t="inlineStr">
        <is>
          <t>（新增）</t>
        </is>
      </c>
      <c r="V351" s="192" t="inlineStr">
        <is>
          <t>（新增）</t>
        </is>
      </c>
      <c r="W351" s="192" t="inlineStr">
        <is>
          <t>该示范者脚本的基线 vs 该示范者视频示范期</t>
        </is>
      </c>
    </row>
    <row r="352" ht="15" customHeight="1" s="176">
      <c r="A352" s="191" t="inlineStr">
        <is>
          <t>K527</t>
        </is>
      </c>
      <c r="B352" s="191" t="inlineStr">
        <is>
          <t>110-二次</t>
        </is>
      </c>
      <c r="C352" s="191" t="inlineStr">
        <is>
          <t>Maria</t>
        </is>
      </c>
      <c r="D352" s="192" t="inlineStr">
        <is>
          <t>干预</t>
        </is>
      </c>
      <c r="E352" s="191" t="inlineStr">
        <is>
          <t>6–8岁</t>
        </is>
      </c>
      <c r="F352" s="192" t="inlineStr">
        <is>
          <t>女</t>
        </is>
      </c>
      <c r="G352" s="188" t="inlineStr">
        <is>
          <t>不纳入该变量（原文未报告）</t>
        </is>
      </c>
      <c r="H352" s="192" t="inlineStr">
        <is>
          <t>动画角色</t>
        </is>
      </c>
      <c r="I352" s="192" t="inlineStr">
        <is>
          <t>单独实施</t>
        </is>
      </c>
      <c r="J352" s="192" t="inlineStr">
        <is>
          <t>便携触屏设备</t>
        </is>
      </c>
      <c r="K352" s="191" t="inlineStr">
        <is>
          <t>10分钟及以下</t>
        </is>
      </c>
      <c r="L352" s="192" t="inlineStr">
        <is>
          <t>教室</t>
        </is>
      </c>
      <c r="M352" s="192" t="inlineStr">
        <is>
          <t>学校人员</t>
        </is>
      </c>
      <c r="N352" s="193" t="inlineStr">
        <is>
          <t>新增：110-二次（推翻规则X03纳入）
视频设备依据：材料推断（110二次材料清单列iPad）</t>
        </is>
      </c>
      <c r="O352" s="191" t="inlineStr">
        <is>
          <t>6.00岁</t>
        </is>
      </c>
      <c r="P352" s="192" t="inlineStr">
        <is>
          <t>约2–3分钟（推算：40–60秒视频×3遍）</t>
        </is>
      </c>
      <c r="Q352" s="192" t="inlineStr">
        <is>
          <t>无</t>
        </is>
      </c>
      <c r="R352" s="192" t="inlineStr">
        <is>
          <t>动画</t>
        </is>
      </c>
      <c r="S352" s="192" t="inlineStr">
        <is>
          <t>（新增）</t>
        </is>
      </c>
      <c r="T352" s="192" t="inlineStr">
        <is>
          <t>（新增）</t>
        </is>
      </c>
      <c r="U352" s="192" t="inlineStr">
        <is>
          <t>（新增）</t>
        </is>
      </c>
      <c r="V352" s="192" t="inlineStr">
        <is>
          <t>（新增）</t>
        </is>
      </c>
      <c r="W352" s="192" t="inlineStr">
        <is>
          <t>该示范者脚本的基线 vs 该示范者视频示范期</t>
        </is>
      </c>
    </row>
    <row r="353" ht="15" customHeight="1" s="176">
      <c r="A353" s="191" t="inlineStr">
        <is>
          <t>K528</t>
        </is>
      </c>
      <c r="B353" s="191" t="inlineStr">
        <is>
          <t>110-二次</t>
        </is>
      </c>
      <c r="C353" s="191" t="inlineStr">
        <is>
          <t>Ray</t>
        </is>
      </c>
      <c r="D353" s="192" t="inlineStr">
        <is>
          <t>干预</t>
        </is>
      </c>
      <c r="E353" s="191" t="inlineStr">
        <is>
          <t>6–8岁</t>
        </is>
      </c>
      <c r="F353" s="192" t="inlineStr">
        <is>
          <t>男</t>
        </is>
      </c>
      <c r="G353" s="188" t="inlineStr">
        <is>
          <t>不纳入该变量（原文未报告）</t>
        </is>
      </c>
      <c r="H353" s="192" t="inlineStr">
        <is>
          <t>成人</t>
        </is>
      </c>
      <c r="I353" s="192" t="inlineStr">
        <is>
          <t>单独实施</t>
        </is>
      </c>
      <c r="J353" s="192" t="inlineStr">
        <is>
          <t>便携触屏设备</t>
        </is>
      </c>
      <c r="K353" s="191" t="inlineStr">
        <is>
          <t>10分钟及以下</t>
        </is>
      </c>
      <c r="L353" s="192" t="inlineStr">
        <is>
          <t>教室</t>
        </is>
      </c>
      <c r="M353" s="192" t="inlineStr">
        <is>
          <t>学校人员</t>
        </is>
      </c>
      <c r="N353" s="193" t="inlineStr">
        <is>
          <t>新增：110-二次（推翻规则X03纳入）
视频设备依据：材料推断（110二次材料清单列iPad）</t>
        </is>
      </c>
      <c r="O353" s="191" t="inlineStr">
        <is>
          <t>6.00岁</t>
        </is>
      </c>
      <c r="P353" s="192" t="inlineStr">
        <is>
          <t>约2–3分钟（推算：40–60秒视频×3遍）</t>
        </is>
      </c>
      <c r="Q353" s="192" t="inlineStr">
        <is>
          <t>无</t>
        </is>
      </c>
      <c r="R353" s="192" t="inlineStr">
        <is>
          <t>成人</t>
        </is>
      </c>
      <c r="S353" s="192" t="inlineStr">
        <is>
          <t>（新增）</t>
        </is>
      </c>
      <c r="T353" s="192" t="inlineStr">
        <is>
          <t>（新增）</t>
        </is>
      </c>
      <c r="U353" s="192" t="inlineStr">
        <is>
          <t>（新增）</t>
        </is>
      </c>
      <c r="V353" s="192" t="inlineStr">
        <is>
          <t>（新增）</t>
        </is>
      </c>
      <c r="W353" s="192" t="inlineStr">
        <is>
          <t>该示范者脚本的基线 vs 该示范者视频示范期</t>
        </is>
      </c>
    </row>
    <row r="354" ht="44" customHeight="1" s="176">
      <c r="A354" s="191" t="inlineStr">
        <is>
          <t>K529</t>
        </is>
      </c>
      <c r="B354" s="191" t="inlineStr">
        <is>
          <t>110-二次</t>
        </is>
      </c>
      <c r="C354" s="191" t="inlineStr">
        <is>
          <t>Ray</t>
        </is>
      </c>
      <c r="D354" s="192" t="inlineStr">
        <is>
          <t>干预</t>
        </is>
      </c>
      <c r="E354" s="191" t="inlineStr">
        <is>
          <t>6–8岁</t>
        </is>
      </c>
      <c r="F354" s="192" t="inlineStr">
        <is>
          <t>男</t>
        </is>
      </c>
      <c r="G354" s="188" t="inlineStr">
        <is>
          <t>不纳入该变量（原文未报告）</t>
        </is>
      </c>
      <c r="H354" s="192" t="inlineStr">
        <is>
          <t>动画角色</t>
        </is>
      </c>
      <c r="I354" s="192" t="inlineStr">
        <is>
          <t>单独实施</t>
        </is>
      </c>
      <c r="J354" s="192" t="inlineStr">
        <is>
          <t>便携触屏设备</t>
        </is>
      </c>
      <c r="K354" s="191" t="inlineStr">
        <is>
          <t>10分钟及以下</t>
        </is>
      </c>
      <c r="L354" s="192" t="inlineStr">
        <is>
          <t>教室</t>
        </is>
      </c>
      <c r="M354" s="192" t="inlineStr">
        <is>
          <t>学校人员</t>
        </is>
      </c>
      <c r="N354" s="193" t="inlineStr">
        <is>
          <t>新增：110-二次（推翻规则X03纳入）
视频设备依据：材料推断（110二次材料清单列iPad）</t>
        </is>
      </c>
      <c r="O354" s="191" t="inlineStr">
        <is>
          <t>6.00岁</t>
        </is>
      </c>
      <c r="P354" s="192" t="inlineStr">
        <is>
          <t>约2–3分钟（推算：40–60秒视频×3遍）</t>
        </is>
      </c>
      <c r="Q354" s="192" t="inlineStr">
        <is>
          <t>无</t>
        </is>
      </c>
      <c r="R354" s="192" t="inlineStr">
        <is>
          <t>动画</t>
        </is>
      </c>
      <c r="S354" s="192" t="inlineStr">
        <is>
          <t>（新增）</t>
        </is>
      </c>
      <c r="T354" s="192" t="inlineStr">
        <is>
          <t>（新增）</t>
        </is>
      </c>
      <c r="U354" s="192" t="inlineStr">
        <is>
          <t>（新增）</t>
        </is>
      </c>
      <c r="V354" s="192" t="inlineStr">
        <is>
          <t>（新增）</t>
        </is>
      </c>
      <c r="W354" s="192" t="inlineStr">
        <is>
          <t>该示范者脚本的基线 vs 该示范者视频示范期</t>
        </is>
      </c>
    </row>
    <row r="355" ht="44" customHeight="1" s="176">
      <c r="A355" s="191" t="inlineStr">
        <is>
          <t>K530</t>
        </is>
      </c>
      <c r="B355" s="191" t="inlineStr">
        <is>
          <t>110-二次</t>
        </is>
      </c>
      <c r="C355" s="191" t="inlineStr">
        <is>
          <t>Kadeem</t>
        </is>
      </c>
      <c r="D355" s="192" t="inlineStr">
        <is>
          <t>干预</t>
        </is>
      </c>
      <c r="E355" s="191" t="inlineStr">
        <is>
          <t>6–8岁</t>
        </is>
      </c>
      <c r="F355" s="192" t="inlineStr">
        <is>
          <t>男</t>
        </is>
      </c>
      <c r="G355" s="188" t="inlineStr">
        <is>
          <t>不纳入该变量（原文未报告）</t>
        </is>
      </c>
      <c r="H355" s="192" t="inlineStr">
        <is>
          <t>成人</t>
        </is>
      </c>
      <c r="I355" s="192" t="inlineStr">
        <is>
          <t>单独实施</t>
        </is>
      </c>
      <c r="J355" s="192" t="inlineStr">
        <is>
          <t>便携触屏设备</t>
        </is>
      </c>
      <c r="K355" s="191" t="inlineStr">
        <is>
          <t>10分钟及以下</t>
        </is>
      </c>
      <c r="L355" s="192" t="inlineStr">
        <is>
          <t>教室</t>
        </is>
      </c>
      <c r="M355" s="192" t="inlineStr">
        <is>
          <t>学校人员</t>
        </is>
      </c>
      <c r="N355" s="193" t="inlineStr">
        <is>
          <t>新增：110-二次（推翻规则X03纳入）
视频设备依据：材料推断（110二次材料清单列iPad）</t>
        </is>
      </c>
      <c r="O355" s="191" t="inlineStr">
        <is>
          <t>8.00岁</t>
        </is>
      </c>
      <c r="P355" s="192" t="inlineStr">
        <is>
          <t>约2–3分钟（推算：40–60秒视频×3遍）</t>
        </is>
      </c>
      <c r="Q355" s="192" t="inlineStr">
        <is>
          <t>无</t>
        </is>
      </c>
      <c r="R355" s="192" t="inlineStr">
        <is>
          <t>成人</t>
        </is>
      </c>
      <c r="S355" s="192" t="inlineStr">
        <is>
          <t>（新增）</t>
        </is>
      </c>
      <c r="T355" s="192" t="inlineStr">
        <is>
          <t>（新增）</t>
        </is>
      </c>
      <c r="U355" s="192" t="inlineStr">
        <is>
          <t>（新增）</t>
        </is>
      </c>
      <c r="V355" s="192" t="inlineStr">
        <is>
          <t>（新增）</t>
        </is>
      </c>
      <c r="W355" s="192" t="inlineStr">
        <is>
          <t>该示范者脚本的基线 vs 该示范者视频示范期</t>
        </is>
      </c>
    </row>
    <row r="356" ht="44" customHeight="1" s="176">
      <c r="A356" s="191" t="inlineStr">
        <is>
          <t>K531</t>
        </is>
      </c>
      <c r="B356" s="191" t="inlineStr">
        <is>
          <t>110-二次</t>
        </is>
      </c>
      <c r="C356" s="191" t="inlineStr">
        <is>
          <t>Kadeem</t>
        </is>
      </c>
      <c r="D356" s="192" t="inlineStr">
        <is>
          <t>干预</t>
        </is>
      </c>
      <c r="E356" s="191" t="inlineStr">
        <is>
          <t>6–8岁</t>
        </is>
      </c>
      <c r="F356" s="192" t="inlineStr">
        <is>
          <t>男</t>
        </is>
      </c>
      <c r="G356" s="188" t="inlineStr">
        <is>
          <t>不纳入该变量（原文未报告）</t>
        </is>
      </c>
      <c r="H356" s="192" t="inlineStr">
        <is>
          <t>动画角色</t>
        </is>
      </c>
      <c r="I356" s="192" t="inlineStr">
        <is>
          <t>单独实施</t>
        </is>
      </c>
      <c r="J356" s="192" t="inlineStr">
        <is>
          <t>便携触屏设备</t>
        </is>
      </c>
      <c r="K356" s="191" t="inlineStr">
        <is>
          <t>10分钟及以下</t>
        </is>
      </c>
      <c r="L356" s="192" t="inlineStr">
        <is>
          <t>教室</t>
        </is>
      </c>
      <c r="M356" s="192" t="inlineStr">
        <is>
          <t>学校人员</t>
        </is>
      </c>
      <c r="N356" s="193" t="inlineStr">
        <is>
          <t>新增：110-二次（推翻规则X03纳入）
视频设备依据：材料推断（110二次材料清单列iPad）</t>
        </is>
      </c>
      <c r="O356" s="191" t="inlineStr">
        <is>
          <t>8.00岁</t>
        </is>
      </c>
      <c r="P356" s="192" t="inlineStr">
        <is>
          <t>约2–3分钟（推算：40–60秒视频×3遍）</t>
        </is>
      </c>
      <c r="Q356" s="192" t="inlineStr">
        <is>
          <t>无</t>
        </is>
      </c>
      <c r="R356" s="192" t="inlineStr">
        <is>
          <t>动画</t>
        </is>
      </c>
      <c r="S356" s="192" t="inlineStr">
        <is>
          <t>（新增）</t>
        </is>
      </c>
      <c r="T356" s="192" t="inlineStr">
        <is>
          <t>（新增）</t>
        </is>
      </c>
      <c r="U356" s="192" t="inlineStr">
        <is>
          <t>（新增）</t>
        </is>
      </c>
      <c r="V356" s="192" t="inlineStr">
        <is>
          <t>（新增）</t>
        </is>
      </c>
      <c r="W356" s="192" t="inlineStr">
        <is>
          <t>该示范者脚本的基线 vs 该示范者视频示范期</t>
        </is>
      </c>
    </row>
    <row r="357" ht="44" customHeight="1" s="176">
      <c r="A357" s="191" t="inlineStr">
        <is>
          <t>K532</t>
        </is>
      </c>
      <c r="B357" s="191" t="inlineStr">
        <is>
          <t>110-二次</t>
        </is>
      </c>
      <c r="C357" s="191" t="inlineStr">
        <is>
          <t>Leon</t>
        </is>
      </c>
      <c r="D357" s="192" t="inlineStr">
        <is>
          <t>干预</t>
        </is>
      </c>
      <c r="E357" s="191" t="inlineStr">
        <is>
          <t>6–8岁</t>
        </is>
      </c>
      <c r="F357" s="192" t="inlineStr">
        <is>
          <t>男</t>
        </is>
      </c>
      <c r="G357" s="188" t="inlineStr">
        <is>
          <t>不纳入该变量（原文未报告）</t>
        </is>
      </c>
      <c r="H357" s="192" t="inlineStr">
        <is>
          <t>成人</t>
        </is>
      </c>
      <c r="I357" s="192" t="inlineStr">
        <is>
          <t>单独实施</t>
        </is>
      </c>
      <c r="J357" s="192" t="inlineStr">
        <is>
          <t>便携触屏设备</t>
        </is>
      </c>
      <c r="K357" s="191" t="inlineStr">
        <is>
          <t>10分钟及以下</t>
        </is>
      </c>
      <c r="L357" s="192" t="inlineStr">
        <is>
          <t>教室</t>
        </is>
      </c>
      <c r="M357" s="192" t="inlineStr">
        <is>
          <t>学校人员</t>
        </is>
      </c>
      <c r="N357" s="193" t="inlineStr">
        <is>
          <t>新增：110-二次（推翻规则X03纳入）
视频设备依据：材料推断（110二次材料清单列iPad）</t>
        </is>
      </c>
      <c r="O357" s="191" t="inlineStr">
        <is>
          <t>6.00岁</t>
        </is>
      </c>
      <c r="P357" s="192" t="inlineStr">
        <is>
          <t>约2–3分钟（推算：40–60秒视频×3遍）</t>
        </is>
      </c>
      <c r="Q357" s="192" t="inlineStr">
        <is>
          <t>无</t>
        </is>
      </c>
      <c r="R357" s="192" t="inlineStr">
        <is>
          <t>成人</t>
        </is>
      </c>
      <c r="S357" s="192" t="inlineStr">
        <is>
          <t>（新增）</t>
        </is>
      </c>
      <c r="T357" s="192" t="inlineStr">
        <is>
          <t>（新增）</t>
        </is>
      </c>
      <c r="U357" s="192" t="inlineStr">
        <is>
          <t>（新增）</t>
        </is>
      </c>
      <c r="V357" s="192" t="inlineStr">
        <is>
          <t>（新增）</t>
        </is>
      </c>
      <c r="W357" s="192" t="inlineStr">
        <is>
          <t>该示范者脚本的基线 vs 该示范者视频示范期</t>
        </is>
      </c>
    </row>
    <row r="358" ht="44" customHeight="1" s="176">
      <c r="A358" s="191" t="inlineStr">
        <is>
          <t>K533</t>
        </is>
      </c>
      <c r="B358" s="191" t="inlineStr">
        <is>
          <t>110-二次</t>
        </is>
      </c>
      <c r="C358" s="191" t="inlineStr">
        <is>
          <t>Leon</t>
        </is>
      </c>
      <c r="D358" s="192" t="inlineStr">
        <is>
          <t>干预</t>
        </is>
      </c>
      <c r="E358" s="191" t="inlineStr">
        <is>
          <t>6–8岁</t>
        </is>
      </c>
      <c r="F358" s="192" t="inlineStr">
        <is>
          <t>男</t>
        </is>
      </c>
      <c r="G358" s="188" t="inlineStr">
        <is>
          <t>不纳入该变量（原文未报告）</t>
        </is>
      </c>
      <c r="H358" s="192" t="inlineStr">
        <is>
          <t>动画角色</t>
        </is>
      </c>
      <c r="I358" s="192" t="inlineStr">
        <is>
          <t>单独实施</t>
        </is>
      </c>
      <c r="J358" s="192" t="inlineStr">
        <is>
          <t>便携触屏设备</t>
        </is>
      </c>
      <c r="K358" s="191" t="inlineStr">
        <is>
          <t>10分钟及以下</t>
        </is>
      </c>
      <c r="L358" s="192" t="inlineStr">
        <is>
          <t>教室</t>
        </is>
      </c>
      <c r="M358" s="192" t="inlineStr">
        <is>
          <t>学校人员</t>
        </is>
      </c>
      <c r="N358" s="193" t="inlineStr">
        <is>
          <t>新增：110-二次（推翻规则X03纳入）
视频设备依据：材料推断（110二次材料清单列iPad）</t>
        </is>
      </c>
      <c r="O358" s="191" t="inlineStr">
        <is>
          <t>6.00岁</t>
        </is>
      </c>
      <c r="P358" s="192" t="inlineStr">
        <is>
          <t>约2–3分钟（推算：40–60秒视频×3遍）</t>
        </is>
      </c>
      <c r="Q358" s="192" t="inlineStr">
        <is>
          <t>无</t>
        </is>
      </c>
      <c r="R358" s="192" t="inlineStr">
        <is>
          <t>动画</t>
        </is>
      </c>
      <c r="S358" s="192" t="inlineStr">
        <is>
          <t>（新增）</t>
        </is>
      </c>
      <c r="T358" s="192" t="inlineStr">
        <is>
          <t>（新增）</t>
        </is>
      </c>
      <c r="U358" s="192" t="inlineStr">
        <is>
          <t>（新增）</t>
        </is>
      </c>
      <c r="V358" s="192" t="inlineStr">
        <is>
          <t>（新增）</t>
        </is>
      </c>
      <c r="W358" s="192" t="inlineStr">
        <is>
          <t>该示范者脚本的基线 vs 该示范者视频示范期</t>
        </is>
      </c>
    </row>
    <row r="359" ht="44" customHeight="1" s="176">
      <c r="A359" s="191" t="inlineStr">
        <is>
          <t>K534</t>
        </is>
      </c>
      <c r="B359" s="191" t="inlineStr">
        <is>
          <t>110-二次</t>
        </is>
      </c>
      <c r="C359" s="191" t="inlineStr">
        <is>
          <t>Gavin</t>
        </is>
      </c>
      <c r="D359" s="192" t="inlineStr">
        <is>
          <t>干预</t>
        </is>
      </c>
      <c r="E359" s="191" t="inlineStr">
        <is>
          <t>6–8岁</t>
        </is>
      </c>
      <c r="F359" s="192" t="inlineStr">
        <is>
          <t>男</t>
        </is>
      </c>
      <c r="G359" s="188" t="inlineStr">
        <is>
          <t>不纳入该变量（原文未报告）</t>
        </is>
      </c>
      <c r="H359" s="192" t="inlineStr">
        <is>
          <t>成人</t>
        </is>
      </c>
      <c r="I359" s="192" t="inlineStr">
        <is>
          <t>单独实施</t>
        </is>
      </c>
      <c r="J359" s="192" t="inlineStr">
        <is>
          <t>便携触屏设备</t>
        </is>
      </c>
      <c r="K359" s="191" t="inlineStr">
        <is>
          <t>10分钟及以下</t>
        </is>
      </c>
      <c r="L359" s="192" t="inlineStr">
        <is>
          <t>教室</t>
        </is>
      </c>
      <c r="M359" s="192" t="inlineStr">
        <is>
          <t>学校人员</t>
        </is>
      </c>
      <c r="N359" s="193" t="inlineStr">
        <is>
          <t>新增：110-二次（推翻规则X03纳入）
视频设备依据：材料推断（110二次材料清单列iPad）</t>
        </is>
      </c>
      <c r="O359" s="191" t="inlineStr">
        <is>
          <t>7.00岁</t>
        </is>
      </c>
      <c r="P359" s="192" t="inlineStr">
        <is>
          <t>约2–3分钟（推算：40–60秒视频×3遍）</t>
        </is>
      </c>
      <c r="Q359" s="192" t="inlineStr">
        <is>
          <t>无</t>
        </is>
      </c>
      <c r="R359" s="192" t="inlineStr">
        <is>
          <t>成人</t>
        </is>
      </c>
      <c r="S359" s="192" t="inlineStr">
        <is>
          <t>（新增）</t>
        </is>
      </c>
      <c r="T359" s="192" t="inlineStr">
        <is>
          <t>（新增）</t>
        </is>
      </c>
      <c r="U359" s="192" t="inlineStr">
        <is>
          <t>（新增）</t>
        </is>
      </c>
      <c r="V359" s="192" t="inlineStr">
        <is>
          <t>（新增）</t>
        </is>
      </c>
      <c r="W359" s="192" t="inlineStr">
        <is>
          <t>该示范者脚本的基线 vs 该示范者视频示范期</t>
        </is>
      </c>
    </row>
    <row r="360" ht="15" customHeight="1" s="176">
      <c r="A360" s="191" t="inlineStr">
        <is>
          <t>K535</t>
        </is>
      </c>
      <c r="B360" s="191" t="inlineStr">
        <is>
          <t>110-二次</t>
        </is>
      </c>
      <c r="C360" s="191" t="inlineStr">
        <is>
          <t>Gavin</t>
        </is>
      </c>
      <c r="D360" s="192" t="inlineStr">
        <is>
          <t>干预</t>
        </is>
      </c>
      <c r="E360" s="191" t="inlineStr">
        <is>
          <t>6–8岁</t>
        </is>
      </c>
      <c r="F360" s="192" t="inlineStr">
        <is>
          <t>男</t>
        </is>
      </c>
      <c r="G360" s="188" t="inlineStr">
        <is>
          <t>不纳入该变量（原文未报告）</t>
        </is>
      </c>
      <c r="H360" s="192" t="inlineStr">
        <is>
          <t>动画角色</t>
        </is>
      </c>
      <c r="I360" s="192" t="inlineStr">
        <is>
          <t>单独实施</t>
        </is>
      </c>
      <c r="J360" s="192" t="inlineStr">
        <is>
          <t>便携触屏设备</t>
        </is>
      </c>
      <c r="K360" s="191" t="inlineStr">
        <is>
          <t>10分钟及以下</t>
        </is>
      </c>
      <c r="L360" s="192" t="inlineStr">
        <is>
          <t>教室</t>
        </is>
      </c>
      <c r="M360" s="192" t="inlineStr">
        <is>
          <t>学校人员</t>
        </is>
      </c>
      <c r="N360" s="193" t="inlineStr">
        <is>
          <t>新增：110-二次（推翻规则X03纳入）
视频设备依据：材料推断（110二次材料清单列iPad）</t>
        </is>
      </c>
      <c r="O360" s="191" t="inlineStr">
        <is>
          <t>7.00岁</t>
        </is>
      </c>
      <c r="P360" s="192" t="inlineStr">
        <is>
          <t>约2–3分钟（推算：40–60秒视频×3遍）</t>
        </is>
      </c>
      <c r="Q360" s="192" t="inlineStr">
        <is>
          <t>无</t>
        </is>
      </c>
      <c r="R360" s="192" t="inlineStr">
        <is>
          <t>动画</t>
        </is>
      </c>
      <c r="S360" s="192" t="inlineStr">
        <is>
          <t>（新增）</t>
        </is>
      </c>
      <c r="T360" s="192" t="inlineStr">
        <is>
          <t>（新增）</t>
        </is>
      </c>
      <c r="U360" s="192" t="inlineStr">
        <is>
          <t>（新增）</t>
        </is>
      </c>
      <c r="V360" s="192" t="inlineStr">
        <is>
          <t>（新增）</t>
        </is>
      </c>
      <c r="W360" s="192" t="inlineStr">
        <is>
          <t>该示范者脚本的基线 vs 该示范者视频示范期</t>
        </is>
      </c>
    </row>
    <row r="361" ht="15" customHeight="1" s="176">
      <c r="A361" s="191" t="inlineStr">
        <is>
          <t>K536</t>
        </is>
      </c>
      <c r="B361" s="191" t="inlineStr">
        <is>
          <t>059-二次</t>
        </is>
      </c>
      <c r="C361" s="191" t="inlineStr">
        <is>
          <t>Eleni</t>
        </is>
      </c>
      <c r="D361" s="192" t="inlineStr">
        <is>
          <t>干预</t>
        </is>
      </c>
      <c r="E361" s="191" t="inlineStr">
        <is>
          <t>6岁以下</t>
        </is>
      </c>
      <c r="F361" s="192" t="inlineStr">
        <is>
          <t>女</t>
        </is>
      </c>
      <c r="G361" s="188" t="inlineStr">
        <is>
          <t>不纳入该变量（原文未报告）</t>
        </is>
      </c>
      <c r="H361" s="192" t="inlineStr">
        <is>
          <t>同伴儿童（含兄弟姐妹）</t>
        </is>
      </c>
      <c r="I361" s="192" t="inlineStr">
        <is>
          <t>结合教学程序</t>
        </is>
      </c>
      <c r="J361" s="192" t="inlineStr">
        <is>
          <t>电视</t>
        </is>
      </c>
      <c r="K361" s="191" t="inlineStr">
        <is>
          <t>11～60分钟</t>
        </is>
      </c>
      <c r="L361" s="192" t="inlineStr">
        <is>
          <t>家庭社区</t>
        </is>
      </c>
      <c r="M361" s="192" t="inlineStr">
        <is>
          <t>治疗师</t>
        </is>
      </c>
      <c r="N361" s="192" t="inlineStr">
        <is>
          <t>10-16补入；视频示范为第二阶段（前为现场示范），与紧接的基线Ⅱ比较；存在顺序影响</t>
        </is>
      </c>
      <c r="O361" s="191" t="inlineStr">
        <is>
          <t>5.58岁（5岁7个月）</t>
        </is>
      </c>
      <c r="P361" s="192" t="inlineStr">
        <is>
          <t>每次约15～20分钟（14个试次）</t>
        </is>
      </c>
      <c r="Q361" s="192" t="inlineStr">
        <is>
          <t>强化（代币）、纠错（答错时播放同伴视频）</t>
        </is>
      </c>
      <c r="R361" s="192" t="inlineStr">
        <is>
          <t>同伴儿童</t>
        </is>
      </c>
      <c r="S361" s="192" t="inlineStr">
        <is>
          <t>电视（VCR）</t>
        </is>
      </c>
      <c r="T361" s="192" t="inlineStr">
        <is>
          <t>治疗师</t>
        </is>
      </c>
      <c r="U361" s="192" t="inlineStr">
        <is>
          <t>家庭</t>
        </is>
      </c>
      <c r="V361" s="192" t="inlineStr">
        <is>
          <t>视频+教学策略</t>
        </is>
      </c>
      <c r="W361" s="192" t="inlineStr">
        <is>
          <t>Baseline II vs Video Modeling（训练试次，实心点）</t>
        </is>
      </c>
    </row>
    <row r="362" ht="15" customHeight="1" s="176">
      <c r="A362" s="191" t="inlineStr">
        <is>
          <t>K537</t>
        </is>
      </c>
      <c r="B362" s="191" t="inlineStr">
        <is>
          <t>059-二次</t>
        </is>
      </c>
      <c r="C362" s="191" t="inlineStr">
        <is>
          <t>Billy</t>
        </is>
      </c>
      <c r="D362" s="192" t="inlineStr">
        <is>
          <t>干预</t>
        </is>
      </c>
      <c r="E362" s="191" t="inlineStr">
        <is>
          <t>6岁以下</t>
        </is>
      </c>
      <c r="F362" s="192" t="inlineStr">
        <is>
          <t>男</t>
        </is>
      </c>
      <c r="G362" s="188" t="inlineStr">
        <is>
          <t>不纳入该变量（原文未报告）</t>
        </is>
      </c>
      <c r="H362" s="192" t="inlineStr">
        <is>
          <t>同伴儿童（含兄弟姐妹）</t>
        </is>
      </c>
      <c r="I362" s="192" t="inlineStr">
        <is>
          <t>结合教学程序</t>
        </is>
      </c>
      <c r="J362" s="192" t="inlineStr">
        <is>
          <t>电视</t>
        </is>
      </c>
      <c r="K362" s="191" t="inlineStr">
        <is>
          <t>11～60分钟</t>
        </is>
      </c>
      <c r="L362" s="192" t="inlineStr">
        <is>
          <t>家庭社区</t>
        </is>
      </c>
      <c r="M362" s="192" t="inlineStr">
        <is>
          <t>治疗师</t>
        </is>
      </c>
      <c r="N362" s="192" t="inlineStr">
        <is>
          <t>10-16补入；视频示范为第一阶段，与基线Ⅰ比较</t>
        </is>
      </c>
      <c r="O362" s="191" t="inlineStr">
        <is>
          <t>4.33岁（4岁4个月）</t>
        </is>
      </c>
      <c r="P362" s="192" t="inlineStr">
        <is>
          <t>每次约15～20分钟（14个试次）</t>
        </is>
      </c>
      <c r="Q362" s="192" t="inlineStr">
        <is>
          <t>强化（代币）、纠错（答错时播放同伴视频）</t>
        </is>
      </c>
      <c r="R362" s="192" t="inlineStr">
        <is>
          <t>同伴儿童</t>
        </is>
      </c>
      <c r="S362" s="192" t="inlineStr">
        <is>
          <t>电视（VCR）</t>
        </is>
      </c>
      <c r="T362" s="192" t="inlineStr">
        <is>
          <t>治疗师</t>
        </is>
      </c>
      <c r="U362" s="192" t="inlineStr">
        <is>
          <t>家庭</t>
        </is>
      </c>
      <c r="V362" s="192" t="inlineStr">
        <is>
          <t>视频+教学策略</t>
        </is>
      </c>
      <c r="W362" s="192" t="inlineStr">
        <is>
          <t>Baseline I vs Video Modeling（训练试次，实心点）</t>
        </is>
      </c>
    </row>
    <row r="363" ht="15" customHeight="1" s="176">
      <c r="A363" s="191" t="inlineStr">
        <is>
          <t>K538</t>
        </is>
      </c>
      <c r="B363" s="191" t="inlineStr">
        <is>
          <t>059-二次</t>
        </is>
      </c>
      <c r="C363" s="191" t="inlineStr">
        <is>
          <t>Mike</t>
        </is>
      </c>
      <c r="D363" s="192" t="inlineStr">
        <is>
          <t>干预</t>
        </is>
      </c>
      <c r="E363" s="191" t="inlineStr">
        <is>
          <t>6岁以下</t>
        </is>
      </c>
      <c r="F363" s="192" t="inlineStr">
        <is>
          <t>男</t>
        </is>
      </c>
      <c r="G363" s="188" t="inlineStr">
        <is>
          <t>不纳入该变量（原文未报告）</t>
        </is>
      </c>
      <c r="H363" s="192" t="inlineStr">
        <is>
          <t>同伴儿童（含兄弟姐妹）</t>
        </is>
      </c>
      <c r="I363" s="192" t="inlineStr">
        <is>
          <t>结合教学程序</t>
        </is>
      </c>
      <c r="J363" s="192" t="inlineStr">
        <is>
          <t>电视</t>
        </is>
      </c>
      <c r="K363" s="191" t="inlineStr">
        <is>
          <t>11～60分钟</t>
        </is>
      </c>
      <c r="L363" s="192" t="inlineStr">
        <is>
          <t>家庭社区</t>
        </is>
      </c>
      <c r="M363" s="192" t="inlineStr">
        <is>
          <t>治疗师</t>
        </is>
      </c>
      <c r="N363" s="192" t="inlineStr">
        <is>
          <t>10-16补入；视频示范为第二阶段（前为现场示范），与紧接的基线Ⅱ比较；存在顺序影响</t>
        </is>
      </c>
      <c r="O363" s="191" t="inlineStr">
        <is>
          <t>3.92岁（3岁11个月）</t>
        </is>
      </c>
      <c r="P363" s="192" t="inlineStr">
        <is>
          <t>每次约15～20分钟（14个试次）</t>
        </is>
      </c>
      <c r="Q363" s="192" t="inlineStr">
        <is>
          <t>强化（代币）、纠错（答错时播放同伴视频）</t>
        </is>
      </c>
      <c r="R363" s="192" t="inlineStr">
        <is>
          <t>同伴儿童</t>
        </is>
      </c>
      <c r="S363" s="192" t="inlineStr">
        <is>
          <t>电视（VCR）</t>
        </is>
      </c>
      <c r="T363" s="192" t="inlineStr">
        <is>
          <t>治疗师</t>
        </is>
      </c>
      <c r="U363" s="192" t="inlineStr">
        <is>
          <t>家庭</t>
        </is>
      </c>
      <c r="V363" s="192" t="inlineStr">
        <is>
          <t>视频+教学策略</t>
        </is>
      </c>
      <c r="W363" s="192" t="inlineStr">
        <is>
          <t>Baseline II vs Video Modeling（训练试次，实心点）</t>
        </is>
      </c>
    </row>
    <row r="364" ht="15" customHeight="1" s="176">
      <c r="A364" s="191" t="inlineStr">
        <is>
          <t>K539</t>
        </is>
      </c>
      <c r="B364" s="191" t="inlineStr">
        <is>
          <t>059-二次</t>
        </is>
      </c>
      <c r="C364" s="191" t="inlineStr">
        <is>
          <t>Eleni</t>
        </is>
      </c>
      <c r="D364" s="192" t="inlineStr">
        <is>
          <t>泛化</t>
        </is>
      </c>
      <c r="E364" s="191" t="inlineStr">
        <is>
          <t>6岁以下</t>
        </is>
      </c>
      <c r="F364" s="192" t="inlineStr">
        <is>
          <t>女</t>
        </is>
      </c>
      <c r="G364" s="188" t="inlineStr">
        <is>
          <t>不纳入该变量（原文未报告）</t>
        </is>
      </c>
      <c r="H364" s="192" t="inlineStr">
        <is>
          <t>同伴儿童（含兄弟姐妹）</t>
        </is>
      </c>
      <c r="I364" s="192" t="inlineStr">
        <is>
          <t>结合教学程序</t>
        </is>
      </c>
      <c r="J364" s="192" t="inlineStr">
        <is>
          <t>电视</t>
        </is>
      </c>
      <c r="K364" s="191" t="inlineStr">
        <is>
          <t>11～60分钟</t>
        </is>
      </c>
      <c r="L364" s="192" t="inlineStr">
        <is>
          <t>家庭社区</t>
        </is>
      </c>
      <c r="M364" s="192" t="inlineStr">
        <is>
          <t>治疗师</t>
        </is>
      </c>
      <c r="N364" s="192" t="inlineStr">
        <is>
          <t>10-16补入；视频示范为第二阶段（前为现场示范），与紧接的基线Ⅱ比较；存在顺序影响；探测试次（未训练情境）计为泛化，同013-二次口径</t>
        </is>
      </c>
      <c r="O364" s="191" t="inlineStr">
        <is>
          <t>5.58岁（5岁7个月）</t>
        </is>
      </c>
      <c r="P364" s="192" t="inlineStr">
        <is>
          <t>每次约15～20分钟（14个试次）</t>
        </is>
      </c>
      <c r="Q364" s="192" t="inlineStr">
        <is>
          <t>强化（代币）、纠错（答错时播放同伴视频）</t>
        </is>
      </c>
      <c r="R364" s="192" t="inlineStr">
        <is>
          <t>同伴儿童</t>
        </is>
      </c>
      <c r="S364" s="192" t="inlineStr">
        <is>
          <t>电视（VCR）</t>
        </is>
      </c>
      <c r="T364" s="192" t="inlineStr">
        <is>
          <t>治疗师</t>
        </is>
      </c>
      <c r="U364" s="192" t="inlineStr">
        <is>
          <t>家庭</t>
        </is>
      </c>
      <c r="V364" s="192" t="inlineStr">
        <is>
          <t>视频+教学策略</t>
        </is>
      </c>
      <c r="W364" s="192" t="inlineStr">
        <is>
          <t>Baseline II vs Video Modeling（探测试次＝未训练情境，空心圆）</t>
        </is>
      </c>
    </row>
    <row r="365" ht="15" customHeight="1" s="176">
      <c r="A365" s="191" t="inlineStr">
        <is>
          <t>K540</t>
        </is>
      </c>
      <c r="B365" s="191" t="inlineStr">
        <is>
          <t>059-二次</t>
        </is>
      </c>
      <c r="C365" s="191" t="inlineStr">
        <is>
          <t>Billy</t>
        </is>
      </c>
      <c r="D365" s="192" t="inlineStr">
        <is>
          <t>泛化</t>
        </is>
      </c>
      <c r="E365" s="191" t="inlineStr">
        <is>
          <t>6岁以下</t>
        </is>
      </c>
      <c r="F365" s="192" t="inlineStr">
        <is>
          <t>男</t>
        </is>
      </c>
      <c r="G365" s="188" t="inlineStr">
        <is>
          <t>不纳入该变量（原文未报告）</t>
        </is>
      </c>
      <c r="H365" s="192" t="inlineStr">
        <is>
          <t>同伴儿童（含兄弟姐妹）</t>
        </is>
      </c>
      <c r="I365" s="192" t="inlineStr">
        <is>
          <t>结合教学程序</t>
        </is>
      </c>
      <c r="J365" s="192" t="inlineStr">
        <is>
          <t>电视</t>
        </is>
      </c>
      <c r="K365" s="191" t="inlineStr">
        <is>
          <t>11～60分钟</t>
        </is>
      </c>
      <c r="L365" s="192" t="inlineStr">
        <is>
          <t>家庭社区</t>
        </is>
      </c>
      <c r="M365" s="192" t="inlineStr">
        <is>
          <t>治疗师</t>
        </is>
      </c>
      <c r="N365" s="192" t="inlineStr">
        <is>
          <t>10-16补入；视频示范为第一阶段，与基线Ⅰ比较；探测试次（未训练情境）计为泛化，同013-二次口径</t>
        </is>
      </c>
      <c r="O365" s="191" t="inlineStr">
        <is>
          <t>4.33岁（4岁4个月）</t>
        </is>
      </c>
      <c r="P365" s="192" t="inlineStr">
        <is>
          <t>每次约15～20分钟（14个试次）</t>
        </is>
      </c>
      <c r="Q365" s="192" t="inlineStr">
        <is>
          <t>强化（代币）、纠错（答错时播放同伴视频）</t>
        </is>
      </c>
      <c r="R365" s="192" t="inlineStr">
        <is>
          <t>同伴儿童</t>
        </is>
      </c>
      <c r="S365" s="192" t="inlineStr">
        <is>
          <t>电视（VCR）</t>
        </is>
      </c>
      <c r="T365" s="192" t="inlineStr">
        <is>
          <t>治疗师</t>
        </is>
      </c>
      <c r="U365" s="192" t="inlineStr">
        <is>
          <t>家庭</t>
        </is>
      </c>
      <c r="V365" s="192" t="inlineStr">
        <is>
          <t>视频+教学策略</t>
        </is>
      </c>
      <c r="W365" s="192" t="inlineStr">
        <is>
          <t>Baseline I vs Video Modeling（探测试次＝未训练情境，空心圆）</t>
        </is>
      </c>
    </row>
    <row r="366" ht="15" customHeight="1" s="176">
      <c r="A366" s="191" t="inlineStr">
        <is>
          <t>K541</t>
        </is>
      </c>
      <c r="B366" s="191" t="inlineStr">
        <is>
          <t>059-二次</t>
        </is>
      </c>
      <c r="C366" s="191" t="inlineStr">
        <is>
          <t>Mike</t>
        </is>
      </c>
      <c r="D366" s="192" t="inlineStr">
        <is>
          <t>泛化</t>
        </is>
      </c>
      <c r="E366" s="191" t="inlineStr">
        <is>
          <t>6岁以下</t>
        </is>
      </c>
      <c r="F366" s="192" t="inlineStr">
        <is>
          <t>男</t>
        </is>
      </c>
      <c r="G366" s="188" t="inlineStr">
        <is>
          <t>不纳入该变量（原文未报告）</t>
        </is>
      </c>
      <c r="H366" s="192" t="inlineStr">
        <is>
          <t>同伴儿童（含兄弟姐妹）</t>
        </is>
      </c>
      <c r="I366" s="192" t="inlineStr">
        <is>
          <t>结合教学程序</t>
        </is>
      </c>
      <c r="J366" s="192" t="inlineStr">
        <is>
          <t>电视</t>
        </is>
      </c>
      <c r="K366" s="191" t="inlineStr">
        <is>
          <t>11～60分钟</t>
        </is>
      </c>
      <c r="L366" s="192" t="inlineStr">
        <is>
          <t>家庭社区</t>
        </is>
      </c>
      <c r="M366" s="192" t="inlineStr">
        <is>
          <t>治疗师</t>
        </is>
      </c>
      <c r="N366" s="192" t="inlineStr">
        <is>
          <t>10-16补入；视频示范为第二阶段（前为现场示范），与紧接的基线Ⅱ比较；存在顺序影响；探测试次（未训练情境）计为泛化，同013-二次口径</t>
        </is>
      </c>
      <c r="O366" s="191" t="inlineStr">
        <is>
          <t>3.92岁（3岁11个月）</t>
        </is>
      </c>
      <c r="P366" s="192" t="inlineStr">
        <is>
          <t>每次约15～20分钟（14个试次）</t>
        </is>
      </c>
      <c r="Q366" s="192" t="inlineStr">
        <is>
          <t>强化（代币）、纠错（答错时播放同伴视频）</t>
        </is>
      </c>
      <c r="R366" s="192" t="inlineStr">
        <is>
          <t>同伴儿童</t>
        </is>
      </c>
      <c r="S366" s="192" t="inlineStr">
        <is>
          <t>电视（VCR）</t>
        </is>
      </c>
      <c r="T366" s="192" t="inlineStr">
        <is>
          <t>治疗师</t>
        </is>
      </c>
      <c r="U366" s="192" t="inlineStr">
        <is>
          <t>家庭</t>
        </is>
      </c>
      <c r="V366" s="192" t="inlineStr">
        <is>
          <t>视频+教学策略</t>
        </is>
      </c>
      <c r="W366" s="192" t="inlineStr">
        <is>
          <t>Baseline II vs Video Modeling（探测试次＝未训练情境，空心圆）</t>
        </is>
      </c>
    </row>
    <row r="367" ht="15" customHeight="1" s="176">
      <c r="A367" s="191" t="inlineStr">
        <is>
          <t>K542</t>
        </is>
      </c>
      <c r="B367" s="191" t="inlineStr">
        <is>
          <t>068-二次</t>
        </is>
      </c>
      <c r="C367" s="191" t="inlineStr">
        <is>
          <t>Z</t>
        </is>
      </c>
      <c r="D367" s="192" t="inlineStr">
        <is>
          <t>干预</t>
        </is>
      </c>
      <c r="E367" s="191" t="inlineStr">
        <is>
          <t>6岁以下</t>
        </is>
      </c>
      <c r="F367" s="188" t="inlineStr">
        <is>
          <t>不纳入该变量（原文未报告）</t>
        </is>
      </c>
      <c r="G367" s="188" t="inlineStr">
        <is>
          <t>不纳入该变量（原文未报告）</t>
        </is>
      </c>
      <c r="H367" s="192" t="inlineStr">
        <is>
          <t>成人</t>
        </is>
      </c>
      <c r="I367" s="192" t="inlineStr">
        <is>
          <t>结合教学程序</t>
        </is>
      </c>
      <c r="J367" s="192" t="inlineStr">
        <is>
          <t>电脑</t>
        </is>
      </c>
      <c r="K367" s="194" t="inlineStr">
        <is>
          <t>不纳入该变量（原文未报告）</t>
        </is>
      </c>
      <c r="L367" s="192" t="inlineStr">
        <is>
          <t>专用训练空间</t>
        </is>
      </c>
      <c r="M367" s="192" t="inlineStr">
        <is>
          <t>研究人员</t>
        </is>
      </c>
      <c r="N367" s="192" t="inlineStr">
        <is>
          <t>10-16补入；录像示范与现场示范按天交替，只取录像示范点；接受残余效应（局限中说明）</t>
        </is>
      </c>
      <c r="O367" s="191" t="inlineStr">
        <is>
          <t>5.25岁（5岁3个月）</t>
        </is>
      </c>
      <c r="P367" s="192" t="inlineStr">
        <is>
          <t>未报告（每段视频15～20秒、连续播放2次，每次3个目标行为，之后练习两次）</t>
        </is>
      </c>
      <c r="Q367" s="192" t="inlineStr">
        <is>
          <t>练习＋口头或动作提示（强化只用于关注示范）</t>
        </is>
      </c>
      <c r="R367" s="192" t="inlineStr">
        <is>
          <t>成人</t>
        </is>
      </c>
      <c r="S367" s="192" t="inlineStr">
        <is>
          <t>笔记本电脑</t>
        </is>
      </c>
      <c r="T367" s="192" t="inlineStr">
        <is>
          <t>研究人员</t>
        </is>
      </c>
      <c r="U367" s="192" t="inlineStr">
        <is>
          <t>学校或幼儿园</t>
        </is>
      </c>
      <c r="V367" s="192" t="inlineStr">
        <is>
          <t>视频+教学策略</t>
        </is>
      </c>
      <c r="W367" s="192" t="inlineStr">
        <is>
          <t>基线期A vs 交替处理期B中的录像示范点（实线）</t>
        </is>
      </c>
    </row>
    <row r="368" ht="15" customHeight="1" s="176">
      <c r="A368" s="191" t="inlineStr">
        <is>
          <t>K543</t>
        </is>
      </c>
      <c r="B368" s="191" t="inlineStr">
        <is>
          <t>068-二次</t>
        </is>
      </c>
      <c r="C368" s="191" t="inlineStr">
        <is>
          <t>M</t>
        </is>
      </c>
      <c r="D368" s="192" t="inlineStr">
        <is>
          <t>干预</t>
        </is>
      </c>
      <c r="E368" s="191" t="inlineStr">
        <is>
          <t>6岁以下</t>
        </is>
      </c>
      <c r="F368" s="188" t="inlineStr">
        <is>
          <t>不纳入该变量（原文未报告）</t>
        </is>
      </c>
      <c r="G368" s="188" t="inlineStr">
        <is>
          <t>不纳入该变量（原文未报告）</t>
        </is>
      </c>
      <c r="H368" s="192" t="inlineStr">
        <is>
          <t>成人</t>
        </is>
      </c>
      <c r="I368" s="192" t="inlineStr">
        <is>
          <t>结合教学程序</t>
        </is>
      </c>
      <c r="J368" s="192" t="inlineStr">
        <is>
          <t>电脑</t>
        </is>
      </c>
      <c r="K368" s="194" t="inlineStr">
        <is>
          <t>不纳入该变量（原文未报告）</t>
        </is>
      </c>
      <c r="L368" s="192" t="inlineStr">
        <is>
          <t>专用训练空间</t>
        </is>
      </c>
      <c r="M368" s="192" t="inlineStr">
        <is>
          <t>研究人员</t>
        </is>
      </c>
      <c r="N368" s="192" t="inlineStr">
        <is>
          <t>10-16补入；录像示范与现场示范按天交替，只取录像示范点；接受残余效应（局限中说明）</t>
        </is>
      </c>
      <c r="O368" s="191" t="inlineStr">
        <is>
          <t>5.17岁（5岁2个月）</t>
        </is>
      </c>
      <c r="P368" s="192" t="inlineStr">
        <is>
          <t>未报告（每段视频15～20秒、连续播放2次，每次3个目标行为，之后练习两次）</t>
        </is>
      </c>
      <c r="Q368" s="192" t="inlineStr">
        <is>
          <t>练习＋口头或动作提示（强化只用于关注示范）</t>
        </is>
      </c>
      <c r="R368" s="192" t="inlineStr">
        <is>
          <t>成人</t>
        </is>
      </c>
      <c r="S368" s="192" t="inlineStr">
        <is>
          <t>笔记本电脑</t>
        </is>
      </c>
      <c r="T368" s="192" t="inlineStr">
        <is>
          <t>研究人员</t>
        </is>
      </c>
      <c r="U368" s="192" t="inlineStr">
        <is>
          <t>学校或幼儿园</t>
        </is>
      </c>
      <c r="V368" s="192" t="inlineStr">
        <is>
          <t>视频+教学策略</t>
        </is>
      </c>
      <c r="W368" s="192" t="inlineStr">
        <is>
          <t>基线期A vs 交替处理期B中的录像示范点（实线）</t>
        </is>
      </c>
    </row>
    <row r="369" ht="120" customHeight="1" s="176">
      <c r="A369" s="191" t="inlineStr">
        <is>
          <t>K544</t>
        </is>
      </c>
      <c r="B369" s="191" t="inlineStr">
        <is>
          <t>068-二次</t>
        </is>
      </c>
      <c r="C369" s="191" t="inlineStr">
        <is>
          <t>Y</t>
        </is>
      </c>
      <c r="D369" s="192" t="inlineStr">
        <is>
          <t>干预</t>
        </is>
      </c>
      <c r="E369" s="191" t="inlineStr">
        <is>
          <t>6岁以下</t>
        </is>
      </c>
      <c r="F369" s="188" t="inlineStr">
        <is>
          <t>不纳入该变量（原文未报告）</t>
        </is>
      </c>
      <c r="G369" s="188" t="inlineStr">
        <is>
          <t>不纳入该变量（原文未报告）</t>
        </is>
      </c>
      <c r="H369" s="192" t="inlineStr">
        <is>
          <t>成人</t>
        </is>
      </c>
      <c r="I369" s="192" t="inlineStr">
        <is>
          <t>结合教学程序</t>
        </is>
      </c>
      <c r="J369" s="192" t="inlineStr">
        <is>
          <t>电脑</t>
        </is>
      </c>
      <c r="K369" s="194" t="inlineStr">
        <is>
          <t>不纳入该变量（原文未报告）</t>
        </is>
      </c>
      <c r="L369" s="192" t="inlineStr">
        <is>
          <t>专用训练空间</t>
        </is>
      </c>
      <c r="M369" s="192" t="inlineStr">
        <is>
          <t>研究人员</t>
        </is>
      </c>
      <c r="N369" s="192" t="inlineStr">
        <is>
          <t>10-16补入；录像示范与现场示范按天交替，只取录像示范点；接受残余效应（局限中说明）</t>
        </is>
      </c>
      <c r="O369" s="191" t="inlineStr">
        <is>
          <t>4.50岁（4岁6个月）</t>
        </is>
      </c>
      <c r="P369" s="192" t="inlineStr">
        <is>
          <t>未报告（每段视频15～20秒、连续播放2次，每次3个目标行为，之后练习两次）</t>
        </is>
      </c>
      <c r="Q369" s="192" t="inlineStr">
        <is>
          <t>练习＋口头或动作提示（强化只用于关注示范）</t>
        </is>
      </c>
      <c r="R369" s="192" t="inlineStr">
        <is>
          <t>成人</t>
        </is>
      </c>
      <c r="S369" s="192" t="inlineStr">
        <is>
          <t>笔记本电脑</t>
        </is>
      </c>
      <c r="T369" s="192" t="inlineStr">
        <is>
          <t>研究人员</t>
        </is>
      </c>
      <c r="U369" s="192" t="inlineStr">
        <is>
          <t>学校或幼儿园</t>
        </is>
      </c>
      <c r="V369" s="192" t="inlineStr">
        <is>
          <t>视频+教学策略</t>
        </is>
      </c>
      <c r="W369" s="192" t="inlineStr">
        <is>
          <t>基线期A vs 交替处理期B中的录像示范点（实线）</t>
        </is>
      </c>
    </row>
    <row r="370" ht="120" customHeight="1" s="176">
      <c r="A370" s="191" t="inlineStr">
        <is>
          <t>K545</t>
        </is>
      </c>
      <c r="B370" s="191" t="inlineStr">
        <is>
          <t>068-二次</t>
        </is>
      </c>
      <c r="C370" s="191" t="inlineStr">
        <is>
          <t>Z</t>
        </is>
      </c>
      <c r="D370" s="192" t="inlineStr">
        <is>
          <t>维持</t>
        </is>
      </c>
      <c r="E370" s="191" t="inlineStr">
        <is>
          <t>6岁以下</t>
        </is>
      </c>
      <c r="F370" s="188" t="inlineStr">
        <is>
          <t>不纳入该变量（原文未报告）</t>
        </is>
      </c>
      <c r="G370" s="188" t="inlineStr">
        <is>
          <t>不纳入该变量（原文未报告）</t>
        </is>
      </c>
      <c r="H370" s="192" t="inlineStr">
        <is>
          <t>成人</t>
        </is>
      </c>
      <c r="I370" s="192" t="inlineStr">
        <is>
          <t>结合教学程序</t>
        </is>
      </c>
      <c r="J370" s="192" t="inlineStr">
        <is>
          <t>电脑</t>
        </is>
      </c>
      <c r="K370" s="194" t="inlineStr">
        <is>
          <t>不纳入该变量（原文未报告）</t>
        </is>
      </c>
      <c r="L370" s="192" t="inlineStr">
        <is>
          <t>专用训练空间</t>
        </is>
      </c>
      <c r="M370" s="192" t="inlineStr">
        <is>
          <t>研究人员</t>
        </is>
      </c>
      <c r="N370" s="192" t="inlineStr">
        <is>
          <t>10-16补入；录像示范与现场示范按天交替，只取录像示范点；接受残余效应（局限中说明）；维持期在最佳处理期（录像示范）之后</t>
        </is>
      </c>
      <c r="O370" s="191" t="inlineStr">
        <is>
          <t>5.25岁（5岁3个月）</t>
        </is>
      </c>
      <c r="P370" s="192" t="inlineStr">
        <is>
          <t>未报告（每段视频15～20秒、连续播放2次，每次3个目标行为，之后练习两次）</t>
        </is>
      </c>
      <c r="Q370" s="192" t="inlineStr">
        <is>
          <t>练习＋口头或动作提示（强化只用于关注示范）</t>
        </is>
      </c>
      <c r="R370" s="192" t="inlineStr">
        <is>
          <t>成人</t>
        </is>
      </c>
      <c r="S370" s="192" t="inlineStr">
        <is>
          <t>笔记本电脑</t>
        </is>
      </c>
      <c r="T370" s="192" t="inlineStr">
        <is>
          <t>研究人员</t>
        </is>
      </c>
      <c r="U370" s="192" t="inlineStr">
        <is>
          <t>学校或幼儿园</t>
        </is>
      </c>
      <c r="V370" s="192" t="inlineStr">
        <is>
          <t>视频+教学策略</t>
        </is>
      </c>
      <c r="W370" s="192" t="inlineStr">
        <is>
          <t>基线期A vs 维持期G（在最佳处理期录像示范之后）</t>
        </is>
      </c>
    </row>
    <row r="371" ht="120" customHeight="1" s="176">
      <c r="A371" s="191" t="inlineStr">
        <is>
          <t>K546</t>
        </is>
      </c>
      <c r="B371" s="191" t="inlineStr">
        <is>
          <t>068-二次</t>
        </is>
      </c>
      <c r="C371" s="191" t="inlineStr">
        <is>
          <t>M</t>
        </is>
      </c>
      <c r="D371" s="192" t="inlineStr">
        <is>
          <t>维持</t>
        </is>
      </c>
      <c r="E371" s="191" t="inlineStr">
        <is>
          <t>6岁以下</t>
        </is>
      </c>
      <c r="F371" s="188" t="inlineStr">
        <is>
          <t>不纳入该变量（原文未报告）</t>
        </is>
      </c>
      <c r="G371" s="188" t="inlineStr">
        <is>
          <t>不纳入该变量（原文未报告）</t>
        </is>
      </c>
      <c r="H371" s="192" t="inlineStr">
        <is>
          <t>成人</t>
        </is>
      </c>
      <c r="I371" s="192" t="inlineStr">
        <is>
          <t>结合教学程序</t>
        </is>
      </c>
      <c r="J371" s="192" t="inlineStr">
        <is>
          <t>电脑</t>
        </is>
      </c>
      <c r="K371" s="194" t="inlineStr">
        <is>
          <t>不纳入该变量（原文未报告）</t>
        </is>
      </c>
      <c r="L371" s="192" t="inlineStr">
        <is>
          <t>专用训练空间</t>
        </is>
      </c>
      <c r="M371" s="192" t="inlineStr">
        <is>
          <t>研究人员</t>
        </is>
      </c>
      <c r="N371" s="192" t="inlineStr">
        <is>
          <t>10-16补入；录像示范与现场示范按天交替，只取录像示范点；接受残余效应（局限中说明）；维持期在最佳处理期（录像示范）之后</t>
        </is>
      </c>
      <c r="O371" s="191" t="inlineStr">
        <is>
          <t>5.17岁（5岁2个月）</t>
        </is>
      </c>
      <c r="P371" s="192" t="inlineStr">
        <is>
          <t>未报告（每段视频15～20秒、连续播放2次，每次3个目标行为，之后练习两次）</t>
        </is>
      </c>
      <c r="Q371" s="192" t="inlineStr">
        <is>
          <t>练习＋口头或动作提示（强化只用于关注示范）</t>
        </is>
      </c>
      <c r="R371" s="192" t="inlineStr">
        <is>
          <t>成人</t>
        </is>
      </c>
      <c r="S371" s="192" t="inlineStr">
        <is>
          <t>笔记本电脑</t>
        </is>
      </c>
      <c r="T371" s="192" t="inlineStr">
        <is>
          <t>研究人员</t>
        </is>
      </c>
      <c r="U371" s="192" t="inlineStr">
        <is>
          <t>学校或幼儿园</t>
        </is>
      </c>
      <c r="V371" s="192" t="inlineStr">
        <is>
          <t>视频+教学策略</t>
        </is>
      </c>
      <c r="W371" s="192" t="inlineStr">
        <is>
          <t>基线期A vs 维持期G（在最佳处理期录像示范之后）</t>
        </is>
      </c>
    </row>
    <row r="372" ht="120" customHeight="1" s="176">
      <c r="A372" s="191" t="inlineStr">
        <is>
          <t>K547</t>
        </is>
      </c>
      <c r="B372" s="191" t="inlineStr">
        <is>
          <t>068-二次</t>
        </is>
      </c>
      <c r="C372" s="191" t="inlineStr">
        <is>
          <t>Y</t>
        </is>
      </c>
      <c r="D372" s="192" t="inlineStr">
        <is>
          <t>维持</t>
        </is>
      </c>
      <c r="E372" s="191" t="inlineStr">
        <is>
          <t>6岁以下</t>
        </is>
      </c>
      <c r="F372" s="188" t="inlineStr">
        <is>
          <t>不纳入该变量（原文未报告）</t>
        </is>
      </c>
      <c r="G372" s="188" t="inlineStr">
        <is>
          <t>不纳入该变量（原文未报告）</t>
        </is>
      </c>
      <c r="H372" s="192" t="inlineStr">
        <is>
          <t>成人</t>
        </is>
      </c>
      <c r="I372" s="192" t="inlineStr">
        <is>
          <t>结合教学程序</t>
        </is>
      </c>
      <c r="J372" s="192" t="inlineStr">
        <is>
          <t>电脑</t>
        </is>
      </c>
      <c r="K372" s="194" t="inlineStr">
        <is>
          <t>不纳入该变量（原文未报告）</t>
        </is>
      </c>
      <c r="L372" s="192" t="inlineStr">
        <is>
          <t>专用训练空间</t>
        </is>
      </c>
      <c r="M372" s="192" t="inlineStr">
        <is>
          <t>研究人员</t>
        </is>
      </c>
      <c r="N372" s="192" t="inlineStr">
        <is>
          <t>10-16补入；录像示范与现场示范按天交替，只取录像示范点；接受残余效应（局限中说明）；维持期在最佳处理期（录像示范）之后</t>
        </is>
      </c>
      <c r="O372" s="191" t="inlineStr">
        <is>
          <t>4.50岁（4岁6个月）</t>
        </is>
      </c>
      <c r="P372" s="192" t="inlineStr">
        <is>
          <t>未报告（每段视频15～20秒、连续播放2次，每次3个目标行为，之后练习两次）</t>
        </is>
      </c>
      <c r="Q372" s="192" t="inlineStr">
        <is>
          <t>练习＋口头或动作提示（强化只用于关注示范）</t>
        </is>
      </c>
      <c r="R372" s="192" t="inlineStr">
        <is>
          <t>成人</t>
        </is>
      </c>
      <c r="S372" s="192" t="inlineStr">
        <is>
          <t>笔记本电脑</t>
        </is>
      </c>
      <c r="T372" s="192" t="inlineStr">
        <is>
          <t>研究人员</t>
        </is>
      </c>
      <c r="U372" s="192" t="inlineStr">
        <is>
          <t>学校或幼儿园</t>
        </is>
      </c>
      <c r="V372" s="192" t="inlineStr">
        <is>
          <t>视频+教学策略</t>
        </is>
      </c>
      <c r="W372" s="192" t="inlineStr">
        <is>
          <t>基线期A vs 维持期G（在最佳处理期录像示范之后）</t>
        </is>
      </c>
    </row>
    <row r="373" ht="15" customHeight="1" s="176">
      <c r="A373" s="191" t="inlineStr">
        <is>
          <t>K548</t>
        </is>
      </c>
      <c r="B373" s="191" t="inlineStr">
        <is>
          <t>01-补充</t>
        </is>
      </c>
      <c r="C373" s="191" t="inlineStr">
        <is>
          <t>Anan</t>
        </is>
      </c>
      <c r="D373" s="192" t="inlineStr">
        <is>
          <t>干预</t>
        </is>
      </c>
      <c r="E373" s="191" t="inlineStr">
        <is>
          <t>6岁以下</t>
        </is>
      </c>
      <c r="F373" s="192" t="inlineStr">
        <is>
          <t>男</t>
        </is>
      </c>
      <c r="G373" s="188" t="inlineStr">
        <is>
          <t>不纳入该变量（原文未报告）</t>
        </is>
      </c>
      <c r="H373" s="192" t="inlineStr">
        <is>
          <t>动画角色</t>
        </is>
      </c>
      <c r="I373" s="192" t="inlineStr">
        <is>
          <t>结合教学程序</t>
        </is>
      </c>
      <c r="J373" s="192" t="inlineStr">
        <is>
          <t>便携触屏设备</t>
        </is>
      </c>
      <c r="K373" s="191" t="inlineStr">
        <is>
          <t>11～60分钟</t>
        </is>
      </c>
      <c r="L373" s="192" t="inlineStr">
        <is>
          <t>专用训练空间</t>
        </is>
      </c>
      <c r="M373" s="192" t="inlineStr">
        <is>
          <t>研究人员</t>
        </is>
      </c>
      <c r="N373"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3" s="191" t="inlineStr">
        <is>
          <t>3.00岁（3岁0个月）</t>
        </is>
      </c>
      <c r="P373" s="192" t="inlineStr">
        <is>
          <t>每次约20分钟（每次两段视频，各三轮观看与练习）</t>
        </is>
      </c>
      <c r="Q373" s="192" t="inlineStr">
        <is>
          <t>练习＋提示（全句示范、首字提示）＋差别强化</t>
        </is>
      </c>
      <c r="R373" s="192" t="inlineStr">
        <is>
          <t>动画角色</t>
        </is>
      </c>
      <c r="S373" s="192" t="inlineStr">
        <is>
          <t>未报告（动画视频用iPad上的FaceU录制，播放设备未写）</t>
        </is>
      </c>
      <c r="T373" s="192" t="inlineStr">
        <is>
          <t>研究人员（第二作者＋研究助理）</t>
        </is>
      </c>
      <c r="U373" s="192" t="inlineStr">
        <is>
          <t>幼儿园乐高活动室</t>
        </is>
      </c>
      <c r="V373" s="192" t="inlineStr">
        <is>
          <t>视频+教学策略</t>
        </is>
      </c>
      <c r="W373" s="192" t="inlineStr">
        <is>
          <t>基线 vs 第一次交替期中的动画视频点（实心方块）</t>
        </is>
      </c>
    </row>
    <row r="374" ht="15" customHeight="1" s="176">
      <c r="A374" s="191" t="inlineStr">
        <is>
          <t>K549</t>
        </is>
      </c>
      <c r="B374" s="191" t="inlineStr">
        <is>
          <t>01-补充</t>
        </is>
      </c>
      <c r="C374" s="191" t="inlineStr">
        <is>
          <t>Anan</t>
        </is>
      </c>
      <c r="D374" s="192" t="inlineStr">
        <is>
          <t>干预</t>
        </is>
      </c>
      <c r="E374" s="191" t="inlineStr">
        <is>
          <t>6岁以下</t>
        </is>
      </c>
      <c r="F374" s="192" t="inlineStr">
        <is>
          <t>男</t>
        </is>
      </c>
      <c r="G374" s="188" t="inlineStr">
        <is>
          <t>不纳入该变量（原文未报告）</t>
        </is>
      </c>
      <c r="H374" s="192" t="inlineStr">
        <is>
          <t>成人</t>
        </is>
      </c>
      <c r="I374" s="192" t="inlineStr">
        <is>
          <t>结合教学程序</t>
        </is>
      </c>
      <c r="J374" s="192" t="inlineStr">
        <is>
          <t>便携触屏设备</t>
        </is>
      </c>
      <c r="K374" s="191" t="inlineStr">
        <is>
          <t>11～60分钟</t>
        </is>
      </c>
      <c r="L374" s="192" t="inlineStr">
        <is>
          <t>专用训练空间</t>
        </is>
      </c>
      <c r="M374" s="192" t="inlineStr">
        <is>
          <t>研究人员</t>
        </is>
      </c>
      <c r="N374"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4" s="191" t="inlineStr">
        <is>
          <t>3.00岁（3岁0个月）</t>
        </is>
      </c>
      <c r="P374" s="192" t="inlineStr">
        <is>
          <t>每次约20分钟（每次两段视频，各三轮观看与练习）</t>
        </is>
      </c>
      <c r="Q374" s="192" t="inlineStr">
        <is>
          <t>练习＋提示（全句示范、首字提示）＋差别强化</t>
        </is>
      </c>
      <c r="R374" s="192" t="inlineStr">
        <is>
          <t>成人</t>
        </is>
      </c>
      <c r="S374" s="192" t="inlineStr">
        <is>
          <t>未报告（动画视频用iPad上的FaceU录制，播放设备未写）</t>
        </is>
      </c>
      <c r="T374" s="192" t="inlineStr">
        <is>
          <t>研究人员（第二作者＋研究助理）</t>
        </is>
      </c>
      <c r="U374" s="192" t="inlineStr">
        <is>
          <t>幼儿园乐高活动室</t>
        </is>
      </c>
      <c r="V374" s="192" t="inlineStr">
        <is>
          <t>视频+教学策略</t>
        </is>
      </c>
      <c r="W374" s="192" t="inlineStr">
        <is>
          <t>基线 vs 第一次交替期中的成人视频点（实心三角）</t>
        </is>
      </c>
    </row>
    <row r="375" ht="15" customHeight="1" s="176">
      <c r="A375" s="191" t="inlineStr">
        <is>
          <t>K550</t>
        </is>
      </c>
      <c r="B375" s="191" t="inlineStr">
        <is>
          <t>01-补充</t>
        </is>
      </c>
      <c r="C375" s="191" t="inlineStr">
        <is>
          <t>Bobo</t>
        </is>
      </c>
      <c r="D375" s="192" t="inlineStr">
        <is>
          <t>干预</t>
        </is>
      </c>
      <c r="E375" s="191" t="inlineStr">
        <is>
          <t>6岁以下</t>
        </is>
      </c>
      <c r="F375" s="192" t="inlineStr">
        <is>
          <t>男</t>
        </is>
      </c>
      <c r="G375" s="188" t="inlineStr">
        <is>
          <t>不纳入该变量（原文未报告）</t>
        </is>
      </c>
      <c r="H375" s="192" t="inlineStr">
        <is>
          <t>动画角色</t>
        </is>
      </c>
      <c r="I375" s="192" t="inlineStr">
        <is>
          <t>结合教学程序</t>
        </is>
      </c>
      <c r="J375" s="192" t="inlineStr">
        <is>
          <t>便携触屏设备</t>
        </is>
      </c>
      <c r="K375" s="191" t="inlineStr">
        <is>
          <t>11～60分钟</t>
        </is>
      </c>
      <c r="L375" s="192" t="inlineStr">
        <is>
          <t>专用训练空间</t>
        </is>
      </c>
      <c r="M375" s="192" t="inlineStr">
        <is>
          <t>研究人员</t>
        </is>
      </c>
      <c r="N375"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5" s="191" t="inlineStr">
        <is>
          <t>3.92岁（3岁11个月）</t>
        </is>
      </c>
      <c r="P375" s="192" t="inlineStr">
        <is>
          <t>每次约20分钟（每次两段视频，各三轮观看与练习）</t>
        </is>
      </c>
      <c r="Q375" s="192" t="inlineStr">
        <is>
          <t>练习＋提示（全句示范、首字提示）＋差别强化</t>
        </is>
      </c>
      <c r="R375" s="192" t="inlineStr">
        <is>
          <t>动画角色</t>
        </is>
      </c>
      <c r="S375" s="192" t="inlineStr">
        <is>
          <t>未报告（动画视频用iPad上的FaceU录制，播放设备未写）</t>
        </is>
      </c>
      <c r="T375" s="192" t="inlineStr">
        <is>
          <t>研究人员（第二作者＋研究助理）</t>
        </is>
      </c>
      <c r="U375" s="192" t="inlineStr">
        <is>
          <t>幼儿园乐高活动室</t>
        </is>
      </c>
      <c r="V375" s="192" t="inlineStr">
        <is>
          <t>视频+教学策略</t>
        </is>
      </c>
      <c r="W375" s="192" t="inlineStr">
        <is>
          <t>基线 vs 第一次交替期中的动画视频点（实心方块）</t>
        </is>
      </c>
    </row>
    <row r="376" ht="15" customHeight="1" s="176">
      <c r="A376" s="191" t="inlineStr">
        <is>
          <t>K551</t>
        </is>
      </c>
      <c r="B376" s="191" t="inlineStr">
        <is>
          <t>01-补充</t>
        </is>
      </c>
      <c r="C376" s="191" t="inlineStr">
        <is>
          <t>Bobo</t>
        </is>
      </c>
      <c r="D376" s="192" t="inlineStr">
        <is>
          <t>干预</t>
        </is>
      </c>
      <c r="E376" s="191" t="inlineStr">
        <is>
          <t>6岁以下</t>
        </is>
      </c>
      <c r="F376" s="192" t="inlineStr">
        <is>
          <t>男</t>
        </is>
      </c>
      <c r="G376" s="188" t="inlineStr">
        <is>
          <t>不纳入该变量（原文未报告）</t>
        </is>
      </c>
      <c r="H376" s="192" t="inlineStr">
        <is>
          <t>成人</t>
        </is>
      </c>
      <c r="I376" s="192" t="inlineStr">
        <is>
          <t>结合教学程序</t>
        </is>
      </c>
      <c r="J376" s="192" t="inlineStr">
        <is>
          <t>便携触屏设备</t>
        </is>
      </c>
      <c r="K376" s="191" t="inlineStr">
        <is>
          <t>11～60分钟</t>
        </is>
      </c>
      <c r="L376" s="192" t="inlineStr">
        <is>
          <t>专用训练空间</t>
        </is>
      </c>
      <c r="M376" s="192" t="inlineStr">
        <is>
          <t>研究人员</t>
        </is>
      </c>
      <c r="N376"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6" s="191" t="inlineStr">
        <is>
          <t>3.92岁（3岁11个月）</t>
        </is>
      </c>
      <c r="P376" s="192" t="inlineStr">
        <is>
          <t>每次约20分钟（每次两段视频，各三轮观看与练习）</t>
        </is>
      </c>
      <c r="Q376" s="192" t="inlineStr">
        <is>
          <t>练习＋提示（全句示范、首字提示）＋差别强化</t>
        </is>
      </c>
      <c r="R376" s="192" t="inlineStr">
        <is>
          <t>成人</t>
        </is>
      </c>
      <c r="S376" s="192" t="inlineStr">
        <is>
          <t>未报告（动画视频用iPad上的FaceU录制，播放设备未写）</t>
        </is>
      </c>
      <c r="T376" s="192" t="inlineStr">
        <is>
          <t>研究人员（第二作者＋研究助理）</t>
        </is>
      </c>
      <c r="U376" s="192" t="inlineStr">
        <is>
          <t>幼儿园乐高活动室</t>
        </is>
      </c>
      <c r="V376" s="192" t="inlineStr">
        <is>
          <t>视频+教学策略</t>
        </is>
      </c>
      <c r="W376" s="192" t="inlineStr">
        <is>
          <t>基线 vs 第一次交替期中的成人视频点（实心三角）</t>
        </is>
      </c>
    </row>
    <row r="377" ht="15" customHeight="1" s="176">
      <c r="A377" s="191" t="inlineStr">
        <is>
          <t>K552</t>
        </is>
      </c>
      <c r="B377" s="191" t="inlineStr">
        <is>
          <t>01-补充</t>
        </is>
      </c>
      <c r="C377" s="191" t="inlineStr">
        <is>
          <t>Cici</t>
        </is>
      </c>
      <c r="D377" s="192" t="inlineStr">
        <is>
          <t>干预</t>
        </is>
      </c>
      <c r="E377" s="191" t="inlineStr">
        <is>
          <t>6岁以下</t>
        </is>
      </c>
      <c r="F377" s="192" t="inlineStr">
        <is>
          <t>女</t>
        </is>
      </c>
      <c r="G377" s="188" t="inlineStr">
        <is>
          <t>不纳入该变量（原文未报告）</t>
        </is>
      </c>
      <c r="H377" s="192" t="inlineStr">
        <is>
          <t>动画角色</t>
        </is>
      </c>
      <c r="I377" s="192" t="inlineStr">
        <is>
          <t>结合教学程序</t>
        </is>
      </c>
      <c r="J377" s="192" t="inlineStr">
        <is>
          <t>便携触屏设备</t>
        </is>
      </c>
      <c r="K377" s="191" t="inlineStr">
        <is>
          <t>11～60分钟</t>
        </is>
      </c>
      <c r="L377" s="192" t="inlineStr">
        <is>
          <t>专用训练空间</t>
        </is>
      </c>
      <c r="M377" s="192" t="inlineStr">
        <is>
          <t>研究人员</t>
        </is>
      </c>
      <c r="N377"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7" s="191" t="inlineStr">
        <is>
          <t>3.83岁（3岁10个月）</t>
        </is>
      </c>
      <c r="P377" s="192" t="inlineStr">
        <is>
          <t>每次约20分钟（每次两段视频，各三轮观看与练习）</t>
        </is>
      </c>
      <c r="Q377" s="192" t="inlineStr">
        <is>
          <t>练习＋提示（全句示范、首字提示）＋差别强化</t>
        </is>
      </c>
      <c r="R377" s="192" t="inlineStr">
        <is>
          <t>动画角色</t>
        </is>
      </c>
      <c r="S377" s="192" t="inlineStr">
        <is>
          <t>未报告（动画视频用iPad上的FaceU录制，播放设备未写）</t>
        </is>
      </c>
      <c r="T377" s="192" t="inlineStr">
        <is>
          <t>研究人员（第二作者＋研究助理）</t>
        </is>
      </c>
      <c r="U377" s="192" t="inlineStr">
        <is>
          <t>幼儿园乐高活动室</t>
        </is>
      </c>
      <c r="V377" s="192" t="inlineStr">
        <is>
          <t>视频+教学策略</t>
        </is>
      </c>
      <c r="W377" s="192" t="inlineStr">
        <is>
          <t>基线 vs 第一次交替期中的动画视频点（实心方块）</t>
        </is>
      </c>
    </row>
    <row r="378" ht="15" customHeight="1" s="176">
      <c r="A378" s="191" t="inlineStr">
        <is>
          <t>K553</t>
        </is>
      </c>
      <c r="B378" s="191" t="inlineStr">
        <is>
          <t>01-补充</t>
        </is>
      </c>
      <c r="C378" s="191" t="inlineStr">
        <is>
          <t>Cici</t>
        </is>
      </c>
      <c r="D378" s="192" t="inlineStr">
        <is>
          <t>干预</t>
        </is>
      </c>
      <c r="E378" s="191" t="inlineStr">
        <is>
          <t>6岁以下</t>
        </is>
      </c>
      <c r="F378" s="192" t="inlineStr">
        <is>
          <t>女</t>
        </is>
      </c>
      <c r="G378" s="188" t="inlineStr">
        <is>
          <t>不纳入该变量（原文未报告）</t>
        </is>
      </c>
      <c r="H378" s="192" t="inlineStr">
        <is>
          <t>成人</t>
        </is>
      </c>
      <c r="I378" s="192" t="inlineStr">
        <is>
          <t>结合教学程序</t>
        </is>
      </c>
      <c r="J378" s="192" t="inlineStr">
        <is>
          <t>便携触屏设备</t>
        </is>
      </c>
      <c r="K378" s="191" t="inlineStr">
        <is>
          <t>11～60分钟</t>
        </is>
      </c>
      <c r="L378" s="192" t="inlineStr">
        <is>
          <t>专用训练空间</t>
        </is>
      </c>
      <c r="M378" s="192" t="inlineStr">
        <is>
          <t>研究人员</t>
        </is>
      </c>
      <c r="N378"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8" s="191" t="inlineStr">
        <is>
          <t>3.83岁（3岁10个月）</t>
        </is>
      </c>
      <c r="P378" s="192" t="inlineStr">
        <is>
          <t>每次约20分钟（每次两段视频，各三轮观看与练习）</t>
        </is>
      </c>
      <c r="Q378" s="192" t="inlineStr">
        <is>
          <t>练习＋提示（全句示范、首字提示）＋差别强化</t>
        </is>
      </c>
      <c r="R378" s="192" t="inlineStr">
        <is>
          <t>成人</t>
        </is>
      </c>
      <c r="S378" s="192" t="inlineStr">
        <is>
          <t>未报告（动画视频用iPad上的FaceU录制，播放设备未写）</t>
        </is>
      </c>
      <c r="T378" s="192" t="inlineStr">
        <is>
          <t>研究人员（第二作者＋研究助理）</t>
        </is>
      </c>
      <c r="U378" s="192" t="inlineStr">
        <is>
          <t>幼儿园乐高活动室</t>
        </is>
      </c>
      <c r="V378" s="192" t="inlineStr">
        <is>
          <t>视频+教学策略</t>
        </is>
      </c>
      <c r="W378" s="192" t="inlineStr">
        <is>
          <t>基线 vs 第一次交替期中的成人视频点（实心三角）</t>
        </is>
      </c>
    </row>
    <row r="379" ht="15" customHeight="1" s="176">
      <c r="A379" s="191" t="inlineStr">
        <is>
          <t>K554</t>
        </is>
      </c>
      <c r="B379" s="191" t="inlineStr">
        <is>
          <t>01-补充</t>
        </is>
      </c>
      <c r="C379" s="191" t="inlineStr">
        <is>
          <t>Anan</t>
        </is>
      </c>
      <c r="D379" s="192" t="inlineStr">
        <is>
          <t>干预</t>
        </is>
      </c>
      <c r="E379" s="191" t="inlineStr">
        <is>
          <t>6岁以下</t>
        </is>
      </c>
      <c r="F379" s="192" t="inlineStr">
        <is>
          <t>男</t>
        </is>
      </c>
      <c r="G379" s="188" t="inlineStr">
        <is>
          <t>不纳入该变量（原文未报告）</t>
        </is>
      </c>
      <c r="H379" s="192" t="inlineStr">
        <is>
          <t>动画角色</t>
        </is>
      </c>
      <c r="I379" s="192" t="inlineStr">
        <is>
          <t>结合教学程序</t>
        </is>
      </c>
      <c r="J379" s="192" t="inlineStr">
        <is>
          <t>便携触屏设备</t>
        </is>
      </c>
      <c r="K379" s="191" t="inlineStr">
        <is>
          <t>11～60分钟</t>
        </is>
      </c>
      <c r="L379" s="192" t="inlineStr">
        <is>
          <t>专用训练空间</t>
        </is>
      </c>
      <c r="M379" s="192" t="inlineStr">
        <is>
          <t>研究人员</t>
        </is>
      </c>
      <c r="N379"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79" s="191" t="inlineStr">
        <is>
          <t>3.00岁（3岁0个月）</t>
        </is>
      </c>
      <c r="P379" s="192" t="inlineStr">
        <is>
          <t>每次约20分钟（每次两段视频，各三轮观看与练习）</t>
        </is>
      </c>
      <c r="Q379" s="192" t="inlineStr">
        <is>
          <t>练习＋提示（全句示范、首字提示）＋差别强化</t>
        </is>
      </c>
      <c r="R379" s="192" t="inlineStr">
        <is>
          <t>动画角色</t>
        </is>
      </c>
      <c r="S379" s="192" t="inlineStr">
        <is>
          <t>未报告（动画视频用iPad上的FaceU录制，播放设备未写）</t>
        </is>
      </c>
      <c r="T379" s="192" t="inlineStr">
        <is>
          <t>研究人员（第二作者＋研究助理）</t>
        </is>
      </c>
      <c r="U379" s="192" t="inlineStr">
        <is>
          <t>幼儿园乐高活动室</t>
        </is>
      </c>
      <c r="V379" s="192" t="inlineStr">
        <is>
          <t>视频+教学策略</t>
        </is>
      </c>
      <c r="W379" s="192" t="inlineStr">
        <is>
          <t>基线 vs 第一次交替期中的动画视频点（实心方块）</t>
        </is>
      </c>
    </row>
    <row r="380" ht="15" customHeight="1" s="176">
      <c r="A380" s="191" t="inlineStr">
        <is>
          <t>K555</t>
        </is>
      </c>
      <c r="B380" s="191" t="inlineStr">
        <is>
          <t>01-补充</t>
        </is>
      </c>
      <c r="C380" s="191" t="inlineStr">
        <is>
          <t>Anan</t>
        </is>
      </c>
      <c r="D380" s="192" t="inlineStr">
        <is>
          <t>干预</t>
        </is>
      </c>
      <c r="E380" s="191" t="inlineStr">
        <is>
          <t>6岁以下</t>
        </is>
      </c>
      <c r="F380" s="192" t="inlineStr">
        <is>
          <t>男</t>
        </is>
      </c>
      <c r="G380" s="188" t="inlineStr">
        <is>
          <t>不纳入该变量（原文未报告）</t>
        </is>
      </c>
      <c r="H380" s="192" t="inlineStr">
        <is>
          <t>成人</t>
        </is>
      </c>
      <c r="I380" s="192" t="inlineStr">
        <is>
          <t>结合教学程序</t>
        </is>
      </c>
      <c r="J380" s="192" t="inlineStr">
        <is>
          <t>便携触屏设备</t>
        </is>
      </c>
      <c r="K380" s="191" t="inlineStr">
        <is>
          <t>11～60分钟</t>
        </is>
      </c>
      <c r="L380" s="192" t="inlineStr">
        <is>
          <t>专用训练空间</t>
        </is>
      </c>
      <c r="M380" s="192" t="inlineStr">
        <is>
          <t>研究人员</t>
        </is>
      </c>
      <c r="N380"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80" s="191" t="inlineStr">
        <is>
          <t>3.00岁（3岁0个月）</t>
        </is>
      </c>
      <c r="P380" s="192" t="inlineStr">
        <is>
          <t>每次约20分钟（每次两段视频，各三轮观看与练习）</t>
        </is>
      </c>
      <c r="Q380" s="192" t="inlineStr">
        <is>
          <t>练习＋提示（全句示范、首字提示）＋差别强化</t>
        </is>
      </c>
      <c r="R380" s="192" t="inlineStr">
        <is>
          <t>成人</t>
        </is>
      </c>
      <c r="S380" s="192" t="inlineStr">
        <is>
          <t>未报告（动画视频用iPad上的FaceU录制，播放设备未写）</t>
        </is>
      </c>
      <c r="T380" s="192" t="inlineStr">
        <is>
          <t>研究人员（第二作者＋研究助理）</t>
        </is>
      </c>
      <c r="U380" s="192" t="inlineStr">
        <is>
          <t>幼儿园乐高活动室</t>
        </is>
      </c>
      <c r="V380" s="192" t="inlineStr">
        <is>
          <t>视频+教学策略</t>
        </is>
      </c>
      <c r="W380" s="192" t="inlineStr">
        <is>
          <t>基线 vs 第一次交替期中的成人视频点（实心三角）</t>
        </is>
      </c>
    </row>
    <row r="381" ht="57" customHeight="1" s="176">
      <c r="A381" s="191" t="inlineStr">
        <is>
          <t>K556</t>
        </is>
      </c>
      <c r="B381" s="191" t="inlineStr">
        <is>
          <t>01-补充</t>
        </is>
      </c>
      <c r="C381" s="191" t="inlineStr">
        <is>
          <t>Bobo</t>
        </is>
      </c>
      <c r="D381" s="192" t="inlineStr">
        <is>
          <t>干预</t>
        </is>
      </c>
      <c r="E381" s="191" t="inlineStr">
        <is>
          <t>6岁以下</t>
        </is>
      </c>
      <c r="F381" s="192" t="inlineStr">
        <is>
          <t>男</t>
        </is>
      </c>
      <c r="G381" s="188" t="inlineStr">
        <is>
          <t>不纳入该变量（原文未报告）</t>
        </is>
      </c>
      <c r="H381" s="192" t="inlineStr">
        <is>
          <t>动画角色</t>
        </is>
      </c>
      <c r="I381" s="192" t="inlineStr">
        <is>
          <t>结合教学程序</t>
        </is>
      </c>
      <c r="J381" s="192" t="inlineStr">
        <is>
          <t>便携触屏设备</t>
        </is>
      </c>
      <c r="K381" s="191" t="inlineStr">
        <is>
          <t>11～60分钟</t>
        </is>
      </c>
      <c r="L381" s="192" t="inlineStr">
        <is>
          <t>专用训练空间</t>
        </is>
      </c>
      <c r="M381" s="192" t="inlineStr">
        <is>
          <t>研究人员</t>
        </is>
      </c>
      <c r="N381"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81" s="191" t="inlineStr">
        <is>
          <t>3.92岁（3岁11个月）</t>
        </is>
      </c>
      <c r="P381" s="192" t="inlineStr">
        <is>
          <t>每次约20分钟（每次两段视频，各三轮观看与练习）</t>
        </is>
      </c>
      <c r="Q381" s="192" t="inlineStr">
        <is>
          <t>练习＋提示（全句示范、首字提示）＋差别强化</t>
        </is>
      </c>
      <c r="R381" s="192" t="inlineStr">
        <is>
          <t>动画角色</t>
        </is>
      </c>
      <c r="S381" s="192" t="inlineStr">
        <is>
          <t>未报告（动画视频用iPad上的FaceU录制，播放设备未写）</t>
        </is>
      </c>
      <c r="T381" s="192" t="inlineStr">
        <is>
          <t>研究人员（第二作者＋研究助理）</t>
        </is>
      </c>
      <c r="U381" s="192" t="inlineStr">
        <is>
          <t>幼儿园乐高活动室</t>
        </is>
      </c>
      <c r="V381" s="192" t="inlineStr">
        <is>
          <t>视频+教学策略</t>
        </is>
      </c>
      <c r="W381" s="192" t="inlineStr">
        <is>
          <t>基线 vs 第一次交替期中的动画视频点（实心方块）</t>
        </is>
      </c>
    </row>
    <row r="382" ht="57" customHeight="1" s="176">
      <c r="A382" s="191" t="inlineStr">
        <is>
          <t>K557</t>
        </is>
      </c>
      <c r="B382" s="191" t="inlineStr">
        <is>
          <t>01-补充</t>
        </is>
      </c>
      <c r="C382" s="191" t="inlineStr">
        <is>
          <t>Bobo</t>
        </is>
      </c>
      <c r="D382" s="192" t="inlineStr">
        <is>
          <t>干预</t>
        </is>
      </c>
      <c r="E382" s="191" t="inlineStr">
        <is>
          <t>6岁以下</t>
        </is>
      </c>
      <c r="F382" s="192" t="inlineStr">
        <is>
          <t>男</t>
        </is>
      </c>
      <c r="G382" s="188" t="inlineStr">
        <is>
          <t>不纳入该变量（原文未报告）</t>
        </is>
      </c>
      <c r="H382" s="192" t="inlineStr">
        <is>
          <t>成人</t>
        </is>
      </c>
      <c r="I382" s="192" t="inlineStr">
        <is>
          <t>结合教学程序</t>
        </is>
      </c>
      <c r="J382" s="192" t="inlineStr">
        <is>
          <t>便携触屏设备</t>
        </is>
      </c>
      <c r="K382" s="191" t="inlineStr">
        <is>
          <t>11～60分钟</t>
        </is>
      </c>
      <c r="L382" s="192" t="inlineStr">
        <is>
          <t>专用训练空间</t>
        </is>
      </c>
      <c r="M382" s="192" t="inlineStr">
        <is>
          <t>研究人员</t>
        </is>
      </c>
      <c r="N382"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82" s="191" t="inlineStr">
        <is>
          <t>3.92岁（3岁11个月）</t>
        </is>
      </c>
      <c r="P382" s="192" t="inlineStr">
        <is>
          <t>每次约20分钟（每次两段视频，各三轮观看与练习）</t>
        </is>
      </c>
      <c r="Q382" s="192" t="inlineStr">
        <is>
          <t>练习＋提示（全句示范、首字提示）＋差别强化</t>
        </is>
      </c>
      <c r="R382" s="192" t="inlineStr">
        <is>
          <t>成人</t>
        </is>
      </c>
      <c r="S382" s="192" t="inlineStr">
        <is>
          <t>未报告（动画视频用iPad上的FaceU录制，播放设备未写）</t>
        </is>
      </c>
      <c r="T382" s="192" t="inlineStr">
        <is>
          <t>研究人员（第二作者＋研究助理）</t>
        </is>
      </c>
      <c r="U382" s="192" t="inlineStr">
        <is>
          <t>幼儿园乐高活动室</t>
        </is>
      </c>
      <c r="V382" s="192" t="inlineStr">
        <is>
          <t>视频+教学策略</t>
        </is>
      </c>
      <c r="W382" s="192" t="inlineStr">
        <is>
          <t>基线 vs 第一次交替期中的成人视频点（实心三角）</t>
        </is>
      </c>
    </row>
    <row r="383" ht="57" customHeight="1" s="176">
      <c r="A383" s="191" t="inlineStr">
        <is>
          <t>K558</t>
        </is>
      </c>
      <c r="B383" s="191" t="inlineStr">
        <is>
          <t>01-补充</t>
        </is>
      </c>
      <c r="C383" s="191" t="inlineStr">
        <is>
          <t>Cici</t>
        </is>
      </c>
      <c r="D383" s="192" t="inlineStr">
        <is>
          <t>干预</t>
        </is>
      </c>
      <c r="E383" s="191" t="inlineStr">
        <is>
          <t>6岁以下</t>
        </is>
      </c>
      <c r="F383" s="192" t="inlineStr">
        <is>
          <t>女</t>
        </is>
      </c>
      <c r="G383" s="188" t="inlineStr">
        <is>
          <t>不纳入该变量（原文未报告）</t>
        </is>
      </c>
      <c r="H383" s="192" t="inlineStr">
        <is>
          <t>动画角色</t>
        </is>
      </c>
      <c r="I383" s="192" t="inlineStr">
        <is>
          <t>结合教学程序</t>
        </is>
      </c>
      <c r="J383" s="192" t="inlineStr">
        <is>
          <t>便携触屏设备</t>
        </is>
      </c>
      <c r="K383" s="191" t="inlineStr">
        <is>
          <t>11～60分钟</t>
        </is>
      </c>
      <c r="L383" s="192" t="inlineStr">
        <is>
          <t>专用训练空间</t>
        </is>
      </c>
      <c r="M383" s="192" t="inlineStr">
        <is>
          <t>研究人员</t>
        </is>
      </c>
      <c r="N383"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83" s="191" t="inlineStr">
        <is>
          <t>3.83岁（3岁10个月）</t>
        </is>
      </c>
      <c r="P383" s="192" t="inlineStr">
        <is>
          <t>每次约20分钟（每次两段视频，各三轮观看与练习）</t>
        </is>
      </c>
      <c r="Q383" s="192" t="inlineStr">
        <is>
          <t>练习＋提示（全句示范、首字提示）＋差别强化</t>
        </is>
      </c>
      <c r="R383" s="192" t="inlineStr">
        <is>
          <t>动画角色</t>
        </is>
      </c>
      <c r="S383" s="192" t="inlineStr">
        <is>
          <t>未报告（动画视频用iPad上的FaceU录制，播放设备未写）</t>
        </is>
      </c>
      <c r="T383" s="192" t="inlineStr">
        <is>
          <t>研究人员（第二作者＋研究助理）</t>
        </is>
      </c>
      <c r="U383" s="192" t="inlineStr">
        <is>
          <t>幼儿园乐高活动室</t>
        </is>
      </c>
      <c r="V383" s="192" t="inlineStr">
        <is>
          <t>视频+教学策略</t>
        </is>
      </c>
      <c r="W383" s="192" t="inlineStr">
        <is>
          <t>基线 vs 第一次交替期中的动画视频点（实心方块）</t>
        </is>
      </c>
    </row>
    <row r="384" ht="57" customHeight="1" s="176">
      <c r="A384" s="191" t="inlineStr">
        <is>
          <t>K559</t>
        </is>
      </c>
      <c r="B384" s="191" t="inlineStr">
        <is>
          <t>01-补充</t>
        </is>
      </c>
      <c r="C384" s="191" t="inlineStr">
        <is>
          <t>Cici</t>
        </is>
      </c>
      <c r="D384" s="192" t="inlineStr">
        <is>
          <t>干预</t>
        </is>
      </c>
      <c r="E384" s="191" t="inlineStr">
        <is>
          <t>6岁以下</t>
        </is>
      </c>
      <c r="F384" s="192" t="inlineStr">
        <is>
          <t>女</t>
        </is>
      </c>
      <c r="G384" s="188" t="inlineStr">
        <is>
          <t>不纳入该变量（原文未报告）</t>
        </is>
      </c>
      <c r="H384" s="192" t="inlineStr">
        <is>
          <t>成人</t>
        </is>
      </c>
      <c r="I384" s="192" t="inlineStr">
        <is>
          <t>结合教学程序</t>
        </is>
      </c>
      <c r="J384" s="192" t="inlineStr">
        <is>
          <t>便携触屏设备</t>
        </is>
      </c>
      <c r="K384" s="191" t="inlineStr">
        <is>
          <t>11～60分钟</t>
        </is>
      </c>
      <c r="L384" s="192" t="inlineStr">
        <is>
          <t>专用训练空间</t>
        </is>
      </c>
      <c r="M384" s="192" t="inlineStr">
        <is>
          <t>研究人员</t>
        </is>
      </c>
      <c r="N384" s="193"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384" s="191" t="inlineStr">
        <is>
          <t>3.83岁（3岁10个月）</t>
        </is>
      </c>
      <c r="P384" s="192" t="inlineStr">
        <is>
          <t>每次约20分钟（每次两段视频，各三轮观看与练习）</t>
        </is>
      </c>
      <c r="Q384" s="192" t="inlineStr">
        <is>
          <t>练习＋提示（全句示范、首字提示）＋差别强化</t>
        </is>
      </c>
      <c r="R384" s="192" t="inlineStr">
        <is>
          <t>成人</t>
        </is>
      </c>
      <c r="S384" s="192" t="inlineStr">
        <is>
          <t>未报告（动画视频用iPad上的FaceU录制，播放设备未写）</t>
        </is>
      </c>
      <c r="T384" s="192" t="inlineStr">
        <is>
          <t>研究人员（第二作者＋研究助理）</t>
        </is>
      </c>
      <c r="U384" s="192" t="inlineStr">
        <is>
          <t>幼儿园乐高活动室</t>
        </is>
      </c>
      <c r="V384" s="192" t="inlineStr">
        <is>
          <t>视频+教学策略</t>
        </is>
      </c>
      <c r="W384" s="192" t="inlineStr">
        <is>
          <t>基线 vs 第一次交替期中的成人视频点（实心三角）</t>
        </is>
      </c>
    </row>
    <row r="385" ht="57" customHeight="1" s="176">
      <c r="A385" s="195" t="inlineStr">
        <is>
          <t>K564</t>
        </is>
      </c>
      <c r="B385" s="195" t="inlineStr">
        <is>
          <t>002-滚雪球</t>
        </is>
      </c>
      <c r="C385" s="195" t="inlineStr">
        <is>
          <t>Nick</t>
        </is>
      </c>
      <c r="D385" s="196" t="inlineStr">
        <is>
          <t>干预</t>
        </is>
      </c>
      <c r="E385" s="195" t="inlineStr">
        <is>
          <t>9–12岁</t>
        </is>
      </c>
      <c r="F385" s="196" t="inlineStr">
        <is>
          <t>男</t>
        </is>
      </c>
      <c r="G385" s="196" t="inlineStr">
        <is>
          <t>轻中度</t>
        </is>
      </c>
      <c r="H385" s="196" t="inlineStr">
        <is>
          <t>成人</t>
        </is>
      </c>
      <c r="I385" s="196" t="inlineStr">
        <is>
          <t>结合教学程序</t>
        </is>
      </c>
      <c r="J385" s="196" t="inlineStr">
        <is>
          <t>电脑</t>
        </is>
      </c>
      <c r="K385" s="197" t="inlineStr">
        <is>
          <t>不纳入该变量（原文未报告）</t>
        </is>
      </c>
      <c r="L385" s="196" t="inlineStr">
        <is>
          <t>教室</t>
        </is>
      </c>
      <c r="M385" s="196" t="inlineStr">
        <is>
          <t>研究人员</t>
        </is>
      </c>
      <c r="N385" s="196" t="inlineStr">
        <is>
          <t>6步骤混合总分含付款/取货；视频在学校播放、现场提示在商店。</t>
        </is>
      </c>
      <c r="O385" s="195" t="inlineStr">
        <is>
          <t>12岁；PDF3–4/37–38，Table 1及参与者描述</t>
        </is>
      </c>
      <c r="P385" s="196" t="inlineStr">
        <is>
          <t>视频70秒；另含商店现场提示，完整会面总时长未报告，不能以视频时长替代。</t>
        </is>
      </c>
      <c r="Q385" s="196" t="inlineStr">
        <is>
          <t>现场言语提示</t>
        </is>
      </c>
      <c r="R385" s="196" t="inlineStr">
        <is>
          <t>成人</t>
        </is>
      </c>
      <c r="S385" s="196" t="inlineStr">
        <is>
          <t>电脑</t>
        </is>
      </c>
      <c r="T385" s="196" t="inlineStr">
        <is>
          <t>研究人员</t>
        </is>
      </c>
      <c r="U385" s="196" t="inlineStr">
        <is>
          <t>学校（观看）；社区商店（现场提示）</t>
        </is>
      </c>
      <c r="V385" s="196" t="inlineStr">
        <is>
          <t>加1–2种</t>
        </is>
      </c>
      <c r="W385" s="196" t="inlineStr">
        <is>
          <t>原购物店Baseline vs 视频示范+言语提示Intervention</t>
        </is>
      </c>
    </row>
    <row r="386" ht="57" customHeight="1" s="176">
      <c r="A386" s="195" t="inlineStr">
        <is>
          <t>K565</t>
        </is>
      </c>
      <c r="B386" s="195" t="inlineStr">
        <is>
          <t>002-滚雪球</t>
        </is>
      </c>
      <c r="C386" s="195" t="inlineStr">
        <is>
          <t>Nick</t>
        </is>
      </c>
      <c r="D386" s="196" t="inlineStr">
        <is>
          <t>泛化</t>
        </is>
      </c>
      <c r="E386" s="195" t="inlineStr">
        <is>
          <t>9–12岁</t>
        </is>
      </c>
      <c r="F386" s="196" t="inlineStr">
        <is>
          <t>男</t>
        </is>
      </c>
      <c r="G386" s="196" t="inlineStr">
        <is>
          <t>轻中度</t>
        </is>
      </c>
      <c r="H386" s="196" t="inlineStr">
        <is>
          <t>成人</t>
        </is>
      </c>
      <c r="I386" s="196" t="inlineStr">
        <is>
          <t>结合教学程序</t>
        </is>
      </c>
      <c r="J386" s="196" t="inlineStr">
        <is>
          <t>电脑</t>
        </is>
      </c>
      <c r="K386" s="197" t="inlineStr">
        <is>
          <t>不纳入该变量（原文未报告）</t>
        </is>
      </c>
      <c r="L386" s="196" t="inlineStr">
        <is>
          <t>教室</t>
        </is>
      </c>
      <c r="M386" s="196" t="inlineStr">
        <is>
          <t>研究人员</t>
        </is>
      </c>
      <c r="N386" s="196" t="inlineStr">
        <is>
          <t>6步骤混合总分含付款/取货；视频在学校播放、现场提示在商店。第二家商店无视频/提示；沿用原训练店基线，不重复计维持。</t>
        </is>
      </c>
      <c r="O386" s="195" t="inlineStr">
        <is>
          <t>12岁；PDF3–4/37–38，Table 1及参与者描述</t>
        </is>
      </c>
      <c r="P386" s="196" t="inlineStr">
        <is>
          <t>视频70秒；另含商店现场提示，完整会面总时长未报告，不能以视频时长替代。</t>
        </is>
      </c>
      <c r="Q386" s="196" t="inlineStr">
        <is>
          <t>现场言语提示</t>
        </is>
      </c>
      <c r="R386" s="196" t="inlineStr">
        <is>
          <t>成人</t>
        </is>
      </c>
      <c r="S386" s="196" t="inlineStr">
        <is>
          <t>电脑</t>
        </is>
      </c>
      <c r="T386" s="196" t="inlineStr">
        <is>
          <t>研究人员</t>
        </is>
      </c>
      <c r="U386" s="196" t="inlineStr">
        <is>
          <t>学校（观看）；社区商店（现场提示）</t>
        </is>
      </c>
      <c r="V386" s="196" t="inlineStr">
        <is>
          <t>加1–2种</t>
        </is>
      </c>
      <c r="W386" s="196" t="inlineStr">
        <is>
          <t>原购物店Baseline vs 第二家未训练店Generalization</t>
        </is>
      </c>
    </row>
    <row r="387" ht="57" customHeight="1" s="176">
      <c r="A387" s="195" t="inlineStr">
        <is>
          <t>K566</t>
        </is>
      </c>
      <c r="B387" s="195" t="inlineStr">
        <is>
          <t>061-二次</t>
        </is>
      </c>
      <c r="C387" s="195" t="inlineStr">
        <is>
          <t>Kevin</t>
        </is>
      </c>
      <c r="D387" s="196" t="inlineStr">
        <is>
          <t>干预</t>
        </is>
      </c>
      <c r="E387" s="195" t="inlineStr">
        <is>
          <t>6岁以下</t>
        </is>
      </c>
      <c r="F387" s="196" t="inlineStr">
        <is>
          <t>男</t>
        </is>
      </c>
      <c r="G387" s="198" t="inlineStr">
        <is>
          <t>不纳入该变量（原文未报告）</t>
        </is>
      </c>
      <c r="H387" s="196" t="inlineStr">
        <is>
          <t>同伴儿童（含兄弟姐妹）</t>
        </is>
      </c>
      <c r="I387" s="196" t="inlineStr">
        <is>
          <t>结合教学程序</t>
        </is>
      </c>
      <c r="J387" s="196" t="inlineStr">
        <is>
          <t>便携触屏设备</t>
        </is>
      </c>
      <c r="K387" s="195" t="inlineStr">
        <is>
          <t>10分钟及以下</t>
        </is>
      </c>
      <c r="L387" s="196" t="inlineStr">
        <is>
          <t>教室</t>
        </is>
      </c>
      <c r="M387" s="196" t="inlineStr">
        <is>
          <t>研究人员</t>
        </is>
      </c>
      <c r="N387" s="196" t="inlineStr">
        <is>
          <t>三项目标合计分；按确认分组归综合沟通，不拆分需求表达和游戏互动。只取第一轮A1–B1；第二轮不另加K；C改变目标构成不取。</t>
        </is>
      </c>
      <c r="O387" s="195" t="inlineStr">
        <is>
          <t>4岁；PDF6/519，Table 1</t>
        </is>
      </c>
      <c r="P387" s="196" t="inlineStr">
        <is>
          <t>正文PDF10/523：每名儿童每次完成三个目标平均不足10分钟；非整段1小时中心活动。</t>
        </is>
      </c>
      <c r="Q387" s="196" t="inlineStr">
        <is>
          <t>身体提示、表扬</t>
        </is>
      </c>
      <c r="R387" s="196" t="inlineStr">
        <is>
          <t>同伴儿童</t>
        </is>
      </c>
      <c r="S387" s="196" t="inlineStr">
        <is>
          <t>iPad</t>
        </is>
      </c>
      <c r="T387" s="196" t="inlineStr">
        <is>
          <t>研究人员</t>
        </is>
      </c>
      <c r="U387" s="196" t="inlineStr">
        <is>
          <t>学校或幼儿园</t>
        </is>
      </c>
      <c r="V387" s="196" t="inlineStr">
        <is>
          <t>加1–2种</t>
        </is>
      </c>
      <c r="W387" s="196" t="inlineStr">
        <is>
          <t>第一次Baseline A（会话1–5）vs第一次Treatment B（会话6–10）；第二轮A/B不另增加K。</t>
        </is>
      </c>
    </row>
    <row r="388" ht="57" customHeight="1" s="176">
      <c r="A388" s="195" t="inlineStr">
        <is>
          <t>K567</t>
        </is>
      </c>
      <c r="B388" s="195" t="inlineStr">
        <is>
          <t>061-二次</t>
        </is>
      </c>
      <c r="C388" s="195" t="inlineStr">
        <is>
          <t>Ricky</t>
        </is>
      </c>
      <c r="D388" s="196" t="inlineStr">
        <is>
          <t>干预</t>
        </is>
      </c>
      <c r="E388" s="195" t="inlineStr">
        <is>
          <t>6岁以下</t>
        </is>
      </c>
      <c r="F388" s="196" t="inlineStr">
        <is>
          <t>男</t>
        </is>
      </c>
      <c r="G388" s="198" t="inlineStr">
        <is>
          <t>不纳入该变量（原文未报告）</t>
        </is>
      </c>
      <c r="H388" s="196" t="inlineStr">
        <is>
          <t>同伴儿童（含兄弟姐妹）</t>
        </is>
      </c>
      <c r="I388" s="196" t="inlineStr">
        <is>
          <t>结合教学程序</t>
        </is>
      </c>
      <c r="J388" s="196" t="inlineStr">
        <is>
          <t>便携触屏设备</t>
        </is>
      </c>
      <c r="K388" s="195" t="inlineStr">
        <is>
          <t>10分钟及以下</t>
        </is>
      </c>
      <c r="L388" s="196" t="inlineStr">
        <is>
          <t>教室</t>
        </is>
      </c>
      <c r="M388" s="196" t="inlineStr">
        <is>
          <t>研究人员</t>
        </is>
      </c>
      <c r="N388" s="196" t="inlineStr">
        <is>
          <t>三项目标合计分；按确认分组归综合沟通，不拆分需求表达和游戏互动。只取第一轮A1–B1；第二轮不另加K；C改变目标构成不取。</t>
        </is>
      </c>
      <c r="O388" s="195" t="inlineStr">
        <is>
          <t>4岁；PDF6/519，Table 1</t>
        </is>
      </c>
      <c r="P388" s="196" t="inlineStr">
        <is>
          <t>正文PDF10/523：每名儿童每次完成三个目标平均不足10分钟；非整段1小时中心活动。</t>
        </is>
      </c>
      <c r="Q388" s="196" t="inlineStr">
        <is>
          <t>身体提示、表扬</t>
        </is>
      </c>
      <c r="R388" s="196" t="inlineStr">
        <is>
          <t>同伴儿童</t>
        </is>
      </c>
      <c r="S388" s="196" t="inlineStr">
        <is>
          <t>iPad</t>
        </is>
      </c>
      <c r="T388" s="196" t="inlineStr">
        <is>
          <t>研究人员</t>
        </is>
      </c>
      <c r="U388" s="196" t="inlineStr">
        <is>
          <t>学校或幼儿园</t>
        </is>
      </c>
      <c r="V388" s="196" t="inlineStr">
        <is>
          <t>加1–2种</t>
        </is>
      </c>
      <c r="W388" s="196" t="inlineStr">
        <is>
          <t>第一次Baseline A（会话1–5）vs第一次Treatment B（会话6–10）；第二轮A/B不另增加K。</t>
        </is>
      </c>
    </row>
    <row r="389" ht="57" customHeight="1" s="176">
      <c r="A389" s="195" t="inlineStr">
        <is>
          <t>K568</t>
        </is>
      </c>
      <c r="B389" s="195" t="inlineStr">
        <is>
          <t>061-二次</t>
        </is>
      </c>
      <c r="C389" s="195" t="inlineStr">
        <is>
          <t>Andy</t>
        </is>
      </c>
      <c r="D389" s="196" t="inlineStr">
        <is>
          <t>干预</t>
        </is>
      </c>
      <c r="E389" s="195" t="inlineStr">
        <is>
          <t>6岁以下</t>
        </is>
      </c>
      <c r="F389" s="196" t="inlineStr">
        <is>
          <t>男</t>
        </is>
      </c>
      <c r="G389" s="198" t="inlineStr">
        <is>
          <t>不纳入该变量（原文未报告）</t>
        </is>
      </c>
      <c r="H389" s="196" t="inlineStr">
        <is>
          <t>同伴儿童（含兄弟姐妹）</t>
        </is>
      </c>
      <c r="I389" s="196" t="inlineStr">
        <is>
          <t>结合教学程序</t>
        </is>
      </c>
      <c r="J389" s="196" t="inlineStr">
        <is>
          <t>便携触屏设备</t>
        </is>
      </c>
      <c r="K389" s="195" t="inlineStr">
        <is>
          <t>10分钟及以下</t>
        </is>
      </c>
      <c r="L389" s="196" t="inlineStr">
        <is>
          <t>教室</t>
        </is>
      </c>
      <c r="M389" s="196" t="inlineStr">
        <is>
          <t>研究人员</t>
        </is>
      </c>
      <c r="N389" s="196" t="inlineStr">
        <is>
          <t>三项目标合计分；按确认分组归综合沟通，不拆分需求表达和游戏互动。只取第一轮A1–B1；第二轮不另加K；C改变目标构成不取。</t>
        </is>
      </c>
      <c r="O389" s="195" t="inlineStr">
        <is>
          <t>3岁；PDF6/519，Table 1</t>
        </is>
      </c>
      <c r="P389" s="196" t="inlineStr">
        <is>
          <t>正文PDF10/523：每名儿童每次完成三个目标平均不足10分钟；非整段1小时中心活动。</t>
        </is>
      </c>
      <c r="Q389" s="196" t="inlineStr">
        <is>
          <t>身体提示、表扬</t>
        </is>
      </c>
      <c r="R389" s="196" t="inlineStr">
        <is>
          <t>同伴儿童</t>
        </is>
      </c>
      <c r="S389" s="196" t="inlineStr">
        <is>
          <t>iPad</t>
        </is>
      </c>
      <c r="T389" s="196" t="inlineStr">
        <is>
          <t>研究人员</t>
        </is>
      </c>
      <c r="U389" s="196" t="inlineStr">
        <is>
          <t>学校或幼儿园</t>
        </is>
      </c>
      <c r="V389" s="196" t="inlineStr">
        <is>
          <t>加1–2种</t>
        </is>
      </c>
      <c r="W389" s="196" t="inlineStr">
        <is>
          <t>第一次Baseline A（会话1–5）vs第一次Treatment B（会话6–10）；第二轮A/B不另增加K。</t>
        </is>
      </c>
    </row>
    <row r="390" ht="57" customHeight="1" s="176">
      <c r="A390" s="195" t="inlineStr">
        <is>
          <t>K569</t>
        </is>
      </c>
      <c r="B390" s="195" t="inlineStr">
        <is>
          <t>061-二次</t>
        </is>
      </c>
      <c r="C390" s="195" t="inlineStr">
        <is>
          <t>Adrian</t>
        </is>
      </c>
      <c r="D390" s="196" t="inlineStr">
        <is>
          <t>干预</t>
        </is>
      </c>
      <c r="E390" s="195" t="inlineStr">
        <is>
          <t>6岁以下</t>
        </is>
      </c>
      <c r="F390" s="196" t="inlineStr">
        <is>
          <t>男</t>
        </is>
      </c>
      <c r="G390" s="198" t="inlineStr">
        <is>
          <t>不纳入该变量（原文未报告）</t>
        </is>
      </c>
      <c r="H390" s="196" t="inlineStr">
        <is>
          <t>同伴儿童（含兄弟姐妹）</t>
        </is>
      </c>
      <c r="I390" s="196" t="inlineStr">
        <is>
          <t>结合教学程序</t>
        </is>
      </c>
      <c r="J390" s="196" t="inlineStr">
        <is>
          <t>便携触屏设备</t>
        </is>
      </c>
      <c r="K390" s="195" t="inlineStr">
        <is>
          <t>10分钟及以下</t>
        </is>
      </c>
      <c r="L390" s="196" t="inlineStr">
        <is>
          <t>教室</t>
        </is>
      </c>
      <c r="M390" s="196" t="inlineStr">
        <is>
          <t>研究人员</t>
        </is>
      </c>
      <c r="N390" s="196" t="inlineStr">
        <is>
          <t>三项目标合计分；按确认分组归综合沟通，不拆分需求表达和游戏互动。只取第一轮A1–B1；第二轮不另加K；C改变目标构成不取。</t>
        </is>
      </c>
      <c r="O390" s="195" t="inlineStr">
        <is>
          <t>3岁；PDF6/519，Table 1</t>
        </is>
      </c>
      <c r="P390" s="196" t="inlineStr">
        <is>
          <t>正文PDF10/523：每名儿童每次完成三个目标平均不足10分钟；非整段1小时中心活动。</t>
        </is>
      </c>
      <c r="Q390" s="196" t="inlineStr">
        <is>
          <t>身体提示、表扬</t>
        </is>
      </c>
      <c r="R390" s="196" t="inlineStr">
        <is>
          <t>同伴儿童</t>
        </is>
      </c>
      <c r="S390" s="196" t="inlineStr">
        <is>
          <t>iPad</t>
        </is>
      </c>
      <c r="T390" s="196" t="inlineStr">
        <is>
          <t>研究人员</t>
        </is>
      </c>
      <c r="U390" s="196" t="inlineStr">
        <is>
          <t>学校或幼儿园</t>
        </is>
      </c>
      <c r="V390" s="196" t="inlineStr">
        <is>
          <t>加1–2种</t>
        </is>
      </c>
      <c r="W390" s="196" t="inlineStr">
        <is>
          <t>第一次Baseline A（会话1–5）vs第一次Treatment B（会话6–10）；第二轮A/B不另增加K。</t>
        </is>
      </c>
    </row>
    <row r="391" ht="57" customHeight="1" s="176">
      <c r="A391" s="195" t="inlineStr">
        <is>
          <t>K570</t>
        </is>
      </c>
      <c r="B391" s="195" t="inlineStr">
        <is>
          <t>061-二次</t>
        </is>
      </c>
      <c r="C391" s="195" t="inlineStr">
        <is>
          <t>Sue</t>
        </is>
      </c>
      <c r="D391" s="196" t="inlineStr">
        <is>
          <t>干预</t>
        </is>
      </c>
      <c r="E391" s="195" t="inlineStr">
        <is>
          <t>6岁以下</t>
        </is>
      </c>
      <c r="F391" s="196" t="inlineStr">
        <is>
          <t>女</t>
        </is>
      </c>
      <c r="G391" s="198" t="inlineStr">
        <is>
          <t>不纳入该变量（原文未报告）</t>
        </is>
      </c>
      <c r="H391" s="196" t="inlineStr">
        <is>
          <t>同伴儿童（含兄弟姐妹）</t>
        </is>
      </c>
      <c r="I391" s="196" t="inlineStr">
        <is>
          <t>结合教学程序</t>
        </is>
      </c>
      <c r="J391" s="196" t="inlineStr">
        <is>
          <t>便携触屏设备</t>
        </is>
      </c>
      <c r="K391" s="195" t="inlineStr">
        <is>
          <t>10分钟及以下</t>
        </is>
      </c>
      <c r="L391" s="196" t="inlineStr">
        <is>
          <t>教室</t>
        </is>
      </c>
      <c r="M391" s="196" t="inlineStr">
        <is>
          <t>研究人员</t>
        </is>
      </c>
      <c r="N391" s="196" t="inlineStr">
        <is>
          <t>三项目标合计分；按确认分组归综合沟通，不拆分需求表达和游戏互动。只取第一轮A1–B1；第二轮不另加K；C改变目标构成不取。</t>
        </is>
      </c>
      <c r="O391" s="195" t="inlineStr">
        <is>
          <t>4岁；PDF6/519，Table 1</t>
        </is>
      </c>
      <c r="P391" s="196" t="inlineStr">
        <is>
          <t>正文PDF10/523：每名儿童每次完成三个目标平均不足10分钟；非整段1小时中心活动。</t>
        </is>
      </c>
      <c r="Q391" s="196" t="inlineStr">
        <is>
          <t>身体提示、表扬</t>
        </is>
      </c>
      <c r="R391" s="196" t="inlineStr">
        <is>
          <t>同伴儿童</t>
        </is>
      </c>
      <c r="S391" s="196" t="inlineStr">
        <is>
          <t>iPad</t>
        </is>
      </c>
      <c r="T391" s="196" t="inlineStr">
        <is>
          <t>研究人员</t>
        </is>
      </c>
      <c r="U391" s="196" t="inlineStr">
        <is>
          <t>学校或幼儿园</t>
        </is>
      </c>
      <c r="V391" s="196" t="inlineStr">
        <is>
          <t>加1–2种</t>
        </is>
      </c>
      <c r="W391" s="196" t="inlineStr">
        <is>
          <t>第一次Baseline A（会话1–5）vs第一次Treatment B（会话6–10）；第二轮A/B不另增加K。</t>
        </is>
      </c>
    </row>
    <row r="392" ht="57" customHeight="1" s="176">
      <c r="A392" s="195" t="inlineStr">
        <is>
          <t>K571</t>
        </is>
      </c>
      <c r="B392" s="195" t="inlineStr">
        <is>
          <t>061-二次</t>
        </is>
      </c>
      <c r="C392" s="195" t="inlineStr">
        <is>
          <t>Wes</t>
        </is>
      </c>
      <c r="D392" s="196" t="inlineStr">
        <is>
          <t>干预</t>
        </is>
      </c>
      <c r="E392" s="195" t="inlineStr">
        <is>
          <t>6岁以下</t>
        </is>
      </c>
      <c r="F392" s="196" t="inlineStr">
        <is>
          <t>男</t>
        </is>
      </c>
      <c r="G392" s="198" t="inlineStr">
        <is>
          <t>不纳入该变量（原文未报告）</t>
        </is>
      </c>
      <c r="H392" s="196" t="inlineStr">
        <is>
          <t>同伴儿童（含兄弟姐妹）</t>
        </is>
      </c>
      <c r="I392" s="196" t="inlineStr">
        <is>
          <t>结合教学程序</t>
        </is>
      </c>
      <c r="J392" s="196" t="inlineStr">
        <is>
          <t>便携触屏设备</t>
        </is>
      </c>
      <c r="K392" s="195" t="inlineStr">
        <is>
          <t>10分钟及以下</t>
        </is>
      </c>
      <c r="L392" s="196" t="inlineStr">
        <is>
          <t>教室</t>
        </is>
      </c>
      <c r="M392" s="196" t="inlineStr">
        <is>
          <t>研究人员</t>
        </is>
      </c>
      <c r="N392" s="196" t="inlineStr">
        <is>
          <t>三项目标合计分；按确认分组归综合沟通，不拆分需求表达和游戏互动。只取第一轮A1–B1；第二轮不另加K；C改变目标构成不取。</t>
        </is>
      </c>
      <c r="O392" s="195" t="inlineStr">
        <is>
          <t>4岁；PDF6/519，Table 1</t>
        </is>
      </c>
      <c r="P392" s="196" t="inlineStr">
        <is>
          <t>正文PDF10/523：每名儿童每次完成三个目标平均不足10分钟；非整段1小时中心活动。</t>
        </is>
      </c>
      <c r="Q392" s="196" t="inlineStr">
        <is>
          <t>身体提示、表扬</t>
        </is>
      </c>
      <c r="R392" s="196" t="inlineStr">
        <is>
          <t>同伴儿童</t>
        </is>
      </c>
      <c r="S392" s="196" t="inlineStr">
        <is>
          <t>iPad</t>
        </is>
      </c>
      <c r="T392" s="196" t="inlineStr">
        <is>
          <t>研究人员</t>
        </is>
      </c>
      <c r="U392" s="196" t="inlineStr">
        <is>
          <t>学校或幼儿园</t>
        </is>
      </c>
      <c r="V392" s="196" t="inlineStr">
        <is>
          <t>加1–2种</t>
        </is>
      </c>
      <c r="W392" s="196" t="inlineStr">
        <is>
          <t>第一次Baseline A（会话1–5）vs第一次Treatment B（会话6–10）；第二轮A/B不另增加K。</t>
        </is>
      </c>
    </row>
    <row r="393" ht="57" customHeight="1" s="176">
      <c r="A393" s="195" t="inlineStr">
        <is>
          <t>K572</t>
        </is>
      </c>
      <c r="B393" s="195" t="inlineStr">
        <is>
          <t>061-二次</t>
        </is>
      </c>
      <c r="C393" s="195" t="inlineStr">
        <is>
          <t>Kade</t>
        </is>
      </c>
      <c r="D393" s="196" t="inlineStr">
        <is>
          <t>干预</t>
        </is>
      </c>
      <c r="E393" s="195" t="inlineStr">
        <is>
          <t>6岁以下</t>
        </is>
      </c>
      <c r="F393" s="196" t="inlineStr">
        <is>
          <t>男</t>
        </is>
      </c>
      <c r="G393" s="198" t="inlineStr">
        <is>
          <t>不纳入该变量（原文未报告）</t>
        </is>
      </c>
      <c r="H393" s="196" t="inlineStr">
        <is>
          <t>同伴儿童（含兄弟姐妹）</t>
        </is>
      </c>
      <c r="I393" s="196" t="inlineStr">
        <is>
          <t>结合教学程序</t>
        </is>
      </c>
      <c r="J393" s="196" t="inlineStr">
        <is>
          <t>便携触屏设备</t>
        </is>
      </c>
      <c r="K393" s="195" t="inlineStr">
        <is>
          <t>10分钟及以下</t>
        </is>
      </c>
      <c r="L393" s="196" t="inlineStr">
        <is>
          <t>教室</t>
        </is>
      </c>
      <c r="M393" s="196" t="inlineStr">
        <is>
          <t>研究人员</t>
        </is>
      </c>
      <c r="N393" s="196" t="inlineStr">
        <is>
          <t>三项目标合计分；按确认分组归综合沟通，不拆分需求表达和游戏互动。图2干预可辨9点，正文称10次，以图为准。</t>
        </is>
      </c>
      <c r="O393" s="195" t="inlineStr">
        <is>
          <t>3岁；PDF6/519，Table 1</t>
        </is>
      </c>
      <c r="P393" s="196" t="inlineStr">
        <is>
          <t>正文PDF10/523：每名儿童每次完成三个目标平均不足10分钟；非整段1小时中心活动。</t>
        </is>
      </c>
      <c r="Q393" s="196" t="inlineStr">
        <is>
          <t>身体提示、表扬</t>
        </is>
      </c>
      <c r="R393" s="196" t="inlineStr">
        <is>
          <t>同伴儿童</t>
        </is>
      </c>
      <c r="S393" s="196" t="inlineStr">
        <is>
          <t>iPad</t>
        </is>
      </c>
      <c r="T393" s="196" t="inlineStr">
        <is>
          <t>研究人员</t>
        </is>
      </c>
      <c r="U393" s="196" t="inlineStr">
        <is>
          <t>学校或幼儿园</t>
        </is>
      </c>
      <c r="V393" s="196" t="inlineStr">
        <is>
          <t>加1–2种</t>
        </is>
      </c>
      <c r="W393" s="196" t="inlineStr">
        <is>
          <t>两个首次VM前Baseline A（会话1–10）vs连续两个Treatment B（会话11–19）；B1五点、B2四点。</t>
        </is>
      </c>
    </row>
    <row r="394" ht="57" customHeight="1" s="176">
      <c r="A394" s="195" t="inlineStr">
        <is>
          <t>K573</t>
        </is>
      </c>
      <c r="B394" s="195" t="inlineStr">
        <is>
          <t>061-二次</t>
        </is>
      </c>
      <c r="C394" s="195" t="inlineStr">
        <is>
          <t>Hank</t>
        </is>
      </c>
      <c r="D394" s="196" t="inlineStr">
        <is>
          <t>干预</t>
        </is>
      </c>
      <c r="E394" s="195" t="inlineStr">
        <is>
          <t>6岁以下</t>
        </is>
      </c>
      <c r="F394" s="196" t="inlineStr">
        <is>
          <t>男</t>
        </is>
      </c>
      <c r="G394" s="198" t="inlineStr">
        <is>
          <t>不纳入该变量（原文未报告）</t>
        </is>
      </c>
      <c r="H394" s="196" t="inlineStr">
        <is>
          <t>同伴儿童（含兄弟姐妹）</t>
        </is>
      </c>
      <c r="I394" s="196" t="inlineStr">
        <is>
          <t>结合教学程序</t>
        </is>
      </c>
      <c r="J394" s="196" t="inlineStr">
        <is>
          <t>便携触屏设备</t>
        </is>
      </c>
      <c r="K394" s="195" t="inlineStr">
        <is>
          <t>10分钟及以下</t>
        </is>
      </c>
      <c r="L394" s="196" t="inlineStr">
        <is>
          <t>教室</t>
        </is>
      </c>
      <c r="M394" s="196" t="inlineStr">
        <is>
          <t>研究人员</t>
        </is>
      </c>
      <c r="N394" s="196" t="inlineStr">
        <is>
          <t>三项目标合计分；按确认分组归综合沟通，不拆分需求表达和游戏互动。图2干预可辨9点，正文称10次，以图为准。</t>
        </is>
      </c>
      <c r="O394" s="195" t="inlineStr">
        <is>
          <t>4岁；PDF6/519，Table 1</t>
        </is>
      </c>
      <c r="P394" s="196" t="inlineStr">
        <is>
          <t>正文PDF10/523：每名儿童每次完成三个目标平均不足10分钟；非整段1小时中心活动。</t>
        </is>
      </c>
      <c r="Q394" s="196" t="inlineStr">
        <is>
          <t>身体提示、表扬</t>
        </is>
      </c>
      <c r="R394" s="196" t="inlineStr">
        <is>
          <t>同伴儿童</t>
        </is>
      </c>
      <c r="S394" s="196" t="inlineStr">
        <is>
          <t>iPad</t>
        </is>
      </c>
      <c r="T394" s="196" t="inlineStr">
        <is>
          <t>研究人员</t>
        </is>
      </c>
      <c r="U394" s="196" t="inlineStr">
        <is>
          <t>学校或幼儿园</t>
        </is>
      </c>
      <c r="V394" s="196" t="inlineStr">
        <is>
          <t>加1–2种</t>
        </is>
      </c>
      <c r="W394" s="196" t="inlineStr">
        <is>
          <t>两个首次VM前Baseline A（会话1–10）vs连续两个Treatment B（会话11–19）；B1五点、B2四点。</t>
        </is>
      </c>
    </row>
    <row r="395" ht="57" customHeight="1" s="176"/>
    <row r="396" ht="57" customHeight="1" s="176"/>
    <row r="397" ht="15" customHeight="1" s="176"/>
    <row r="398" ht="15" customHeight="1" s="176"/>
    <row r="399" ht="15" customHeight="1" s="176"/>
    <row r="400" ht="15" customHeight="1" s="176"/>
    <row r="401" ht="15" customHeight="1" s="176"/>
    <row r="402" ht="15" customHeight="1" s="176"/>
    <row r="403" ht="15" customHeight="1" s="176"/>
    <row r="404" ht="15" customHeight="1" s="176"/>
    <row r="405" ht="15" customHeight="1" s="176"/>
    <row r="406" ht="15" customHeight="1" s="176"/>
    <row r="407" ht="15" customHeight="1" s="176"/>
    <row r="408" ht="15" customHeight="1" s="176"/>
    <row r="409" ht="135" customHeight="1" s="176"/>
    <row r="410" ht="135" customHeight="1" s="176"/>
    <row r="411" ht="135" customHeight="1" s="176"/>
    <row r="412" ht="135" customHeight="1" s="176"/>
    <row r="413" ht="135" customHeight="1" s="176"/>
    <row r="414" ht="135" customHeight="1" s="176"/>
    <row r="415" ht="135" customHeight="1" s="176"/>
    <row r="416" ht="135" customHeight="1" s="176"/>
    <row r="417" ht="135" customHeight="1" s="176"/>
    <row r="418" ht="135" customHeight="1" s="176"/>
    <row r="419" ht="135" customHeight="1" s="176"/>
    <row r="420" ht="135" customHeight="1" s="176"/>
    <row r="421" ht="84" customHeight="1" s="176"/>
    <row r="422" ht="84" customHeight="1" s="176"/>
    <row r="423" ht="84" customHeight="1" s="176"/>
    <row r="424" ht="84" customHeight="1" s="176"/>
    <row r="425" ht="84" customHeight="1" s="176"/>
    <row r="426" ht="84" customHeight="1" s="176"/>
    <row r="427" ht="84" customHeight="1" s="176"/>
    <row r="428" ht="84" customHeight="1" s="176"/>
    <row r="429" ht="84" customHeight="1" s="176"/>
    <row r="430" ht="84" customHeight="1" s="176"/>
  </sheetData>
  <autoFilter ref="A1:W39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394"/>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7" customWidth="1" style="175" min="1" max="1"/>
    <col width="11" customWidth="1" style="175" min="2" max="2"/>
    <col width="10" customWidth="1" style="175" min="3" max="3"/>
    <col width="7" customWidth="1" style="175" min="4" max="4"/>
    <col width="34" customWidth="1" style="175" min="5" max="5"/>
    <col width="40" customWidth="1" style="175" min="6" max="6"/>
    <col width="7" customWidth="1" style="175" min="7" max="7"/>
    <col width="30" customWidth="1" style="175" min="8" max="8"/>
    <col width="7" customWidth="1" style="175" min="9" max="9"/>
    <col width="10" customWidth="1" style="175" min="10" max="10"/>
    <col width="9" customWidth="1" style="175" min="11" max="13"/>
    <col width="72" customWidth="1" style="175" min="14" max="14"/>
  </cols>
  <sheetData>
    <row r="1" ht="29.25" customHeight="1" s="176">
      <c r="A1" s="199" t="inlineStr">
        <is>
          <t>K编号</t>
        </is>
      </c>
      <c r="B1" s="200" t="inlineStr">
        <is>
          <t>文献编号</t>
        </is>
      </c>
      <c r="C1" s="200" t="inlineStr">
        <is>
          <t>儿童</t>
        </is>
      </c>
      <c r="D1" s="200" t="inlineStr">
        <is>
          <t>比较类型</t>
        </is>
      </c>
      <c r="E1" s="200" t="inlineStr">
        <is>
          <t>比较的两段（K清单）</t>
        </is>
      </c>
      <c r="F1" s="200" t="inlineStr">
        <is>
          <t>前段数值（按会话顺序）</t>
        </is>
      </c>
      <c r="G1" s="200" t="inlineStr">
        <is>
          <t>前段点数</t>
        </is>
      </c>
      <c r="H1" s="200" t="inlineStr">
        <is>
          <t>后段数值（按会话顺序）</t>
        </is>
      </c>
      <c r="I1" s="200" t="inlineStr">
        <is>
          <t>后段点数</t>
        </is>
      </c>
      <c r="J1" s="200" t="inlineStr">
        <is>
          <t>改善方向</t>
        </is>
      </c>
      <c r="K1" s="200" t="inlineStr">
        <is>
          <t>基线趋势τ</t>
        </is>
      </c>
      <c r="L1" s="200" t="inlineStr">
        <is>
          <t>基线趋势p</t>
        </is>
      </c>
      <c r="M1" s="200" t="inlineStr">
        <is>
          <t>是否校正</t>
        </is>
      </c>
      <c r="N1" s="200" t="inlineStr">
        <is>
          <t>图位置（图号／PDF页／面板／符号）</t>
        </is>
      </c>
    </row>
    <row r="2" ht="45" customHeight="1" s="176">
      <c r="A2" s="201" t="inlineStr">
        <is>
          <t>K001</t>
        </is>
      </c>
      <c r="B2" s="201" t="inlineStr">
        <is>
          <t>001-二次</t>
        </is>
      </c>
      <c r="C2" s="201" t="inlineStr">
        <is>
          <t>Otto</t>
        </is>
      </c>
      <c r="D2" s="202" t="inlineStr">
        <is>
          <t>干预</t>
        </is>
      </c>
      <c r="E2" s="178" t="inlineStr">
        <is>
          <t>Baseline vs Video-only 段</t>
        </is>
      </c>
      <c r="F2" s="178" t="inlineStr">
        <is>
          <t>0, 0, 40, 20, 0, 0, 0, 0</t>
        </is>
      </c>
      <c r="G2" s="201">
        <f>IF(F2="","",LEN(F2)-LEN(SUBSTITUTE(F2,",",""))+1)</f>
        <v/>
      </c>
      <c r="H2" s="178" t="inlineStr">
        <is>
          <t>25, 25, 0, 0, 25</t>
        </is>
      </c>
      <c r="I2" s="201">
        <f>IF(H2="","",LEN(H2)-LEN(SUBSTITUTE(H2,",",""))+1)</f>
        <v/>
      </c>
      <c r="J2" s="202" t="inlineStr">
        <is>
          <t>升高改善</t>
        </is>
      </c>
      <c r="K2" s="203" t="n">
        <v>-0.262</v>
      </c>
      <c r="L2" s="203" t="n">
        <v>0.411</v>
      </c>
      <c r="M2" s="201">
        <f>IF(OR(K2="",L2=""),"",IF(AND(L2&lt;0.05,OR(AND(J2="升高改善",K2&gt;0),AND(J2="降低改善",K2&lt;0))),"校正","不校正"))</f>
        <v/>
      </c>
      <c r="N2" s="178" t="inlineStr">
        <is>
          <t>Figure 1，PDF第7页/印刷101页，上面板；符号见原图图例</t>
        </is>
      </c>
    </row>
    <row r="3" ht="45" customHeight="1" s="176">
      <c r="A3" s="201" t="inlineStr">
        <is>
          <t>K002</t>
        </is>
      </c>
      <c r="B3" s="201" t="inlineStr">
        <is>
          <t>001-二次</t>
        </is>
      </c>
      <c r="C3" s="201" t="inlineStr">
        <is>
          <t>Otto</t>
        </is>
      </c>
      <c r="D3" s="202" t="inlineStr">
        <is>
          <t>维持</t>
        </is>
      </c>
      <c r="E3" s="178" t="inlineStr">
        <is>
          <t>Baseline vs Maintenance</t>
        </is>
      </c>
      <c r="F3" s="178" t="inlineStr">
        <is>
          <t>0, 0, 40, 20, 0, 0, 0, 0</t>
        </is>
      </c>
      <c r="G3" s="201">
        <f>IF(F3="","",LEN(F3)-LEN(SUBSTITUTE(F3,",",""))+1)</f>
        <v/>
      </c>
      <c r="H3" s="178" t="inlineStr">
        <is>
          <t>75, 0, 25, 25</t>
        </is>
      </c>
      <c r="I3" s="201">
        <f>IF(H3="","",LEN(H3)-LEN(SUBSTITUTE(H3,",",""))+1)</f>
        <v/>
      </c>
      <c r="J3" s="202" t="inlineStr">
        <is>
          <t>升高改善</t>
        </is>
      </c>
      <c r="K3" s="203" t="n">
        <v>-0.262</v>
      </c>
      <c r="L3" s="203" t="n">
        <v>0.411</v>
      </c>
      <c r="M3" s="201">
        <f>IF(OR(K3="",L3=""),"",IF(AND(L3&lt;0.05,OR(AND(J3="升高改善",K3&gt;0),AND(J3="降低改善",K3&lt;0))),"校正","不校正"))</f>
        <v/>
      </c>
      <c r="N3" s="178" t="inlineStr">
        <is>
          <t>Figure 1，PDF第7页/印刷101页，上面板；符号见原图图例</t>
        </is>
      </c>
    </row>
    <row r="4" ht="45" customHeight="1" s="176">
      <c r="A4" s="201" t="inlineStr">
        <is>
          <t>K004</t>
        </is>
      </c>
      <c r="B4" s="201" t="inlineStr">
        <is>
          <t>001-二次</t>
        </is>
      </c>
      <c r="C4" s="201" t="inlineStr">
        <is>
          <t>Otto</t>
        </is>
      </c>
      <c r="D4" s="202" t="inlineStr">
        <is>
          <t>干预</t>
        </is>
      </c>
      <c r="E4" s="178" t="inlineStr">
        <is>
          <t>Baseline vs Video-only 段</t>
        </is>
      </c>
      <c r="F4" s="178" t="inlineStr">
        <is>
          <t>50, 50, 50, 75, 25, 25, 50, 25, 25, 50, 25, 25</t>
        </is>
      </c>
      <c r="G4" s="201">
        <f>IF(F4="","",LEN(F4)-LEN(SUBSTITUTE(F4,",",""))+1)</f>
        <v/>
      </c>
      <c r="H4" s="178" t="inlineStr">
        <is>
          <t>25, 50, 25, 75, 25</t>
        </is>
      </c>
      <c r="I4" s="201">
        <f>IF(H4="","",LEN(H4)-LEN(SUBSTITUTE(H4,",",""))+1)</f>
        <v/>
      </c>
      <c r="J4" s="202" t="inlineStr">
        <is>
          <t>升高改善</t>
        </is>
      </c>
      <c r="K4" s="203" t="n">
        <v>-0.442</v>
      </c>
      <c r="L4" s="203" t="n">
        <v>0.076</v>
      </c>
      <c r="M4" s="201">
        <f>IF(OR(K4="",L4=""),"",IF(AND(L4&lt;0.05,OR(AND(J4="升高改善",K4&gt;0),AND(J4="降低改善",K4&lt;0))),"校正","不校正"))</f>
        <v/>
      </c>
      <c r="N4" s="178" t="inlineStr">
        <is>
          <t>Figure 1，PDF第7页/印刷101页，下面板；符号见原图图例</t>
        </is>
      </c>
    </row>
    <row r="5" ht="45" customHeight="1" s="176">
      <c r="A5" s="201" t="inlineStr">
        <is>
          <t>K005</t>
        </is>
      </c>
      <c r="B5" s="201" t="inlineStr">
        <is>
          <t>001-二次</t>
        </is>
      </c>
      <c r="C5" s="201" t="inlineStr">
        <is>
          <t>Lars</t>
        </is>
      </c>
      <c r="D5" s="202" t="inlineStr">
        <is>
          <t>干预</t>
        </is>
      </c>
      <c r="E5" s="178" t="inlineStr">
        <is>
          <t>Baseline vs Video-only 段</t>
        </is>
      </c>
      <c r="F5" s="178" t="inlineStr">
        <is>
          <t>0, 0, 0, 0, 0, 0, 0, 50, 0</t>
        </is>
      </c>
      <c r="G5" s="201">
        <f>IF(F5="","",LEN(F5)-LEN(SUBSTITUTE(F5,",",""))+1)</f>
        <v/>
      </c>
      <c r="H5" s="178" t="inlineStr">
        <is>
          <t>100, 25, 0, 0, 0</t>
        </is>
      </c>
      <c r="I5" s="201">
        <f>IF(H5="","",LEN(H5)-LEN(SUBSTITUTE(H5,",",""))+1)</f>
        <v/>
      </c>
      <c r="J5" s="202" t="inlineStr">
        <is>
          <t>升高改善</t>
        </is>
      </c>
      <c r="K5" s="203" t="n">
        <v>0.354</v>
      </c>
      <c r="L5" s="203" t="n">
        <v>0.245</v>
      </c>
      <c r="M5" s="201">
        <f>IF(OR(K5="",L5=""),"",IF(AND(L5&lt;0.05,OR(AND(J5="升高改善",K5&gt;0),AND(J5="降低改善",K5&lt;0))),"校正","不校正"))</f>
        <v/>
      </c>
      <c r="N5" s="178" t="inlineStr">
        <is>
          <t>Figure 2，PDF第8页/印刷102页，上面板；符号见原图图例</t>
        </is>
      </c>
    </row>
    <row r="6" ht="45" customHeight="1" s="176">
      <c r="A6" s="201" t="inlineStr">
        <is>
          <t>K006</t>
        </is>
      </c>
      <c r="B6" s="201" t="inlineStr">
        <is>
          <t>001-二次</t>
        </is>
      </c>
      <c r="C6" s="201" t="inlineStr">
        <is>
          <t>Lars</t>
        </is>
      </c>
      <c r="D6" s="202" t="inlineStr">
        <is>
          <t>维持</t>
        </is>
      </c>
      <c r="E6" s="178" t="inlineStr">
        <is>
          <t>Baseline vs Maintenance</t>
        </is>
      </c>
      <c r="F6" s="178" t="inlineStr">
        <is>
          <t>0, 0, 0, 0, 0, 0, 0, 50, 0</t>
        </is>
      </c>
      <c r="G6" s="201">
        <f>IF(F6="","",LEN(F6)-LEN(SUBSTITUTE(F6,",",""))+1)</f>
        <v/>
      </c>
      <c r="H6" s="178" t="inlineStr">
        <is>
          <t>75, 50, 50, 0</t>
        </is>
      </c>
      <c r="I6" s="201">
        <f>IF(H6="","",LEN(H6)-LEN(SUBSTITUTE(H6,",",""))+1)</f>
        <v/>
      </c>
      <c r="J6" s="202" t="inlineStr">
        <is>
          <t>升高改善</t>
        </is>
      </c>
      <c r="K6" s="203" t="n">
        <v>0.354</v>
      </c>
      <c r="L6" s="203" t="n">
        <v>0.245</v>
      </c>
      <c r="M6" s="201">
        <f>IF(OR(K6="",L6=""),"",IF(AND(L6&lt;0.05,OR(AND(J6="升高改善",K6&gt;0),AND(J6="降低改善",K6&lt;0))),"校正","不校正"))</f>
        <v/>
      </c>
      <c r="N6" s="178" t="inlineStr">
        <is>
          <t>Figure 2，PDF第8页/印刷102页，上面板；符号见原图图例</t>
        </is>
      </c>
    </row>
    <row r="7" ht="45" customHeight="1" s="176">
      <c r="A7" s="201" t="inlineStr">
        <is>
          <t>K008</t>
        </is>
      </c>
      <c r="B7" s="201" t="inlineStr">
        <is>
          <t>001-二次</t>
        </is>
      </c>
      <c r="C7" s="201" t="inlineStr">
        <is>
          <t>Lars</t>
        </is>
      </c>
      <c r="D7" s="202" t="inlineStr">
        <is>
          <t>干预</t>
        </is>
      </c>
      <c r="E7" s="178" t="inlineStr">
        <is>
          <t>Baseline vs Video-only 段</t>
        </is>
      </c>
      <c r="F7" s="178" t="inlineStr">
        <is>
          <t>25, 25, 25, 50, 0, 0, 0, 0, 25, 0, 25, 0</t>
        </is>
      </c>
      <c r="G7" s="201">
        <f>IF(F7="","",LEN(F7)-LEN(SUBSTITUTE(F7,",",""))+1)</f>
        <v/>
      </c>
      <c r="H7" s="178" t="inlineStr">
        <is>
          <t>0, 25, 25, 25, 0</t>
        </is>
      </c>
      <c r="I7" s="201">
        <f>IF(H7="","",LEN(H7)-LEN(SUBSTITUTE(H7,",",""))+1)</f>
        <v/>
      </c>
      <c r="J7" s="202" t="inlineStr">
        <is>
          <t>升高改善</t>
        </is>
      </c>
      <c r="K7" s="203" t="n">
        <v>-0.327</v>
      </c>
      <c r="L7" s="203" t="n">
        <v>0.189</v>
      </c>
      <c r="M7" s="201">
        <f>IF(OR(K7="",L7=""),"",IF(AND(L7&lt;0.05,OR(AND(J7="升高改善",K7&gt;0),AND(J7="降低改善",K7&lt;0))),"校正","不校正"))</f>
        <v/>
      </c>
      <c r="N7" s="178" t="inlineStr">
        <is>
          <t>Figure 2，PDF第8页/印刷102页，下面板；符号见原图图例</t>
        </is>
      </c>
    </row>
    <row r="8" ht="45" customHeight="1" s="176">
      <c r="A8" s="201" t="inlineStr">
        <is>
          <t>K009</t>
        </is>
      </c>
      <c r="B8" s="201" t="inlineStr">
        <is>
          <t>001-二次</t>
        </is>
      </c>
      <c r="C8" s="201" t="inlineStr">
        <is>
          <t>Trish</t>
        </is>
      </c>
      <c r="D8" s="202" t="inlineStr">
        <is>
          <t>干预</t>
        </is>
      </c>
      <c r="E8" s="178" t="inlineStr">
        <is>
          <t>Baseline vs Video-only 段</t>
        </is>
      </c>
      <c r="F8" s="178" t="inlineStr">
        <is>
          <t>0, 100, 25, 0, 0, 25, 0, 20</t>
        </is>
      </c>
      <c r="G8" s="201">
        <f>IF(F8="","",LEN(F8)-LEN(SUBSTITUTE(F8,",",""))+1)</f>
        <v/>
      </c>
      <c r="H8" s="178" t="inlineStr">
        <is>
          <t>25, 100, 25, 75, 75</t>
        </is>
      </c>
      <c r="I8" s="201">
        <f>IF(H8="","",LEN(H8)-LEN(SUBSTITUTE(H8,",",""))+1)</f>
        <v/>
      </c>
      <c r="J8" s="202" t="inlineStr">
        <is>
          <t>升高改善</t>
        </is>
      </c>
      <c r="K8" s="203" t="n">
        <v>-0.124</v>
      </c>
      <c r="L8" s="203" t="n">
        <v>0.6879999999999999</v>
      </c>
      <c r="M8" s="201">
        <f>IF(OR(K8="",L8=""),"",IF(AND(L8&lt;0.05,OR(AND(J8="升高改善",K8&gt;0),AND(J8="降低改善",K8&lt;0))),"校正","不校正"))</f>
        <v/>
      </c>
      <c r="N8" s="178" t="inlineStr">
        <is>
          <t>Figure 3，PDF第9页/印刷103页，上面板；符号见原图图例</t>
        </is>
      </c>
    </row>
    <row r="9" ht="45" customHeight="1" s="176">
      <c r="A9" s="201" t="inlineStr">
        <is>
          <t>K010</t>
        </is>
      </c>
      <c r="B9" s="201" t="inlineStr">
        <is>
          <t>001-二次</t>
        </is>
      </c>
      <c r="C9" s="201" t="inlineStr">
        <is>
          <t>Trish</t>
        </is>
      </c>
      <c r="D9" s="202" t="inlineStr">
        <is>
          <t>干预</t>
        </is>
      </c>
      <c r="E9" s="178" t="inlineStr">
        <is>
          <t>Baseline vs Video-only 段</t>
        </is>
      </c>
      <c r="F9" s="178" t="inlineStr">
        <is>
          <t>100, 0, 0, 0, 0, 25, 75, 0, 25, 25, 50, 25</t>
        </is>
      </c>
      <c r="G9" s="201">
        <f>IF(F9="","",LEN(F9)-LEN(SUBSTITUTE(F9,",",""))+1)</f>
        <v/>
      </c>
      <c r="H9" s="178" t="inlineStr">
        <is>
          <t>50, 50, 25, 25, 50</t>
        </is>
      </c>
      <c r="I9" s="201">
        <f>IF(H9="","",LEN(H9)-LEN(SUBSTITUTE(H9,",",""))+1)</f>
        <v/>
      </c>
      <c r="J9" s="202" t="inlineStr">
        <is>
          <t>升高改善</t>
        </is>
      </c>
      <c r="K9" s="203" t="n">
        <v>0.244</v>
      </c>
      <c r="L9" s="203" t="n">
        <v>0.306</v>
      </c>
      <c r="M9" s="201">
        <f>IF(OR(K9="",L9=""),"",IF(AND(L9&lt;0.05,OR(AND(J9="升高改善",K9&gt;0),AND(J9="降低改善",K9&lt;0))),"校正","不校正"))</f>
        <v/>
      </c>
      <c r="N9" s="178" t="inlineStr">
        <is>
          <t>Figure 3，PDF第9页/印刷103页，下面板；符号见原图图例</t>
        </is>
      </c>
    </row>
    <row r="10" ht="45" customHeight="1" s="176">
      <c r="A10" s="201" t="inlineStr">
        <is>
          <t>K011</t>
        </is>
      </c>
      <c r="B10" s="201" t="inlineStr">
        <is>
          <t>002-二次</t>
        </is>
      </c>
      <c r="C10" s="201" t="inlineStr">
        <is>
          <t>Taylor</t>
        </is>
      </c>
      <c r="D10" s="202" t="inlineStr">
        <is>
          <t>干预</t>
        </is>
      </c>
      <c r="E10" s="178" t="inlineStr">
        <is>
          <t>Training BL vs INT</t>
        </is>
      </c>
      <c r="F10" s="178" t="inlineStr">
        <is>
          <t>60, 60, 60</t>
        </is>
      </c>
      <c r="G10" s="201">
        <f>IF(F10="","",LEN(F10)-LEN(SUBSTITUTE(F10,",",""))+1)</f>
        <v/>
      </c>
      <c r="H10" s="178" t="inlineStr">
        <is>
          <t>100, 100, 100</t>
        </is>
      </c>
      <c r="I10" s="201">
        <f>IF(H10="","",LEN(H10)-LEN(SUBSTITUTE(H10,",",""))+1)</f>
        <v/>
      </c>
      <c r="J10" s="202" t="inlineStr">
        <is>
          <t>升高改善</t>
        </is>
      </c>
      <c r="K10" s="203" t="n">
        <v>0</v>
      </c>
      <c r="L10" s="203" t="n">
        <v>1</v>
      </c>
      <c r="M10" s="201">
        <f>IF(OR(K10="",L10=""),"",IF(AND(L10&lt;0.05,OR(AND(J10="升高改善",K10&gt;0),AND(J10="降低改善",K10&lt;0))),"校正","不校正"))</f>
        <v/>
      </c>
      <c r="N10" s="178" t="inlineStr">
        <is>
          <t>Figure 2，PDF第5页，第1面板（从上到下），Training实心圆系列</t>
        </is>
      </c>
    </row>
    <row r="11" ht="45" customHeight="1" s="176">
      <c r="A11" s="201" t="inlineStr">
        <is>
          <t>K012</t>
        </is>
      </c>
      <c r="B11" s="201" t="inlineStr">
        <is>
          <t>002-二次</t>
        </is>
      </c>
      <c r="C11" s="201" t="inlineStr">
        <is>
          <t>Taylor</t>
        </is>
      </c>
      <c r="D11" s="202" t="inlineStr">
        <is>
          <t>维持</t>
        </is>
      </c>
      <c r="E11" s="178" t="inlineStr">
        <is>
          <t>Training BL vs MT</t>
        </is>
      </c>
      <c r="F11" s="178" t="inlineStr">
        <is>
          <t>60, 60, 60</t>
        </is>
      </c>
      <c r="G11" s="201">
        <f>IF(F11="","",LEN(F11)-LEN(SUBSTITUTE(F11,",",""))+1)</f>
        <v/>
      </c>
      <c r="H11" s="178" t="inlineStr">
        <is>
          <t>100, 100, 100, 100</t>
        </is>
      </c>
      <c r="I11" s="201">
        <f>IF(H11="","",LEN(H11)-LEN(SUBSTITUTE(H11,",",""))+1)</f>
        <v/>
      </c>
      <c r="J11" s="202" t="inlineStr">
        <is>
          <t>升高改善</t>
        </is>
      </c>
      <c r="K11" s="203" t="n">
        <v>0</v>
      </c>
      <c r="L11" s="203" t="n">
        <v>1</v>
      </c>
      <c r="M11" s="201">
        <f>IF(OR(K11="",L11=""),"",IF(AND(L11&lt;0.05,OR(AND(J11="升高改善",K11&gt;0),AND(J11="降低改善",K11&lt;0))),"校正","不校正"))</f>
        <v/>
      </c>
      <c r="N11" s="178" t="inlineStr">
        <is>
          <t>Figure 2，PDF第5页，第1面板（从上到下），Training实心圆系列</t>
        </is>
      </c>
    </row>
    <row r="12" ht="45" customHeight="1" s="176">
      <c r="A12" s="201" t="inlineStr">
        <is>
          <t>K013</t>
        </is>
      </c>
      <c r="B12" s="201" t="inlineStr">
        <is>
          <t>002-二次</t>
        </is>
      </c>
      <c r="C12" s="201" t="inlineStr">
        <is>
          <t>Taylor</t>
        </is>
      </c>
      <c r="D12" s="202" t="inlineStr">
        <is>
          <t>泛化</t>
        </is>
      </c>
      <c r="E12" s="178" t="inlineStr">
        <is>
          <t>Generalization BL（干预前）vs INT 期泛化探测</t>
        </is>
      </c>
      <c r="F12" s="178" t="inlineStr">
        <is>
          <t>80, 80, 80</t>
        </is>
      </c>
      <c r="G12" s="201">
        <f>IF(F12="","",LEN(F12)-LEN(SUBSTITUTE(F12,",",""))+1)</f>
        <v/>
      </c>
      <c r="H12" s="178" t="inlineStr">
        <is>
          <t>100, 100, 100</t>
        </is>
      </c>
      <c r="I12" s="201">
        <f>IF(H12="","",LEN(H12)-LEN(SUBSTITUTE(H12,",",""))+1)</f>
        <v/>
      </c>
      <c r="J12" s="202" t="inlineStr">
        <is>
          <t>升高改善</t>
        </is>
      </c>
      <c r="K12" s="203" t="n">
        <v>0</v>
      </c>
      <c r="L12" s="203" t="n">
        <v>1</v>
      </c>
      <c r="M12" s="201">
        <f>IF(OR(K12="",L12=""),"",IF(AND(L12&lt;0.05,OR(AND(J12="升高改善",K12&gt;0),AND(J12="降低改善",K12&lt;0))),"校正","不校正"))</f>
        <v/>
      </c>
      <c r="N12" s="178" t="inlineStr">
        <is>
          <t>Figure 2，PDF第5页，第1面板（从上到下），Generalization空心倒三角系列</t>
        </is>
      </c>
    </row>
    <row r="13" ht="45" customHeight="1" s="176">
      <c r="A13" s="201" t="inlineStr">
        <is>
          <t>K014</t>
        </is>
      </c>
      <c r="B13" s="201" t="inlineStr">
        <is>
          <t>002-二次</t>
        </is>
      </c>
      <c r="C13" s="201" t="inlineStr">
        <is>
          <t>Taylor</t>
        </is>
      </c>
      <c r="D13" s="202" t="inlineStr">
        <is>
          <t>干预</t>
        </is>
      </c>
      <c r="E13" s="178" t="inlineStr">
        <is>
          <t>Training BL vs INT</t>
        </is>
      </c>
      <c r="F13" s="178" t="inlineStr">
        <is>
          <t>66, 33, 17, 33, 33, 33</t>
        </is>
      </c>
      <c r="G13" s="201">
        <f>IF(F13="","",LEN(F13)-LEN(SUBSTITUTE(F13,",",""))+1)</f>
        <v/>
      </c>
      <c r="H13" s="178" t="inlineStr">
        <is>
          <t>100, 83, 100, 100, 100</t>
        </is>
      </c>
      <c r="I13" s="201">
        <f>IF(H13="","",LEN(H13)-LEN(SUBSTITUTE(H13,",",""))+1)</f>
        <v/>
      </c>
      <c r="J13" s="202" t="inlineStr">
        <is>
          <t>升高改善</t>
        </is>
      </c>
      <c r="K13" s="203" t="n">
        <v>-0.258</v>
      </c>
      <c r="L13" s="203" t="n">
        <v>0.499</v>
      </c>
      <c r="M13" s="201">
        <f>IF(OR(K13="",L13=""),"",IF(AND(L13&lt;0.05,OR(AND(J13="升高改善",K13&gt;0),AND(J13="降低改善",K13&lt;0))),"校正","不校正"))</f>
        <v/>
      </c>
      <c r="N13" s="178" t="inlineStr">
        <is>
          <t>Figure 2，PDF第5页，第2面板（从上到下），Training实心圆系列</t>
        </is>
      </c>
    </row>
    <row r="14" ht="45" customHeight="1" s="176">
      <c r="A14" s="201" t="inlineStr">
        <is>
          <t>K015</t>
        </is>
      </c>
      <c r="B14" s="201" t="inlineStr">
        <is>
          <t>002-二次</t>
        </is>
      </c>
      <c r="C14" s="201" t="inlineStr">
        <is>
          <t>Taylor</t>
        </is>
      </c>
      <c r="D14" s="202" t="inlineStr">
        <is>
          <t>维持</t>
        </is>
      </c>
      <c r="E14" s="178" t="inlineStr">
        <is>
          <t>Training BL vs MT</t>
        </is>
      </c>
      <c r="F14" s="178" t="inlineStr">
        <is>
          <t>66, 33, 17, 33, 33, 33</t>
        </is>
      </c>
      <c r="G14" s="201">
        <f>IF(F14="","",LEN(F14)-LEN(SUBSTITUTE(F14,",",""))+1)</f>
        <v/>
      </c>
      <c r="H14" s="178" t="inlineStr">
        <is>
          <t>83, 100, 100</t>
        </is>
      </c>
      <c r="I14" s="201">
        <f>IF(H14="","",LEN(H14)-LEN(SUBSTITUTE(H14,",",""))+1)</f>
        <v/>
      </c>
      <c r="J14" s="202" t="inlineStr">
        <is>
          <t>升高改善</t>
        </is>
      </c>
      <c r="K14" s="203" t="n">
        <v>-0.258</v>
      </c>
      <c r="L14" s="203" t="n">
        <v>0.499</v>
      </c>
      <c r="M14" s="201">
        <f>IF(OR(K14="",L14=""),"",IF(AND(L14&lt;0.05,OR(AND(J14="升高改善",K14&gt;0),AND(J14="降低改善",K14&lt;0))),"校正","不校正"))</f>
        <v/>
      </c>
      <c r="N14" s="178" t="inlineStr">
        <is>
          <t>Figure 2，PDF第5页，第2面板（从上到下），Training实心圆系列</t>
        </is>
      </c>
    </row>
    <row r="15" ht="45" customHeight="1" s="176">
      <c r="A15" s="201" t="inlineStr">
        <is>
          <t>K016</t>
        </is>
      </c>
      <c r="B15" s="201" t="inlineStr">
        <is>
          <t>002-二次</t>
        </is>
      </c>
      <c r="C15" s="201" t="inlineStr">
        <is>
          <t>Taylor</t>
        </is>
      </c>
      <c r="D15" s="202" t="inlineStr">
        <is>
          <t>泛化</t>
        </is>
      </c>
      <c r="E15" s="178" t="inlineStr">
        <is>
          <t>Generalization BL（干预前）vs INT 期泛化探测</t>
        </is>
      </c>
      <c r="F15" s="178" t="inlineStr">
        <is>
          <t>66, 66, 66, 33</t>
        </is>
      </c>
      <c r="G15" s="201">
        <f>IF(F15="","",LEN(F15)-LEN(SUBSTITUTE(F15,",",""))+1)</f>
        <v/>
      </c>
      <c r="H15" s="178" t="inlineStr">
        <is>
          <t>83, 100, 100</t>
        </is>
      </c>
      <c r="I15" s="201">
        <f>IF(H15="","",LEN(H15)-LEN(SUBSTITUTE(H15,",",""))+1)</f>
        <v/>
      </c>
      <c r="J15" s="202" t="inlineStr">
        <is>
          <t>升高改善</t>
        </is>
      </c>
      <c r="K15" s="203" t="n">
        <v>-0.707</v>
      </c>
      <c r="L15" s="203" t="n">
        <v>0.18</v>
      </c>
      <c r="M15" s="201">
        <f>IF(OR(K15="",L15=""),"",IF(AND(L15&lt;0.05,OR(AND(J15="升高改善",K15&gt;0),AND(J15="降低改善",K15&lt;0))),"校正","不校正"))</f>
        <v/>
      </c>
      <c r="N15" s="178" t="inlineStr">
        <is>
          <t>Figure 2，PDF第5页，第2面板（从上到下），Generalization空心倒三角系列</t>
        </is>
      </c>
    </row>
    <row r="16" ht="45" customHeight="1" s="176">
      <c r="A16" s="201" t="inlineStr">
        <is>
          <t>K017</t>
        </is>
      </c>
      <c r="B16" s="201" t="inlineStr">
        <is>
          <t>002-二次</t>
        </is>
      </c>
      <c r="C16" s="201" t="inlineStr">
        <is>
          <t>Taylor</t>
        </is>
      </c>
      <c r="D16" s="202" t="inlineStr">
        <is>
          <t>干预</t>
        </is>
      </c>
      <c r="E16" s="178" t="inlineStr">
        <is>
          <t>Training BL vs INT</t>
        </is>
      </c>
      <c r="F16" s="178" t="inlineStr">
        <is>
          <t>50, 25, 100, 50, 50, 75, 0, 0</t>
        </is>
      </c>
      <c r="G16" s="201">
        <f>IF(F16="","",LEN(F16)-LEN(SUBSTITUTE(F16,",",""))+1)</f>
        <v/>
      </c>
      <c r="H16" s="178" t="inlineStr">
        <is>
          <t>25, 100, 100, 100</t>
        </is>
      </c>
      <c r="I16" s="201">
        <f>IF(H16="","",LEN(H16)-LEN(SUBSTITUTE(H16,",",""))+1)</f>
        <v/>
      </c>
      <c r="J16" s="202" t="inlineStr">
        <is>
          <t>升高改善</t>
        </is>
      </c>
      <c r="K16" s="203" t="n">
        <v>-0.309</v>
      </c>
      <c r="L16" s="203" t="n">
        <v>0.304</v>
      </c>
      <c r="M16" s="201">
        <f>IF(OR(K16="",L16=""),"",IF(AND(L16&lt;0.05,OR(AND(J16="升高改善",K16&gt;0),AND(J16="降低改善",K16&lt;0))),"校正","不校正"))</f>
        <v/>
      </c>
      <c r="N16" s="178" t="inlineStr">
        <is>
          <t>Figure 2，PDF第5页，第3面板（从上到下），Training实心圆系列</t>
        </is>
      </c>
    </row>
    <row r="17" ht="45" customHeight="1" s="176">
      <c r="A17" s="201" t="inlineStr">
        <is>
          <t>K018</t>
        </is>
      </c>
      <c r="B17" s="201" t="inlineStr">
        <is>
          <t>002-二次</t>
        </is>
      </c>
      <c r="C17" s="201" t="inlineStr">
        <is>
          <t>Taylor</t>
        </is>
      </c>
      <c r="D17" s="202" t="inlineStr">
        <is>
          <t>维持</t>
        </is>
      </c>
      <c r="E17" s="178" t="inlineStr">
        <is>
          <t>Training BL vs MT</t>
        </is>
      </c>
      <c r="F17" s="178" t="inlineStr">
        <is>
          <t>50, 25, 100, 50, 50, 75, 0, 0</t>
        </is>
      </c>
      <c r="G17" s="201">
        <f>IF(F17="","",LEN(F17)-LEN(SUBSTITUTE(F17,",",""))+1)</f>
        <v/>
      </c>
      <c r="H17" s="178" t="inlineStr">
        <is>
          <t>100, 100, 100</t>
        </is>
      </c>
      <c r="I17" s="201">
        <f>IF(H17="","",LEN(H17)-LEN(SUBSTITUTE(H17,",",""))+1)</f>
        <v/>
      </c>
      <c r="J17" s="202" t="inlineStr">
        <is>
          <t>升高改善</t>
        </is>
      </c>
      <c r="K17" s="203" t="n">
        <v>-0.309</v>
      </c>
      <c r="L17" s="203" t="n">
        <v>0.304</v>
      </c>
      <c r="M17" s="201">
        <f>IF(OR(K17="",L17=""),"",IF(AND(L17&lt;0.05,OR(AND(J17="升高改善",K17&gt;0),AND(J17="降低改善",K17&lt;0))),"校正","不校正"))</f>
        <v/>
      </c>
      <c r="N17" s="178" t="inlineStr">
        <is>
          <t>Figure 2，PDF第5页，第3面板（从上到下），Training实心圆系列</t>
        </is>
      </c>
    </row>
    <row r="18" ht="45" customHeight="1" s="176">
      <c r="A18" s="201" t="inlineStr">
        <is>
          <t>K019</t>
        </is>
      </c>
      <c r="B18" s="201" t="inlineStr">
        <is>
          <t>002-二次</t>
        </is>
      </c>
      <c r="C18" s="201" t="inlineStr">
        <is>
          <t>Taylor</t>
        </is>
      </c>
      <c r="D18" s="202" t="inlineStr">
        <is>
          <t>泛化</t>
        </is>
      </c>
      <c r="E18" s="178" t="inlineStr">
        <is>
          <t>Generalization BL（干预前）vs INT 期泛化探测</t>
        </is>
      </c>
      <c r="F18" s="178" t="inlineStr">
        <is>
          <t>100, 75, 100, 25, 0, 0</t>
        </is>
      </c>
      <c r="G18" s="201">
        <f>IF(F18="","",LEN(F18)-LEN(SUBSTITUTE(F18,",",""))+1)</f>
        <v/>
      </c>
      <c r="H18" s="178" t="inlineStr">
        <is>
          <t>100, 100, 100</t>
        </is>
      </c>
      <c r="I18" s="201">
        <f>IF(H18="","",LEN(H18)-LEN(SUBSTITUTE(H18,",",""))+1)</f>
        <v/>
      </c>
      <c r="J18" s="202" t="inlineStr">
        <is>
          <t>升高改善</t>
        </is>
      </c>
      <c r="K18" s="203" t="n">
        <v>-0.788</v>
      </c>
      <c r="L18" s="203" t="n">
        <v>0.032</v>
      </c>
      <c r="M18" s="201">
        <f>IF(OR(K18="",L18=""),"",IF(AND(L18&lt;0.05,OR(AND(J18="升高改善",K18&gt;0),AND(J18="降低改善",K18&lt;0))),"校正","不校正"))</f>
        <v/>
      </c>
      <c r="N18" s="178" t="inlineStr">
        <is>
          <t>Figure 2，PDF第5页，第3面板（从上到下），Generalization空心倒三角系列</t>
        </is>
      </c>
    </row>
    <row r="19" ht="45" customHeight="1" s="176">
      <c r="A19" s="201" t="inlineStr">
        <is>
          <t>K020</t>
        </is>
      </c>
      <c r="B19" s="201" t="inlineStr">
        <is>
          <t>002-二次</t>
        </is>
      </c>
      <c r="C19" s="201" t="inlineStr">
        <is>
          <t>Taylor</t>
        </is>
      </c>
      <c r="D19" s="202" t="inlineStr">
        <is>
          <t>干预</t>
        </is>
      </c>
      <c r="E19" s="178" t="inlineStr">
        <is>
          <t>Training BL vs INT</t>
        </is>
      </c>
      <c r="F19" s="178" t="inlineStr">
        <is>
          <t>33, 50, 50, 33, 50, 75, 50, 50, 100, 50, 50</t>
        </is>
      </c>
      <c r="G19" s="201">
        <f>IF(F19="","",LEN(F19)-LEN(SUBSTITUTE(F19,",",""))+1)</f>
        <v/>
      </c>
      <c r="H19" s="178" t="inlineStr">
        <is>
          <t>100, 100, 100</t>
        </is>
      </c>
      <c r="I19" s="201">
        <f>IF(H19="","",LEN(H19)-LEN(SUBSTITUTE(H19,",",""))+1)</f>
        <v/>
      </c>
      <c r="J19" s="202" t="inlineStr">
        <is>
          <t>升高改善</t>
        </is>
      </c>
      <c r="K19" s="203" t="n">
        <v>0.399</v>
      </c>
      <c r="L19" s="203" t="n">
        <v>0.12</v>
      </c>
      <c r="M19" s="201">
        <f>IF(OR(K19="",L19=""),"",IF(AND(L19&lt;0.05,OR(AND(J19="升高改善",K19&gt;0),AND(J19="降低改善",K19&lt;0))),"校正","不校正"))</f>
        <v/>
      </c>
      <c r="N19" s="178" t="inlineStr">
        <is>
          <t>Figure 2，PDF第5页，第4面板（从上到下），Training实心圆系列</t>
        </is>
      </c>
    </row>
    <row r="20" ht="45" customHeight="1" s="176">
      <c r="A20" s="201" t="inlineStr">
        <is>
          <t>K021</t>
        </is>
      </c>
      <c r="B20" s="201" t="inlineStr">
        <is>
          <t>002-二次</t>
        </is>
      </c>
      <c r="C20" s="201" t="inlineStr">
        <is>
          <t>Taylor</t>
        </is>
      </c>
      <c r="D20" s="202" t="inlineStr">
        <is>
          <t>泛化</t>
        </is>
      </c>
      <c r="E20" s="178" t="inlineStr">
        <is>
          <t>Generalization BL（干预前）vs INT 期泛化探测</t>
        </is>
      </c>
      <c r="F20" s="178" t="inlineStr">
        <is>
          <t>75, 75, 75, 75, 50, 50, 100, 50, 50</t>
        </is>
      </c>
      <c r="G20" s="201">
        <f>IF(F20="","",LEN(F20)-LEN(SUBSTITUTE(F20,",",""))+1)</f>
        <v/>
      </c>
      <c r="H20" s="178" t="inlineStr">
        <is>
          <t>100, 100, 100</t>
        </is>
      </c>
      <c r="I20" s="201">
        <f>IF(H20="","",LEN(H20)-LEN(SUBSTITUTE(H20,",",""))+1)</f>
        <v/>
      </c>
      <c r="J20" s="202" t="inlineStr">
        <is>
          <t>升高改善</t>
        </is>
      </c>
      <c r="K20" s="203" t="n">
        <v>-0.408</v>
      </c>
      <c r="L20" s="203" t="n">
        <v>0.165</v>
      </c>
      <c r="M20" s="201">
        <f>IF(OR(K20="",L20=""),"",IF(AND(L20&lt;0.05,OR(AND(J20="升高改善",K20&gt;0),AND(J20="降低改善",K20&lt;0))),"校正","不校正"))</f>
        <v/>
      </c>
      <c r="N20" s="178" t="inlineStr">
        <is>
          <t>Figure 2，PDF第5页，第4面板（从上到下），Generalization空心倒三角系列</t>
        </is>
      </c>
    </row>
    <row r="21" ht="45" customHeight="1" s="176">
      <c r="A21" s="201" t="inlineStr">
        <is>
          <t>K022</t>
        </is>
      </c>
      <c r="B21" s="201" t="inlineStr">
        <is>
          <t>002-二次</t>
        </is>
      </c>
      <c r="C21" s="201" t="inlineStr">
        <is>
          <t>Robby</t>
        </is>
      </c>
      <c r="D21" s="202" t="inlineStr">
        <is>
          <t>干预</t>
        </is>
      </c>
      <c r="E21" s="178" t="inlineStr">
        <is>
          <t>Training BL vs INT</t>
        </is>
      </c>
      <c r="F21" s="178" t="inlineStr">
        <is>
          <t>80, 20, 60, 20, 20, 20</t>
        </is>
      </c>
      <c r="G21" s="201">
        <f>IF(F21="","",LEN(F21)-LEN(SUBSTITUTE(F21,",",""))+1)</f>
        <v/>
      </c>
      <c r="H21" s="178" t="inlineStr">
        <is>
          <t>80, 80, 100, 100, 100</t>
        </is>
      </c>
      <c r="I21" s="201">
        <f>IF(H21="","",LEN(H21)-LEN(SUBSTITUTE(H21,",",""))+1)</f>
        <v/>
      </c>
      <c r="J21" s="202" t="inlineStr">
        <is>
          <t>升高改善</t>
        </is>
      </c>
      <c r="K21" s="203" t="n">
        <v>-0.602</v>
      </c>
      <c r="L21" s="203" t="n">
        <v>0.114</v>
      </c>
      <c r="M21" s="201">
        <f>IF(OR(K21="",L21=""),"",IF(AND(L21&lt;0.05,OR(AND(J21="升高改善",K21&gt;0),AND(J21="降低改善",K21&lt;0))),"校正","不校正"))</f>
        <v/>
      </c>
      <c r="N21" s="178" t="inlineStr">
        <is>
          <t>Figure 3，PDF第6页，第1面板（从上到下），Training实心圆系列</t>
        </is>
      </c>
    </row>
    <row r="22" ht="45" customHeight="1" s="176">
      <c r="A22" s="201" t="inlineStr">
        <is>
          <t>K023</t>
        </is>
      </c>
      <c r="B22" s="201" t="inlineStr">
        <is>
          <t>002-二次</t>
        </is>
      </c>
      <c r="C22" s="201" t="inlineStr">
        <is>
          <t>Robby</t>
        </is>
      </c>
      <c r="D22" s="202" t="inlineStr">
        <is>
          <t>维持</t>
        </is>
      </c>
      <c r="E22" s="178" t="inlineStr">
        <is>
          <t>Training BL vs MT</t>
        </is>
      </c>
      <c r="F22" s="178" t="inlineStr">
        <is>
          <t>80, 20, 60, 20, 20, 20</t>
        </is>
      </c>
      <c r="G22" s="201">
        <f>IF(F22="","",LEN(F22)-LEN(SUBSTITUTE(F22,",",""))+1)</f>
        <v/>
      </c>
      <c r="H22" s="178" t="inlineStr">
        <is>
          <t>100, 100, 100</t>
        </is>
      </c>
      <c r="I22" s="201">
        <f>IF(H22="","",LEN(H22)-LEN(SUBSTITUTE(H22,",",""))+1)</f>
        <v/>
      </c>
      <c r="J22" s="202" t="inlineStr">
        <is>
          <t>升高改善</t>
        </is>
      </c>
      <c r="K22" s="203" t="n">
        <v>-0.602</v>
      </c>
      <c r="L22" s="203" t="n">
        <v>0.114</v>
      </c>
      <c r="M22" s="201">
        <f>IF(OR(K22="",L22=""),"",IF(AND(L22&lt;0.05,OR(AND(J22="升高改善",K22&gt;0),AND(J22="降低改善",K22&lt;0))),"校正","不校正"))</f>
        <v/>
      </c>
      <c r="N22" s="178" t="inlineStr">
        <is>
          <t>Figure 3，PDF第6页，第1面板（从上到下），Training实心圆系列</t>
        </is>
      </c>
    </row>
    <row r="23" ht="45" customHeight="1" s="176">
      <c r="A23" s="201" t="inlineStr">
        <is>
          <t>K024</t>
        </is>
      </c>
      <c r="B23" s="201" t="inlineStr">
        <is>
          <t>002-二次</t>
        </is>
      </c>
      <c r="C23" s="201" t="inlineStr">
        <is>
          <t>Robby</t>
        </is>
      </c>
      <c r="D23" s="202" t="inlineStr">
        <is>
          <t>泛化</t>
        </is>
      </c>
      <c r="E23" s="178" t="inlineStr">
        <is>
          <t>Generalization BL（干预前）vs INT 期泛化探测</t>
        </is>
      </c>
      <c r="F23" s="178" t="inlineStr">
        <is>
          <t>60, 60, 60, 60</t>
        </is>
      </c>
      <c r="G23" s="201">
        <f>IF(F23="","",LEN(F23)-LEN(SUBSTITUTE(F23,",",""))+1)</f>
        <v/>
      </c>
      <c r="H23" s="178" t="inlineStr">
        <is>
          <t>100, 100, 100</t>
        </is>
      </c>
      <c r="I23" s="201">
        <f>IF(H23="","",LEN(H23)-LEN(SUBSTITUTE(H23,",",""))+1)</f>
        <v/>
      </c>
      <c r="J23" s="202" t="inlineStr">
        <is>
          <t>升高改善</t>
        </is>
      </c>
      <c r="K23" s="203" t="n">
        <v>0</v>
      </c>
      <c r="L23" s="203" t="n">
        <v>1</v>
      </c>
      <c r="M23" s="201">
        <f>IF(OR(K23="",L23=""),"",IF(AND(L23&lt;0.05,OR(AND(J23="升高改善",K23&gt;0),AND(J23="降低改善",K23&lt;0))),"校正","不校正"))</f>
        <v/>
      </c>
      <c r="N23" s="178" t="inlineStr">
        <is>
          <t>Figure 3，PDF第6页，第1面板（从上到下），Generalization空心倒三角系列</t>
        </is>
      </c>
    </row>
    <row r="24" ht="45" customHeight="1" s="176">
      <c r="A24" s="201" t="inlineStr">
        <is>
          <t>K025</t>
        </is>
      </c>
      <c r="B24" s="201" t="inlineStr">
        <is>
          <t>002-二次</t>
        </is>
      </c>
      <c r="C24" s="201" t="inlineStr">
        <is>
          <t>Robby</t>
        </is>
      </c>
      <c r="D24" s="202" t="inlineStr">
        <is>
          <t>干预</t>
        </is>
      </c>
      <c r="E24" s="178" t="inlineStr">
        <is>
          <t>Training BL vs INT</t>
        </is>
      </c>
      <c r="F24" s="178" t="inlineStr">
        <is>
          <t>0, 0, 0, 33, 17, 0</t>
        </is>
      </c>
      <c r="G24" s="201">
        <f>IF(F24="","",LEN(F24)-LEN(SUBSTITUTE(F24,",",""))+1)</f>
        <v/>
      </c>
      <c r="H24" s="178" t="inlineStr">
        <is>
          <t>66, 100, 100, 100</t>
        </is>
      </c>
      <c r="I24" s="201">
        <f>IF(H24="","",LEN(H24)-LEN(SUBSTITUTE(H24,",",""))+1)</f>
        <v/>
      </c>
      <c r="J24" s="202" t="inlineStr">
        <is>
          <t>升高改善</t>
        </is>
      </c>
      <c r="K24" s="203" t="n">
        <v>0.258</v>
      </c>
      <c r="L24" s="203" t="n">
        <v>0.499</v>
      </c>
      <c r="M24" s="201">
        <f>IF(OR(K24="",L24=""),"",IF(AND(L24&lt;0.05,OR(AND(J24="升高改善",K24&gt;0),AND(J24="降低改善",K24&lt;0))),"校正","不校正"))</f>
        <v/>
      </c>
      <c r="N24" s="178" t="inlineStr">
        <is>
          <t>Figure 3，PDF第6页，第2面板（从上到下），Training实心圆系列</t>
        </is>
      </c>
    </row>
    <row r="25" ht="45" customHeight="1" s="176">
      <c r="A25" s="201" t="inlineStr">
        <is>
          <t>K026</t>
        </is>
      </c>
      <c r="B25" s="201" t="inlineStr">
        <is>
          <t>002-二次</t>
        </is>
      </c>
      <c r="C25" s="201" t="inlineStr">
        <is>
          <t>Robby</t>
        </is>
      </c>
      <c r="D25" s="202" t="inlineStr">
        <is>
          <t>维持</t>
        </is>
      </c>
      <c r="E25" s="178" t="inlineStr">
        <is>
          <t>Training BL vs MT</t>
        </is>
      </c>
      <c r="F25" s="178" t="inlineStr">
        <is>
          <t>0, 0, 0, 33, 17, 0</t>
        </is>
      </c>
      <c r="G25" s="201">
        <f>IF(F25="","",LEN(F25)-LEN(SUBSTITUTE(F25,",",""))+1)</f>
        <v/>
      </c>
      <c r="H25" s="178" t="inlineStr">
        <is>
          <t>66, 100, 83</t>
        </is>
      </c>
      <c r="I25" s="201">
        <f>IF(H25="","",LEN(H25)-LEN(SUBSTITUTE(H25,",",""))+1)</f>
        <v/>
      </c>
      <c r="J25" s="202" t="inlineStr">
        <is>
          <t>升高改善</t>
        </is>
      </c>
      <c r="K25" s="203" t="n">
        <v>0.258</v>
      </c>
      <c r="L25" s="203" t="n">
        <v>0.499</v>
      </c>
      <c r="M25" s="201">
        <f>IF(OR(K25="",L25=""),"",IF(AND(L25&lt;0.05,OR(AND(J25="升高改善",K25&gt;0),AND(J25="降低改善",K25&lt;0))),"校正","不校正"))</f>
        <v/>
      </c>
      <c r="N25" s="178" t="inlineStr">
        <is>
          <t>Figure 3，PDF第6页，第2面板（从上到下），Training实心圆系列</t>
        </is>
      </c>
    </row>
    <row r="26" ht="45" customHeight="1" s="176">
      <c r="A26" s="201" t="inlineStr">
        <is>
          <t>K027</t>
        </is>
      </c>
      <c r="B26" s="201" t="inlineStr">
        <is>
          <t>002-二次</t>
        </is>
      </c>
      <c r="C26" s="201" t="inlineStr">
        <is>
          <t>Robby</t>
        </is>
      </c>
      <c r="D26" s="202" t="inlineStr">
        <is>
          <t>泛化</t>
        </is>
      </c>
      <c r="E26" s="178" t="inlineStr">
        <is>
          <t>Generalization BL（干预前）vs INT 期泛化探测</t>
        </is>
      </c>
      <c r="F26" s="178" t="inlineStr">
        <is>
          <t>33, 0, 33, 66, 0</t>
        </is>
      </c>
      <c r="G26" s="201">
        <f>IF(F26="","",LEN(F26)-LEN(SUBSTITUTE(F26,",",""))+1)</f>
        <v/>
      </c>
      <c r="H26" s="178" t="inlineStr">
        <is>
          <t>100, 100, 100</t>
        </is>
      </c>
      <c r="I26" s="201">
        <f>IF(H26="","",LEN(H26)-LEN(SUBSTITUTE(H26,",",""))+1)</f>
        <v/>
      </c>
      <c r="J26" s="202" t="inlineStr">
        <is>
          <t>升高改善</t>
        </is>
      </c>
      <c r="K26" s="203" t="n">
        <v>0</v>
      </c>
      <c r="L26" s="203" t="n">
        <v>1</v>
      </c>
      <c r="M26" s="201">
        <f>IF(OR(K26="",L26=""),"",IF(AND(L26&lt;0.05,OR(AND(J26="升高改善",K26&gt;0),AND(J26="降低改善",K26&lt;0))),"校正","不校正"))</f>
        <v/>
      </c>
      <c r="N26" s="178" t="inlineStr">
        <is>
          <t>Figure 3，PDF第6页，第2面板（从上到下），Generalization空心倒三角系列</t>
        </is>
      </c>
    </row>
    <row r="27" ht="45" customHeight="1" s="176">
      <c r="A27" s="201" t="inlineStr">
        <is>
          <t>K028</t>
        </is>
      </c>
      <c r="B27" s="201" t="inlineStr">
        <is>
          <t>002-二次</t>
        </is>
      </c>
      <c r="C27" s="201" t="inlineStr">
        <is>
          <t>Robby</t>
        </is>
      </c>
      <c r="D27" s="202" t="inlineStr">
        <is>
          <t>干预</t>
        </is>
      </c>
      <c r="E27" s="178" t="inlineStr">
        <is>
          <t>Training BL vs INT</t>
        </is>
      </c>
      <c r="F27" s="178" t="inlineStr">
        <is>
          <t>0, 25, 25, 25, 50, 25, 0</t>
        </is>
      </c>
      <c r="G27" s="201">
        <f>IF(F27="","",LEN(F27)-LEN(SUBSTITUTE(F27,",",""))+1)</f>
        <v/>
      </c>
      <c r="H27" s="178" t="inlineStr">
        <is>
          <t>75, 25, 100, 100, 100</t>
        </is>
      </c>
      <c r="I27" s="201">
        <f>IF(H27="","",LEN(H27)-LEN(SUBSTITUTE(H27,",",""))+1)</f>
        <v/>
      </c>
      <c r="J27" s="202" t="inlineStr">
        <is>
          <t>升高改善</t>
        </is>
      </c>
      <c r="K27" s="203" t="n">
        <v>0.117</v>
      </c>
      <c r="L27" s="203" t="n">
        <v>0.734</v>
      </c>
      <c r="M27" s="201">
        <f>IF(OR(K27="",L27=""),"",IF(AND(L27&lt;0.05,OR(AND(J27="升高改善",K27&gt;0),AND(J27="降低改善",K27&lt;0))),"校正","不校正"))</f>
        <v/>
      </c>
      <c r="N27" s="178" t="inlineStr">
        <is>
          <t>Figure 3，PDF第6页，第3面板（从上到下），Training实心圆系列</t>
        </is>
      </c>
    </row>
    <row r="28" ht="45" customHeight="1" s="176">
      <c r="A28" s="201" t="inlineStr">
        <is>
          <t>K029</t>
        </is>
      </c>
      <c r="B28" s="201" t="inlineStr">
        <is>
          <t>002-二次</t>
        </is>
      </c>
      <c r="C28" s="201" t="inlineStr">
        <is>
          <t>Robby</t>
        </is>
      </c>
      <c r="D28" s="202" t="inlineStr">
        <is>
          <t>维持</t>
        </is>
      </c>
      <c r="E28" s="178" t="inlineStr">
        <is>
          <t>Training BL vs MT</t>
        </is>
      </c>
      <c r="F28" s="178" t="inlineStr">
        <is>
          <t>0, 25, 25, 25, 50, 25, 0</t>
        </is>
      </c>
      <c r="G28" s="201">
        <f>IF(F28="","",LEN(F28)-LEN(SUBSTITUTE(F28,",",""))+1)</f>
        <v/>
      </c>
      <c r="H28" s="178" t="inlineStr">
        <is>
          <t>100, 100, 100</t>
        </is>
      </c>
      <c r="I28" s="201">
        <f>IF(H28="","",LEN(H28)-LEN(SUBSTITUTE(H28,",",""))+1)</f>
        <v/>
      </c>
      <c r="J28" s="202" t="inlineStr">
        <is>
          <t>升高改善</t>
        </is>
      </c>
      <c r="K28" s="203" t="n">
        <v>0.117</v>
      </c>
      <c r="L28" s="203" t="n">
        <v>0.734</v>
      </c>
      <c r="M28" s="201">
        <f>IF(OR(K28="",L28=""),"",IF(AND(L28&lt;0.05,OR(AND(J28="升高改善",K28&gt;0),AND(J28="降低改善",K28&lt;0))),"校正","不校正"))</f>
        <v/>
      </c>
      <c r="N28" s="178" t="inlineStr">
        <is>
          <t>Figure 3，PDF第6页，第3面板（从上到下），Training实心圆系列</t>
        </is>
      </c>
    </row>
    <row r="29" ht="45" customHeight="1" s="176">
      <c r="A29" s="201" t="inlineStr">
        <is>
          <t>K030</t>
        </is>
      </c>
      <c r="B29" s="201" t="inlineStr">
        <is>
          <t>002-二次</t>
        </is>
      </c>
      <c r="C29" s="201" t="inlineStr">
        <is>
          <t>Robby</t>
        </is>
      </c>
      <c r="D29" s="202" t="inlineStr">
        <is>
          <t>泛化</t>
        </is>
      </c>
      <c r="E29" s="178" t="inlineStr">
        <is>
          <t>Generalization BL（干预前）vs INT 期泛化探测</t>
        </is>
      </c>
      <c r="F29" s="178" t="inlineStr">
        <is>
          <t>50, 0, 0, 25, 25</t>
        </is>
      </c>
      <c r="G29" s="201">
        <f>IF(F29="","",LEN(F29)-LEN(SUBSTITUTE(F29,",",""))+1)</f>
        <v/>
      </c>
      <c r="H29" s="178" t="inlineStr">
        <is>
          <t>100, 100, 100</t>
        </is>
      </c>
      <c r="I29" s="201">
        <f>IF(H29="","",LEN(H29)-LEN(SUBSTITUTE(H29,",",""))+1)</f>
        <v/>
      </c>
      <c r="J29" s="202" t="inlineStr">
        <is>
          <t>升高改善</t>
        </is>
      </c>
      <c r="K29" s="203" t="n">
        <v>0</v>
      </c>
      <c r="L29" s="203" t="n">
        <v>1</v>
      </c>
      <c r="M29" s="201">
        <f>IF(OR(K29="",L29=""),"",IF(AND(L29&lt;0.05,OR(AND(J29="升高改善",K29&gt;0),AND(J29="降低改善",K29&lt;0))),"校正","不校正"))</f>
        <v/>
      </c>
      <c r="N29" s="178" t="inlineStr">
        <is>
          <t>Figure 3，PDF第6页，第3面板（从上到下），Generalization空心倒三角系列</t>
        </is>
      </c>
    </row>
    <row r="30" ht="45" customHeight="1" s="176">
      <c r="A30" s="201" t="inlineStr">
        <is>
          <t>K031</t>
        </is>
      </c>
      <c r="B30" s="201" t="inlineStr">
        <is>
          <t>002-二次</t>
        </is>
      </c>
      <c r="C30" s="201" t="inlineStr">
        <is>
          <t>Robby</t>
        </is>
      </c>
      <c r="D30" s="202" t="inlineStr">
        <is>
          <t>干预</t>
        </is>
      </c>
      <c r="E30" s="178" t="inlineStr">
        <is>
          <t>Training BL vs INT</t>
        </is>
      </c>
      <c r="F30" s="178" t="inlineStr">
        <is>
          <t>0, 0, 0, 0, 75, 50, 0, 0, 0</t>
        </is>
      </c>
      <c r="G30" s="201">
        <f>IF(F30="","",LEN(F30)-LEN(SUBSTITUTE(F30,",",""))+1)</f>
        <v/>
      </c>
      <c r="H30" s="178" t="inlineStr">
        <is>
          <t>100, 50, 100, 100, 100</t>
        </is>
      </c>
      <c r="I30" s="201">
        <f>IF(H30="","",LEN(H30)-LEN(SUBSTITUTE(H30,",",""))+1)</f>
        <v/>
      </c>
      <c r="J30" s="202" t="inlineStr">
        <is>
          <t>升高改善</t>
        </is>
      </c>
      <c r="K30" s="203" t="n">
        <v>0.043</v>
      </c>
      <c r="L30" s="203" t="n">
        <v>0.885</v>
      </c>
      <c r="M30" s="201">
        <f>IF(OR(K30="",L30=""),"",IF(AND(L30&lt;0.05,OR(AND(J30="升高改善",K30&gt;0),AND(J30="降低改善",K30&lt;0))),"校正","不校正"))</f>
        <v/>
      </c>
      <c r="N30" s="178" t="inlineStr">
        <is>
          <t>Figure 3，PDF第6页，第4面板（从上到下），Training实心圆系列</t>
        </is>
      </c>
    </row>
    <row r="31" ht="45" customHeight="1" s="176">
      <c r="A31" s="201" t="inlineStr">
        <is>
          <t>K032</t>
        </is>
      </c>
      <c r="B31" s="201" t="inlineStr">
        <is>
          <t>002-二次</t>
        </is>
      </c>
      <c r="C31" s="201" t="inlineStr">
        <is>
          <t>Robby</t>
        </is>
      </c>
      <c r="D31" s="202" t="inlineStr">
        <is>
          <t>泛化</t>
        </is>
      </c>
      <c r="E31" s="178" t="inlineStr">
        <is>
          <t>Generalization BL（干预前）vs INT 期泛化探测</t>
        </is>
      </c>
      <c r="F31" s="178" t="inlineStr">
        <is>
          <t>0, 0, 0, 25, 25, 0, 50, 0</t>
        </is>
      </c>
      <c r="G31" s="201">
        <f>IF(F31="","",LEN(F31)-LEN(SUBSTITUTE(F31,",",""))+1)</f>
        <v/>
      </c>
      <c r="H31" s="178" t="inlineStr">
        <is>
          <t>100, 100, 100</t>
        </is>
      </c>
      <c r="I31" s="201">
        <f>IF(H31="","",LEN(H31)-LEN(SUBSTITUTE(H31,",",""))+1)</f>
        <v/>
      </c>
      <c r="J31" s="202" t="inlineStr">
        <is>
          <t>升高改善</t>
        </is>
      </c>
      <c r="K31" s="203" t="n">
        <v>0.321</v>
      </c>
      <c r="L31" s="203" t="n">
        <v>0.311</v>
      </c>
      <c r="M31" s="201">
        <f>IF(OR(K31="",L31=""),"",IF(AND(L31&lt;0.05,OR(AND(J31="升高改善",K31&gt;0),AND(J31="降低改善",K31&lt;0))),"校正","不校正"))</f>
        <v/>
      </c>
      <c r="N31" s="178" t="inlineStr">
        <is>
          <t>Figure 3，PDF第6页，第4面板（从上到下），Generalization空心倒三角系列</t>
        </is>
      </c>
    </row>
    <row r="32" ht="45" customHeight="1" s="176">
      <c r="A32" s="201" t="inlineStr">
        <is>
          <t>K033</t>
        </is>
      </c>
      <c r="B32" s="201" t="inlineStr">
        <is>
          <t>004-二次</t>
        </is>
      </c>
      <c r="C32" s="201" t="inlineStr">
        <is>
          <t>Nick</t>
        </is>
      </c>
      <c r="D32" s="202" t="inlineStr">
        <is>
          <t>干预</t>
        </is>
      </c>
      <c r="E32" s="181" t="inlineStr">
        <is>
          <t>基线期 vs PVMI 干预期（原情境，实心圆）</t>
        </is>
      </c>
      <c r="F32" s="178" t="inlineStr">
        <is>
          <t>0, 0, 0</t>
        </is>
      </c>
      <c r="G32" s="201">
        <f>IF(F32="","",LEN(F32)-LEN(SUBSTITUTE(F32,",",""))+1)</f>
        <v/>
      </c>
      <c r="H32" s="178" t="inlineStr">
        <is>
          <t>0, 0, 33, 66, 100, 33, 33, 33, 100, 100</t>
        </is>
      </c>
      <c r="I32" s="201">
        <f>IF(H32="","",LEN(H32)-LEN(SUBSTITUTE(H32,",",""))+1)</f>
        <v/>
      </c>
      <c r="J32" s="202" t="inlineStr">
        <is>
          <t>升高改善</t>
        </is>
      </c>
      <c r="K32" s="203" t="n">
        <v>0</v>
      </c>
      <c r="L32" s="203" t="n">
        <v>1</v>
      </c>
      <c r="M32" s="201">
        <f>IF(OR(K32="",L32=""),"",IF(AND(L32&lt;0.05,OR(AND(J32="升高改善",K32&gt;0),AND(J32="降低改善",K32&lt;0))),"校正","不校正"))</f>
        <v/>
      </c>
      <c r="N32" s="181" t="inlineStr">
        <is>
          <t>Fig1，PDF9，P1／第1面板，实心圆</t>
        </is>
      </c>
    </row>
    <row r="33" ht="45" customHeight="1" s="176">
      <c r="A33" s="201" t="inlineStr">
        <is>
          <t>K034</t>
        </is>
      </c>
      <c r="B33" s="201" t="inlineStr">
        <is>
          <t>004-二次</t>
        </is>
      </c>
      <c r="C33" s="201" t="inlineStr">
        <is>
          <t>Kelly</t>
        </is>
      </c>
      <c r="D33" s="202" t="inlineStr">
        <is>
          <t>干预</t>
        </is>
      </c>
      <c r="E33" s="181" t="inlineStr">
        <is>
          <t>基线期 vs PVMI 干预期（原情境，实心圆）</t>
        </is>
      </c>
      <c r="F33" s="178" t="inlineStr">
        <is>
          <t>0, 0, 0, 0</t>
        </is>
      </c>
      <c r="G33" s="201">
        <f>IF(F33="","",LEN(F33)-LEN(SUBSTITUTE(F33,",",""))+1)</f>
        <v/>
      </c>
      <c r="H33" s="178" t="inlineStr">
        <is>
          <t>0, 33, 33, 33, 33, 66, 66, 100, 100</t>
        </is>
      </c>
      <c r="I33" s="201">
        <f>IF(H33="","",LEN(H33)-LEN(SUBSTITUTE(H33,",",""))+1)</f>
        <v/>
      </c>
      <c r="J33" s="202" t="inlineStr">
        <is>
          <t>升高改善</t>
        </is>
      </c>
      <c r="K33" s="203" t="n">
        <v>0</v>
      </c>
      <c r="L33" s="203" t="n">
        <v>1</v>
      </c>
      <c r="M33" s="201">
        <f>IF(OR(K33="",L33=""),"",IF(AND(L33&lt;0.05,OR(AND(J33="升高改善",K33&gt;0),AND(J33="降低改善",K33&lt;0))),"校正","不校正"))</f>
        <v/>
      </c>
      <c r="N33" s="181" t="inlineStr">
        <is>
          <t>Fig1，PDF9，P2／第2面板，实心圆</t>
        </is>
      </c>
    </row>
    <row r="34" ht="45" customHeight="1" s="176">
      <c r="A34" s="201" t="inlineStr">
        <is>
          <t>K035</t>
        </is>
      </c>
      <c r="B34" s="201" t="inlineStr">
        <is>
          <t>004-二次</t>
        </is>
      </c>
      <c r="C34" s="201" t="inlineStr">
        <is>
          <t>Mike</t>
        </is>
      </c>
      <c r="D34" s="202" t="inlineStr">
        <is>
          <t>干预</t>
        </is>
      </c>
      <c r="E34" s="181" t="inlineStr">
        <is>
          <t>基线期 vs PVMI 干预期（原情境，实心圆）</t>
        </is>
      </c>
      <c r="F34" s="178" t="inlineStr">
        <is>
          <t>33, 33, 33, 0, 0, 0, 0, 0</t>
        </is>
      </c>
      <c r="G34" s="201">
        <f>IF(F34="","",LEN(F34)-LEN(SUBSTITUTE(F34,",",""))+1)</f>
        <v/>
      </c>
      <c r="H34" s="178" t="inlineStr">
        <is>
          <t>33, 33, 100, 100</t>
        </is>
      </c>
      <c r="I34" s="201">
        <f>IF(H34="","",LEN(H34)-LEN(SUBSTITUTE(H34,",",""))+1)</f>
        <v/>
      </c>
      <c r="J34" s="202" t="inlineStr">
        <is>
          <t>升高改善</t>
        </is>
      </c>
      <c r="K34" s="203" t="n">
        <v>-0.7319250547114</v>
      </c>
      <c r="L34" s="203" t="n">
        <v>0.0253473186774683</v>
      </c>
      <c r="M34" s="201">
        <f>IF(OR(K34="",L34=""),"",IF(AND(L34&lt;0.05,OR(AND(J34="升高改善",K34&gt;0),AND(J34="降低改善",K34&lt;0))),"校正","不校正"))</f>
        <v/>
      </c>
      <c r="N34" s="181" t="inlineStr">
        <is>
          <t>Fig1，PDF9，P3／第3面板，实心圆</t>
        </is>
      </c>
    </row>
    <row r="35" ht="45" customHeight="1" s="176">
      <c r="A35" s="201" t="inlineStr">
        <is>
          <t>K036</t>
        </is>
      </c>
      <c r="B35" s="201" t="inlineStr">
        <is>
          <t>004-二次</t>
        </is>
      </c>
      <c r="C35" s="201" t="inlineStr">
        <is>
          <t>Jake</t>
        </is>
      </c>
      <c r="D35" s="202" t="inlineStr">
        <is>
          <t>干预</t>
        </is>
      </c>
      <c r="E35" s="181" t="inlineStr">
        <is>
          <t>基线期 vs PVMI 干预期（原情境，实心圆）</t>
        </is>
      </c>
      <c r="F35" s="178" t="inlineStr">
        <is>
          <t>0, 0, 0, 0, 0, 0, 0, 0, 0, 0, 0</t>
        </is>
      </c>
      <c r="G35" s="201">
        <f>IF(F35="","",LEN(F35)-LEN(SUBSTITUTE(F35,",",""))+1)</f>
        <v/>
      </c>
      <c r="H35" s="178" t="inlineStr">
        <is>
          <t>33, 66, 66, 66, 100, 100</t>
        </is>
      </c>
      <c r="I35" s="201">
        <f>IF(H35="","",LEN(H35)-LEN(SUBSTITUTE(H35,",",""))+1)</f>
        <v/>
      </c>
      <c r="J35" s="202" t="inlineStr">
        <is>
          <t>升高改善</t>
        </is>
      </c>
      <c r="K35" s="203" t="n">
        <v>0</v>
      </c>
      <c r="L35" s="203" t="n">
        <v>1</v>
      </c>
      <c r="M35" s="201">
        <f>IF(OR(K35="",L35=""),"",IF(AND(L35&lt;0.05,OR(AND(J35="升高改善",K35&gt;0),AND(J35="降低改善",K35&lt;0))),"校正","不校正"))</f>
        <v/>
      </c>
      <c r="N35" s="181" t="inlineStr">
        <is>
          <t>Fig1，PDF9，P4／第4面板，实心圆</t>
        </is>
      </c>
    </row>
    <row r="36" ht="45" customHeight="1" s="176">
      <c r="A36" s="201" t="inlineStr">
        <is>
          <t>K039</t>
        </is>
      </c>
      <c r="B36" s="201" t="inlineStr">
        <is>
          <t>005-二次</t>
        </is>
      </c>
      <c r="C36" s="201" t="inlineStr">
        <is>
          <t>Anna</t>
        </is>
      </c>
      <c r="D36" s="202" t="inlineStr">
        <is>
          <t>干预</t>
        </is>
      </c>
      <c r="E36" s="181" t="inlineStr">
        <is>
          <t>该任务基线期 vs 视频示范干预期</t>
        </is>
      </c>
      <c r="F36" s="178" t="inlineStr">
        <is>
          <t>0, 0, 0, 0</t>
        </is>
      </c>
      <c r="G36" s="201">
        <f>IF(F36="","",LEN(F36)-LEN(SUBSTITUTE(F36,",",""))+1)</f>
        <v/>
      </c>
      <c r="H36" s="178" t="inlineStr">
        <is>
          <t>100, 50, 100, 100</t>
        </is>
      </c>
      <c r="I36" s="201">
        <f>IF(H36="","",LEN(H36)-LEN(SUBSTITUTE(H36,",",""))+1)</f>
        <v/>
      </c>
      <c r="J36" s="202" t="inlineStr">
        <is>
          <t>升高改善</t>
        </is>
      </c>
      <c r="K36" s="203" t="n">
        <v>0</v>
      </c>
      <c r="L36" s="203" t="n">
        <v>1</v>
      </c>
      <c r="M36" s="201">
        <f>IF(OR(K36="",L36=""),"",IF(AND(L36&lt;0.05,OR(AND(J36="升高改善",K36&gt;0),AND(J36="降低改善",K36&lt;0))),"校正","不校正"))</f>
        <v/>
      </c>
      <c r="N36" s="181" t="inlineStr">
        <is>
          <t>Fig1（iPad），PDF11，P2／第2面板；符号见原图图例</t>
        </is>
      </c>
    </row>
    <row r="37" ht="45" customHeight="1" s="176">
      <c r="A37" s="201" t="inlineStr">
        <is>
          <t>K040</t>
        </is>
      </c>
      <c r="B37" s="201" t="inlineStr">
        <is>
          <t>005-二次</t>
        </is>
      </c>
      <c r="C37" s="201" t="inlineStr">
        <is>
          <t>Brian</t>
        </is>
      </c>
      <c r="D37" s="202" t="inlineStr">
        <is>
          <t>干预</t>
        </is>
      </c>
      <c r="E37" s="181" t="inlineStr">
        <is>
          <t>该任务基线期 vs 视频示范干预期</t>
        </is>
      </c>
      <c r="F37" s="204" t="inlineStr">
        <is>
          <t>0, 0, 0, 0, 0, 0, 0, 0, 0, 0</t>
        </is>
      </c>
      <c r="G37" s="205">
        <f>IF(F37="","",LEN(F37)-LEN(SUBSTITUTE(F37,",",""))+1)</f>
        <v/>
      </c>
      <c r="H37" s="204" t="inlineStr">
        <is>
          <t>0, 0, 100, 80</t>
        </is>
      </c>
      <c r="I37" s="205">
        <f>IF(H37="","",LEN(H37)-LEN(SUBSTITUTE(H37,",",""))+1)</f>
        <v/>
      </c>
      <c r="J37" s="206" t="inlineStr">
        <is>
          <t>升高改善</t>
        </is>
      </c>
      <c r="K37" s="207" t="n">
        <v>0</v>
      </c>
      <c r="L37" s="207" t="n">
        <v>1</v>
      </c>
      <c r="M37" s="205">
        <f>IF(OR(K37="",L37=""),"",IF(AND(L37&lt;0.05,OR(AND(J37="升高改善",K37&gt;0),AND(J37="降低改善",K37&lt;0))),"校正","不校正"))</f>
        <v/>
      </c>
      <c r="N37" s="181" t="inlineStr">
        <is>
          <t>Fig1（iPad），PDF11，P3／第3面板；符号见原图图例</t>
        </is>
      </c>
    </row>
    <row r="38" ht="45" customHeight="1" s="176">
      <c r="A38" s="201" t="inlineStr">
        <is>
          <t>K041</t>
        </is>
      </c>
      <c r="B38" s="201" t="inlineStr">
        <is>
          <t>005-二次</t>
        </is>
      </c>
      <c r="C38" s="201" t="inlineStr">
        <is>
          <t>Brian</t>
        </is>
      </c>
      <c r="D38" s="202" t="inlineStr">
        <is>
          <t>干预</t>
        </is>
      </c>
      <c r="E38" s="181" t="inlineStr">
        <is>
          <t>该任务基线期 vs 视频示范干预期</t>
        </is>
      </c>
      <c r="F38" s="204" t="inlineStr">
        <is>
          <t>0, 0, 0, 0, 0, 0, 0, 0, 0, 0</t>
        </is>
      </c>
      <c r="G38" s="205">
        <f>IF(F38="","",LEN(F38)-LEN(SUBSTITUTE(F38,",",""))+1)</f>
        <v/>
      </c>
      <c r="H38" s="204" t="inlineStr">
        <is>
          <t>0, 100, 100</t>
        </is>
      </c>
      <c r="I38" s="205">
        <f>IF(H38="","",LEN(H38)-LEN(SUBSTITUTE(H38,",",""))+1)</f>
        <v/>
      </c>
      <c r="J38" s="206" t="inlineStr">
        <is>
          <t>升高改善</t>
        </is>
      </c>
      <c r="K38" s="207" t="n">
        <v>0</v>
      </c>
      <c r="L38" s="207" t="n">
        <v>1</v>
      </c>
      <c r="M38" s="205">
        <f>IF(OR(K38="",L38=""),"",IF(AND(L38&lt;0.05,OR(AND(J38="升高改善",K38&gt;0),AND(J38="降低改善",K38&lt;0))),"校正","不校正"))</f>
        <v/>
      </c>
      <c r="N38" s="181" t="inlineStr">
        <is>
          <t>Fig2（电视），PDF11，P3／第3面板；符号见原图图例</t>
        </is>
      </c>
    </row>
    <row r="39" ht="45" customHeight="1" s="176">
      <c r="A39" s="201" t="inlineStr">
        <is>
          <t>K042</t>
        </is>
      </c>
      <c r="B39" s="201" t="inlineStr">
        <is>
          <t>005-二次</t>
        </is>
      </c>
      <c r="C39" s="201" t="inlineStr">
        <is>
          <t>Jason</t>
        </is>
      </c>
      <c r="D39" s="202" t="inlineStr">
        <is>
          <t>干预</t>
        </is>
      </c>
      <c r="E39" s="181" t="inlineStr">
        <is>
          <t>该任务基线期 vs 视频示范干预期</t>
        </is>
      </c>
      <c r="F39" s="178" t="inlineStr">
        <is>
          <t>0, 0, 0, 0, 0, 0, 0, 0, 0, 0, 0, 0</t>
        </is>
      </c>
      <c r="G39" s="201">
        <f>IF(F39="","",LEN(F39)-LEN(SUBSTITUTE(F39,",",""))+1)</f>
        <v/>
      </c>
      <c r="H39" s="178" t="inlineStr">
        <is>
          <t>0, 33, 33, 33, 33, 33, 100, 100</t>
        </is>
      </c>
      <c r="I39" s="201">
        <f>IF(H39="","",LEN(H39)-LEN(SUBSTITUTE(H39,",",""))+1)</f>
        <v/>
      </c>
      <c r="J39" s="202" t="inlineStr">
        <is>
          <t>升高改善</t>
        </is>
      </c>
      <c r="K39" s="203" t="n">
        <v>0</v>
      </c>
      <c r="L39" s="203" t="n">
        <v>1</v>
      </c>
      <c r="M39" s="201">
        <f>IF(OR(K39="",L39=""),"",IF(AND(L39&lt;0.05,OR(AND(J39="升高改善",K39&gt;0),AND(J39="降低改善",K39&lt;0))),"校正","不校正"))</f>
        <v/>
      </c>
      <c r="N39" s="181" t="inlineStr">
        <is>
          <t>Fig1（iPad），PDF11，P4／第4面板；符号见原图图例</t>
        </is>
      </c>
    </row>
    <row r="40" ht="45" customHeight="1" s="176">
      <c r="A40" s="201" t="inlineStr">
        <is>
          <t>K043</t>
        </is>
      </c>
      <c r="B40" s="201" t="inlineStr">
        <is>
          <t>005-二次</t>
        </is>
      </c>
      <c r="C40" s="201" t="inlineStr">
        <is>
          <t>Jason</t>
        </is>
      </c>
      <c r="D40" s="202" t="inlineStr">
        <is>
          <t>干预</t>
        </is>
      </c>
      <c r="E40" s="181" t="inlineStr">
        <is>
          <t>该任务基线期 vs 视频示范干预期</t>
        </is>
      </c>
      <c r="F40" s="178" t="inlineStr">
        <is>
          <t>0, 0, 0, 0, 0, 0, 0, 0, 0, 0, 0, 0</t>
        </is>
      </c>
      <c r="G40" s="201">
        <f>IF(F40="","",LEN(F40)-LEN(SUBSTITUTE(F40,",",""))+1)</f>
        <v/>
      </c>
      <c r="H40" s="178" t="inlineStr">
        <is>
          <t>0, 0, 67, 100, 100</t>
        </is>
      </c>
      <c r="I40" s="201">
        <f>IF(H40="","",LEN(H40)-LEN(SUBSTITUTE(H40,",",""))+1)</f>
        <v/>
      </c>
      <c r="J40" s="202" t="inlineStr">
        <is>
          <t>升高改善</t>
        </is>
      </c>
      <c r="K40" s="203" t="n">
        <v>0</v>
      </c>
      <c r="L40" s="203" t="n">
        <v>1</v>
      </c>
      <c r="M40" s="201">
        <f>IF(OR(K40="",L40=""),"",IF(AND(L40&lt;0.05,OR(AND(J40="升高改善",K40&gt;0),AND(J40="降低改善",K40&lt;0))),"校正","不校正"))</f>
        <v/>
      </c>
      <c r="N40" s="181" t="inlineStr">
        <is>
          <t>Fig2（电视），PDF11，P4／第4面板；符号见原图图例</t>
        </is>
      </c>
    </row>
    <row r="41" ht="45" customHeight="1" s="176">
      <c r="A41" s="201" t="inlineStr">
        <is>
          <t>K044</t>
        </is>
      </c>
      <c r="B41" s="201" t="inlineStr">
        <is>
          <t>005-二次</t>
        </is>
      </c>
      <c r="C41" s="201" t="inlineStr">
        <is>
          <t>Riley</t>
        </is>
      </c>
      <c r="D41" s="202" t="inlineStr">
        <is>
          <t>干预</t>
        </is>
      </c>
      <c r="E41" s="181" t="inlineStr">
        <is>
          <t>该任务基线期 vs 视频示范干预期</t>
        </is>
      </c>
      <c r="F41" s="178" t="inlineStr">
        <is>
          <t>0, 0, 0, 0, 0, 0, 0, 0, 0, 0, 0, 0, 0, 0</t>
        </is>
      </c>
      <c r="G41" s="201">
        <f>IF(F41="","",LEN(F41)-LEN(SUBSTITUTE(F41,",",""))+1)</f>
        <v/>
      </c>
      <c r="H41" s="178" t="inlineStr">
        <is>
          <t>20, 100, 0, 40, 100, 20, 60, 80, 80</t>
        </is>
      </c>
      <c r="I41" s="201">
        <f>IF(H41="","",LEN(H41)-LEN(SUBSTITUTE(H41,",",""))+1)</f>
        <v/>
      </c>
      <c r="J41" s="202" t="inlineStr">
        <is>
          <t>升高改善</t>
        </is>
      </c>
      <c r="K41" s="203" t="n">
        <v>0</v>
      </c>
      <c r="L41" s="203" t="n">
        <v>1</v>
      </c>
      <c r="M41" s="201">
        <f>IF(OR(K41="",L41=""),"",IF(AND(L41&lt;0.05,OR(AND(J41="升高改善",K41&gt;0),AND(J41="降低改善",K41&lt;0))),"校正","不校正"))</f>
        <v/>
      </c>
      <c r="N41" s="181" t="inlineStr">
        <is>
          <t>Fig1（iPad），PDF11，P5／第5面板；符号见原图图例</t>
        </is>
      </c>
    </row>
    <row r="42" ht="45" customHeight="1" s="176">
      <c r="A42" s="201" t="inlineStr">
        <is>
          <t>K045</t>
        </is>
      </c>
      <c r="B42" s="201" t="inlineStr">
        <is>
          <t>005-二次</t>
        </is>
      </c>
      <c r="C42" s="201" t="inlineStr">
        <is>
          <t>Riley</t>
        </is>
      </c>
      <c r="D42" s="202" t="inlineStr">
        <is>
          <t>干预</t>
        </is>
      </c>
      <c r="E42" s="181" t="inlineStr">
        <is>
          <t>该任务基线期 vs 视频示范干预期</t>
        </is>
      </c>
      <c r="F42" s="178" t="inlineStr">
        <is>
          <t>0, 0, 0, 0, 0, 0, 0, 0, 0, 0, 0, 0, 0, 0</t>
        </is>
      </c>
      <c r="G42" s="201">
        <f>IF(F42="","",LEN(F42)-LEN(SUBSTITUTE(F42,",",""))+1)</f>
        <v/>
      </c>
      <c r="H42" s="178" t="inlineStr">
        <is>
          <t>100, 0, 100, 100</t>
        </is>
      </c>
      <c r="I42" s="201">
        <f>IF(H42="","",LEN(H42)-LEN(SUBSTITUTE(H42,",",""))+1)</f>
        <v/>
      </c>
      <c r="J42" s="202" t="inlineStr">
        <is>
          <t>升高改善</t>
        </is>
      </c>
      <c r="K42" s="203" t="n">
        <v>0</v>
      </c>
      <c r="L42" s="203" t="n">
        <v>1</v>
      </c>
      <c r="M42" s="201">
        <f>IF(OR(K42="",L42=""),"",IF(AND(L42&lt;0.05,OR(AND(J42="升高改善",K42&gt;0),AND(J42="降低改善",K42&lt;0))),"校正","不校正"))</f>
        <v/>
      </c>
      <c r="N42" s="181" t="inlineStr">
        <is>
          <t>Fig2（电视），PDF11，P5／第5面板；符号见原图图例</t>
        </is>
      </c>
    </row>
    <row r="43" ht="45" customHeight="1" s="176">
      <c r="A43" s="201" t="inlineStr">
        <is>
          <t>K083</t>
        </is>
      </c>
      <c r="B43" s="201" t="inlineStr">
        <is>
          <t>011-二次</t>
        </is>
      </c>
      <c r="C43" s="201" t="inlineStr">
        <is>
          <t>Max</t>
        </is>
      </c>
      <c r="D43" s="202" t="inlineStr">
        <is>
          <t>干预</t>
        </is>
      </c>
      <c r="E43" s="178" t="inlineStr">
        <is>
          <t>Baseline vs Video Modeling</t>
        </is>
      </c>
      <c r="F43" s="178" t="inlineStr">
        <is>
          <t>20, 0, 0, 20, 0</t>
        </is>
      </c>
      <c r="G43" s="201">
        <f>IF(F43="","",LEN(F43)-LEN(SUBSTITUTE(F43,",",""))+1)</f>
        <v/>
      </c>
      <c r="H43" s="178" t="inlineStr">
        <is>
          <t>0, 40, 20, 100, 40, 0, 80, 80</t>
        </is>
      </c>
      <c r="I43" s="201">
        <f>IF(H43="","",LEN(H43)-LEN(SUBSTITUTE(H43,",",""))+1)</f>
        <v/>
      </c>
      <c r="J43" s="202" t="inlineStr">
        <is>
          <t>升高改善</t>
        </is>
      </c>
      <c r="K43" s="203" t="n">
        <v>-0.258198889747161</v>
      </c>
      <c r="L43" s="203" t="n">
        <v>0.563702861650773</v>
      </c>
      <c r="M43" s="201">
        <f>IF(OR(K43="",L43=""),"",IF(AND(L43&lt;0.05,OR(AND(J43="升高改善",K43&gt;0),AND(J43="降低改善",K43&lt;0))),"校正","不校正"))</f>
        <v/>
      </c>
      <c r="N43" s="178" t="inlineStr">
        <is>
          <t>Figure 1，PDF第8页，第2面板（Max），VM实心圆</t>
        </is>
      </c>
    </row>
    <row r="44" ht="45" customHeight="1" s="176">
      <c r="A44" s="201" t="inlineStr">
        <is>
          <t>K084</t>
        </is>
      </c>
      <c r="B44" s="201" t="inlineStr">
        <is>
          <t>011-二次</t>
        </is>
      </c>
      <c r="C44" s="201" t="inlineStr">
        <is>
          <t>Mike</t>
        </is>
      </c>
      <c r="D44" s="202" t="inlineStr">
        <is>
          <t>干预</t>
        </is>
      </c>
      <c r="E44" s="178" t="inlineStr">
        <is>
          <t>Baseline vs Video Modeling</t>
        </is>
      </c>
      <c r="F44" s="178" t="inlineStr">
        <is>
          <t>0, 0, 0, 0</t>
        </is>
      </c>
      <c r="G44" s="201">
        <f>IF(F44="","",LEN(F44)-LEN(SUBSTITUTE(F44,",",""))+1)</f>
        <v/>
      </c>
      <c r="H44" s="178" t="inlineStr">
        <is>
          <t>0, 90, 40, 100, 100, 80</t>
        </is>
      </c>
      <c r="I44" s="201">
        <f>IF(H44="","",LEN(H44)-LEN(SUBSTITUTE(H44,",",""))+1)</f>
        <v/>
      </c>
      <c r="J44" s="202" t="inlineStr">
        <is>
          <t>升高改善</t>
        </is>
      </c>
      <c r="K44" s="203" t="n">
        <v>0</v>
      </c>
      <c r="L44" s="203" t="n">
        <v>1</v>
      </c>
      <c r="M44" s="201">
        <f>IF(OR(K44="",L44=""),"",IF(AND(L44&lt;0.05,OR(AND(J44="升高改善",K44&gt;0),AND(J44="降低改善",K44&lt;0))),"校正","不校正"))</f>
        <v/>
      </c>
      <c r="N44" s="178" t="inlineStr">
        <is>
          <t>Figure 1，PDF第8页，第3面板（Mike），VM实心圆</t>
        </is>
      </c>
    </row>
    <row r="45" ht="45" customHeight="1" s="176">
      <c r="A45" s="201" t="inlineStr">
        <is>
          <t>K085</t>
        </is>
      </c>
      <c r="B45" s="201" t="inlineStr">
        <is>
          <t>011-二次</t>
        </is>
      </c>
      <c r="C45" s="201" t="inlineStr">
        <is>
          <t>Kendra</t>
        </is>
      </c>
      <c r="D45" s="202" t="inlineStr">
        <is>
          <t>干预</t>
        </is>
      </c>
      <c r="E45" s="178" t="inlineStr">
        <is>
          <t>Baseline vs Video Modeling</t>
        </is>
      </c>
      <c r="F45" s="178" t="inlineStr">
        <is>
          <t>0, 0, 0, 0, 0, 0, 0, 0, 0, 0</t>
        </is>
      </c>
      <c r="G45" s="201">
        <f>IF(F45="","",LEN(F45)-LEN(SUBSTITUTE(F45,",",""))+1)</f>
        <v/>
      </c>
      <c r="H45" s="178" t="inlineStr">
        <is>
          <t>0, 0, 0, 40, 25, 80, 40, 80, 80</t>
        </is>
      </c>
      <c r="I45" s="201">
        <f>IF(H45="","",LEN(H45)-LEN(SUBSTITUTE(H45,",",""))+1)</f>
        <v/>
      </c>
      <c r="J45" s="202" t="inlineStr">
        <is>
          <t>升高改善</t>
        </is>
      </c>
      <c r="K45" s="203" t="n">
        <v>0</v>
      </c>
      <c r="L45" s="203" t="n">
        <v>1</v>
      </c>
      <c r="M45" s="201">
        <f>IF(OR(K45="",L45=""),"",IF(AND(L45&lt;0.05,OR(AND(J45="升高改善",K45&gt;0),AND(J45="降低改善",K45&lt;0))),"校正","不校正"))</f>
        <v/>
      </c>
      <c r="N45" s="178" t="inlineStr">
        <is>
          <t>Figure 1，PDF第8页，第4面板（Kendra），VM实心圆</t>
        </is>
      </c>
    </row>
    <row r="46" ht="45" customHeight="1" s="176">
      <c r="A46" s="201" t="inlineStr">
        <is>
          <t>K098</t>
        </is>
      </c>
      <c r="B46" s="201" t="inlineStr">
        <is>
          <t>013-滚雪球</t>
        </is>
      </c>
      <c r="C46" s="201" t="inlineStr">
        <is>
          <t>Clay</t>
        </is>
      </c>
      <c r="D46" s="202" t="inlineStr">
        <is>
          <t>干预</t>
        </is>
      </c>
      <c r="E46" s="178" t="inlineStr">
        <is>
          <t>BL vs INT</t>
        </is>
      </c>
      <c r="F46" s="178" t="inlineStr">
        <is>
          <t>0, 0, 0, 0</t>
        </is>
      </c>
      <c r="G46" s="201">
        <f>IF(F46="","",LEN(F46)-LEN(SUBSTITUTE(F46,",",""))+1)</f>
        <v/>
      </c>
      <c r="H46" s="178" t="inlineStr">
        <is>
          <t>25, 0, 25, 75, 75, 50, 75, 100, 100, 100</t>
        </is>
      </c>
      <c r="I46" s="201">
        <f>IF(H46="","",LEN(H46)-LEN(SUBSTITUTE(H46,",",""))+1)</f>
        <v/>
      </c>
      <c r="J46" s="202" t="inlineStr">
        <is>
          <t>升高改善</t>
        </is>
      </c>
      <c r="K46" s="203" t="n">
        <v>0</v>
      </c>
      <c r="L46" s="203" t="n">
        <v>1</v>
      </c>
      <c r="M46" s="201">
        <f>IF(OR(K46="",L46=""),"",IF(AND(L46&lt;0.05,OR(AND(J46="升高改善",K46&gt;0),AND(J46="降低改善",K46&lt;0))),"校正","不校正"))</f>
        <v/>
      </c>
      <c r="N46" s="178" t="inlineStr">
        <is>
          <t>Fig1，PDF8，印刷页8，自上而下第1面板（B1）；实心圆</t>
        </is>
      </c>
    </row>
    <row r="47" ht="45" customHeight="1" s="176">
      <c r="A47" s="201" t="inlineStr">
        <is>
          <t>K099</t>
        </is>
      </c>
      <c r="B47" s="201" t="inlineStr">
        <is>
          <t>013-滚雪球</t>
        </is>
      </c>
      <c r="C47" s="201" t="inlineStr">
        <is>
          <t>Clay</t>
        </is>
      </c>
      <c r="D47" s="202" t="inlineStr">
        <is>
          <t>维持</t>
        </is>
      </c>
      <c r="E47" s="178" t="inlineStr">
        <is>
          <t>BL vs MAIN＋6WK FU（合并）</t>
        </is>
      </c>
      <c r="F47" s="178" t="inlineStr">
        <is>
          <t>0, 0, 0, 0</t>
        </is>
      </c>
      <c r="G47" s="201">
        <f>IF(F47="","",LEN(F47)-LEN(SUBSTITUTE(F47,",",""))+1)</f>
        <v/>
      </c>
      <c r="H47" s="178" t="inlineStr">
        <is>
          <t>100, 100, 100, 100, 100, 100, 100</t>
        </is>
      </c>
      <c r="I47" s="201">
        <f>IF(H47="","",LEN(H47)-LEN(SUBSTITUTE(H47,",",""))+1)</f>
        <v/>
      </c>
      <c r="J47" s="202" t="inlineStr">
        <is>
          <t>升高改善</t>
        </is>
      </c>
      <c r="K47" s="203" t="n">
        <v>0</v>
      </c>
      <c r="L47" s="203" t="n">
        <v>1</v>
      </c>
      <c r="M47" s="201">
        <f>IF(OR(K47="",L47=""),"",IF(AND(L47&lt;0.05,OR(AND(J47="升高改善",K47&gt;0),AND(J47="降低改善",K47&lt;0))),"校正","不校正"))</f>
        <v/>
      </c>
      <c r="N47" s="178" t="inlineStr">
        <is>
          <t>Fig1，PDF8，印刷页8，自上而下第1面板（B1）；实心圆</t>
        </is>
      </c>
    </row>
    <row r="48" ht="45" customHeight="1" s="176">
      <c r="A48" s="201" t="inlineStr">
        <is>
          <t>K102</t>
        </is>
      </c>
      <c r="B48" s="201" t="inlineStr">
        <is>
          <t>013-滚雪球</t>
        </is>
      </c>
      <c r="C48" s="201" t="inlineStr">
        <is>
          <t>Clay</t>
        </is>
      </c>
      <c r="D48" s="202" t="inlineStr">
        <is>
          <t>干预</t>
        </is>
      </c>
      <c r="E48" s="178" t="inlineStr">
        <is>
          <t>BL vs INT</t>
        </is>
      </c>
      <c r="F48" s="204" t="inlineStr">
        <is>
          <t>60, 100, 20, 40, 60, 40, 60, 40, 40</t>
        </is>
      </c>
      <c r="G48" s="205">
        <f>IF(F48="","",LEN(F48)-LEN(SUBSTITUTE(F48,",",""))+1)</f>
        <v/>
      </c>
      <c r="H48" s="204" t="inlineStr">
        <is>
          <t>60, 60, 80, 100, 100, 100</t>
        </is>
      </c>
      <c r="I48" s="205">
        <f>IF(H48="","",LEN(H48)-LEN(SUBSTITUTE(H48,",",""))+1)</f>
        <v/>
      </c>
      <c r="J48" s="206" t="inlineStr">
        <is>
          <t>升高改善</t>
        </is>
      </c>
      <c r="K48" s="207" t="n">
        <v>-0.224525104684855</v>
      </c>
      <c r="L48" s="207" t="n">
        <v>0.432887934013342</v>
      </c>
      <c r="M48" s="205">
        <f>IF(OR(K48="",L48=""),"",IF(AND(L48&lt;0.05,OR(AND(J48="升高改善",K48&gt;0),AND(J48="降低改善",K48&lt;0))),"校正","不校正"))</f>
        <v/>
      </c>
      <c r="N48" s="178" t="inlineStr">
        <is>
          <t>Fig1，PDF8，印刷页8，自上而下第3面板（B3）；实心圆</t>
        </is>
      </c>
    </row>
    <row r="49" ht="45" customHeight="1" s="176">
      <c r="A49" s="201" t="inlineStr">
        <is>
          <t>K103</t>
        </is>
      </c>
      <c r="B49" s="201" t="inlineStr">
        <is>
          <t>013-滚雪球</t>
        </is>
      </c>
      <c r="C49" s="201" t="inlineStr">
        <is>
          <t>Clay</t>
        </is>
      </c>
      <c r="D49" s="202" t="inlineStr">
        <is>
          <t>维持</t>
        </is>
      </c>
      <c r="E49" s="178" t="inlineStr">
        <is>
          <t>BL vs MAIN＋6WK FU（合并）</t>
        </is>
      </c>
      <c r="F49" s="204" t="inlineStr">
        <is>
          <t>60, 100, 20, 40, 60, 40, 60, 40, 40</t>
        </is>
      </c>
      <c r="G49" s="205">
        <f>IF(F49="","",LEN(F49)-LEN(SUBSTITUTE(F49,",",""))+1)</f>
        <v/>
      </c>
      <c r="H49" s="204" t="inlineStr">
        <is>
          <t>100, 100, 100, 100, 100</t>
        </is>
      </c>
      <c r="I49" s="205">
        <f>IF(H49="","",LEN(H49)-LEN(SUBSTITUTE(H49,",",""))+1)</f>
        <v/>
      </c>
      <c r="J49" s="206" t="inlineStr">
        <is>
          <t>升高改善</t>
        </is>
      </c>
      <c r="K49" s="207" t="n">
        <v>-0.224525104684855</v>
      </c>
      <c r="L49" s="207" t="n">
        <v>0.432887934013342</v>
      </c>
      <c r="M49" s="205">
        <f>IF(OR(K49="",L49=""),"",IF(AND(L49&lt;0.05,OR(AND(J49="升高改善",K49&gt;0),AND(J49="降低改善",K49&lt;0))),"校正","不校正"))</f>
        <v/>
      </c>
      <c r="N49" s="178" t="inlineStr">
        <is>
          <t>Fig1，PDF8，印刷页8，自上而下第3面板（B3）；实心圆</t>
        </is>
      </c>
    </row>
    <row r="50" ht="45" customHeight="1" s="176">
      <c r="A50" s="201" t="inlineStr">
        <is>
          <t>K104</t>
        </is>
      </c>
      <c r="B50" s="201" t="inlineStr">
        <is>
          <t>013-滚雪球</t>
        </is>
      </c>
      <c r="C50" s="201" t="inlineStr">
        <is>
          <t>Clay</t>
        </is>
      </c>
      <c r="D50" s="202" t="inlineStr">
        <is>
          <t>干预</t>
        </is>
      </c>
      <c r="E50" s="178" t="inlineStr">
        <is>
          <t>BL vs INT</t>
        </is>
      </c>
      <c r="F50" s="204" t="inlineStr">
        <is>
          <t>83, 83, 16, 66, 33, 50, 66, 50, 50, 33, 50, 33</t>
        </is>
      </c>
      <c r="G50" s="205">
        <f>IF(F50="","",LEN(F50)-LEN(SUBSTITUTE(F50,",",""))+1)</f>
        <v/>
      </c>
      <c r="H50" s="204" t="inlineStr">
        <is>
          <t>33, 66, 100, 100, 100, 100, 100, 100, 100</t>
        </is>
      </c>
      <c r="I50" s="205">
        <f>IF(H50="","",LEN(H50)-LEN(SUBSTITUTE(H50,",",""))+1)</f>
        <v/>
      </c>
      <c r="J50" s="206" t="inlineStr">
        <is>
          <t>升高改善</t>
        </is>
      </c>
      <c r="K50" s="207" t="n">
        <v>-0.381746024927843</v>
      </c>
      <c r="L50" s="207" t="n">
        <v>0.102434364992897</v>
      </c>
      <c r="M50" s="205">
        <f>IF(OR(K50="",L50=""),"",IF(AND(L50&lt;0.05,OR(AND(J50="升高改善",K50&gt;0),AND(J50="降低改善",K50&lt;0))),"校正","不校正"))</f>
        <v/>
      </c>
      <c r="N50" s="178" t="inlineStr">
        <is>
          <t>Fig1，PDF8，印刷页8，自上而下第4面板（B4）；实心圆</t>
        </is>
      </c>
    </row>
    <row r="51" ht="45" customHeight="1" s="176">
      <c r="A51" s="201" t="inlineStr">
        <is>
          <t>K105</t>
        </is>
      </c>
      <c r="B51" s="201" t="inlineStr">
        <is>
          <t>013-滚雪球</t>
        </is>
      </c>
      <c r="C51" s="201" t="inlineStr">
        <is>
          <t>Clay</t>
        </is>
      </c>
      <c r="D51" s="202" t="inlineStr">
        <is>
          <t>维持</t>
        </is>
      </c>
      <c r="E51" s="178" t="inlineStr">
        <is>
          <t>BL vs 6WK FU</t>
        </is>
      </c>
      <c r="F51" s="204" t="inlineStr">
        <is>
          <t>83, 83, 16, 66, 33, 50, 66, 50, 50, 33, 50, 33</t>
        </is>
      </c>
      <c r="G51" s="205">
        <f>IF(F51="","",LEN(F51)-LEN(SUBSTITUTE(F51,",",""))+1)</f>
        <v/>
      </c>
      <c r="H51" s="204" t="inlineStr">
        <is>
          <t>83, 100, 100</t>
        </is>
      </c>
      <c r="I51" s="205">
        <f>IF(H51="","",LEN(H51)-LEN(SUBSTITUTE(H51,",",""))+1)</f>
        <v/>
      </c>
      <c r="J51" s="206" t="inlineStr">
        <is>
          <t>升高改善</t>
        </is>
      </c>
      <c r="K51" s="207" t="n">
        <v>-0.381746024927843</v>
      </c>
      <c r="L51" s="207" t="n">
        <v>0.102434364992897</v>
      </c>
      <c r="M51" s="205">
        <f>IF(OR(K51="",L51=""),"",IF(AND(L51&lt;0.05,OR(AND(J51="升高改善",K51&gt;0),AND(J51="降低改善",K51&lt;0))),"校正","不校正"))</f>
        <v/>
      </c>
      <c r="N51" s="178" t="inlineStr">
        <is>
          <t>Fig1，PDF8，印刷页8，自上而下第4面板（B4）；实心圆</t>
        </is>
      </c>
    </row>
    <row r="52" ht="45" customHeight="1" s="176">
      <c r="A52" s="201" t="inlineStr">
        <is>
          <t>K106</t>
        </is>
      </c>
      <c r="B52" s="201" t="inlineStr">
        <is>
          <t>013-滚雪球</t>
        </is>
      </c>
      <c r="C52" s="201" t="inlineStr">
        <is>
          <t>Jack</t>
        </is>
      </c>
      <c r="D52" s="202" t="inlineStr">
        <is>
          <t>干预</t>
        </is>
      </c>
      <c r="E52" s="178" t="inlineStr">
        <is>
          <t>BL vs INT</t>
        </is>
      </c>
      <c r="F52" s="178" t="inlineStr">
        <is>
          <t>0, 0, 25, 25</t>
        </is>
      </c>
      <c r="G52" s="201">
        <f>IF(F52="","",LEN(F52)-LEN(SUBSTITUTE(F52,",",""))+1)</f>
        <v/>
      </c>
      <c r="H52" s="178" t="inlineStr">
        <is>
          <t>75, 25, 25, 0, 100, 75, 75, 100, 100, 100</t>
        </is>
      </c>
      <c r="I52" s="201">
        <f>IF(H52="","",LEN(H52)-LEN(SUBSTITUTE(H52,",",""))+1)</f>
        <v/>
      </c>
      <c r="J52" s="202" t="inlineStr">
        <is>
          <t>升高改善</t>
        </is>
      </c>
      <c r="K52" s="203" t="n">
        <v>0.816496580927726</v>
      </c>
      <c r="L52" s="203" t="n">
        <v>0.121335250358482</v>
      </c>
      <c r="M52" s="201">
        <f>IF(OR(K52="",L52=""),"",IF(AND(L52&lt;0.05,OR(AND(J52="升高改善",K52&gt;0),AND(J52="降低改善",K52&lt;0))),"校正","不校正"))</f>
        <v/>
      </c>
      <c r="N52" s="178" t="inlineStr">
        <is>
          <t>Fig2，PDF9，印刷页9，自上而下第1面板（B1）；实心圆</t>
        </is>
      </c>
    </row>
    <row r="53" ht="45" customHeight="1" s="176">
      <c r="A53" s="201" t="inlineStr">
        <is>
          <t>K107</t>
        </is>
      </c>
      <c r="B53" s="201" t="inlineStr">
        <is>
          <t>013-滚雪球</t>
        </is>
      </c>
      <c r="C53" s="201" t="inlineStr">
        <is>
          <t>Jack</t>
        </is>
      </c>
      <c r="D53" s="202" t="inlineStr">
        <is>
          <t>维持</t>
        </is>
      </c>
      <c r="E53" s="178" t="inlineStr">
        <is>
          <t>BL vs MAIN＋6WK FU（合并）</t>
        </is>
      </c>
      <c r="F53" s="178" t="inlineStr">
        <is>
          <t>0, 0, 25, 25</t>
        </is>
      </c>
      <c r="G53" s="201">
        <f>IF(F53="","",LEN(F53)-LEN(SUBSTITUTE(F53,",",""))+1)</f>
        <v/>
      </c>
      <c r="H53" s="178" t="inlineStr">
        <is>
          <t>100, 100, 100, 100, 100, 100, 100</t>
        </is>
      </c>
      <c r="I53" s="201">
        <f>IF(H53="","",LEN(H53)-LEN(SUBSTITUTE(H53,",",""))+1)</f>
        <v/>
      </c>
      <c r="J53" s="202" t="inlineStr">
        <is>
          <t>升高改善</t>
        </is>
      </c>
      <c r="K53" s="203" t="n">
        <v>0.816496580927726</v>
      </c>
      <c r="L53" s="203" t="n">
        <v>0.121335250358482</v>
      </c>
      <c r="M53" s="201">
        <f>IF(OR(K53="",L53=""),"",IF(AND(L53&lt;0.05,OR(AND(J53="升高改善",K53&gt;0),AND(J53="降低改善",K53&lt;0))),"校正","不校正"))</f>
        <v/>
      </c>
      <c r="N53" s="178" t="inlineStr">
        <is>
          <t>Fig2，PDF9，印刷页9，自上而下第1面板（B1）；实心圆</t>
        </is>
      </c>
    </row>
    <row r="54" ht="45" customHeight="1" s="176">
      <c r="A54" s="201" t="inlineStr">
        <is>
          <t>K110</t>
        </is>
      </c>
      <c r="B54" s="201" t="inlineStr">
        <is>
          <t>013-滚雪球</t>
        </is>
      </c>
      <c r="C54" s="201" t="inlineStr">
        <is>
          <t>Jack</t>
        </is>
      </c>
      <c r="D54" s="202" t="inlineStr">
        <is>
          <t>干预</t>
        </is>
      </c>
      <c r="E54" s="178" t="inlineStr">
        <is>
          <t>BL vs INT</t>
        </is>
      </c>
      <c r="F54" s="204" t="inlineStr">
        <is>
          <t>20, 40, 80, 40, 60, 40, 60, 60, 20</t>
        </is>
      </c>
      <c r="G54" s="205">
        <f>IF(F54="","",LEN(F54)-LEN(SUBSTITUTE(F54,",",""))+1)</f>
        <v/>
      </c>
      <c r="H54" s="204" t="inlineStr">
        <is>
          <t>80, 100, 100, 100, 100, 100</t>
        </is>
      </c>
      <c r="I54" s="205">
        <f>IF(H54="","",LEN(H54)-LEN(SUBSTITUTE(H54,",",""))+1)</f>
        <v/>
      </c>
      <c r="J54" s="206" t="inlineStr">
        <is>
          <t>升高改善</t>
        </is>
      </c>
      <c r="K54" s="207" t="n">
        <v>0.0928476690885259</v>
      </c>
      <c r="L54" s="207" t="n">
        <v>0.742928120920435</v>
      </c>
      <c r="M54" s="205">
        <f>IF(OR(K54="",L54=""),"",IF(AND(L54&lt;0.05,OR(AND(J54="升高改善",K54&gt;0),AND(J54="降低改善",K54&lt;0))),"校正","不校正"))</f>
        <v/>
      </c>
      <c r="N54" s="178" t="inlineStr">
        <is>
          <t>Fig2，PDF9，印刷页9，自上而下第3面板（B3）；实心圆</t>
        </is>
      </c>
    </row>
    <row r="55" ht="45" customHeight="1" s="176">
      <c r="A55" s="201" t="inlineStr">
        <is>
          <t>K111</t>
        </is>
      </c>
      <c r="B55" s="201" t="inlineStr">
        <is>
          <t>013-滚雪球</t>
        </is>
      </c>
      <c r="C55" s="201" t="inlineStr">
        <is>
          <t>Jack</t>
        </is>
      </c>
      <c r="D55" s="202" t="inlineStr">
        <is>
          <t>维持</t>
        </is>
      </c>
      <c r="E55" s="178" t="inlineStr">
        <is>
          <t>BL vs MAIN＋6WK FU（合并）</t>
        </is>
      </c>
      <c r="F55" s="204" t="inlineStr">
        <is>
          <t>20, 40, 80, 40, 60, 40, 60, 60, 20</t>
        </is>
      </c>
      <c r="G55" s="205">
        <f>IF(F55="","",LEN(F55)-LEN(SUBSTITUTE(F55,",",""))+1)</f>
        <v/>
      </c>
      <c r="H55" s="204" t="inlineStr">
        <is>
          <t>100, 100, 100, 100, 100</t>
        </is>
      </c>
      <c r="I55" s="205">
        <f>IF(H55="","",LEN(H55)-LEN(SUBSTITUTE(H55,",",""))+1)</f>
        <v/>
      </c>
      <c r="J55" s="206" t="inlineStr">
        <is>
          <t>升高改善</t>
        </is>
      </c>
      <c r="K55" s="207" t="n">
        <v>0.0928476690885259</v>
      </c>
      <c r="L55" s="207" t="n">
        <v>0.742928120920435</v>
      </c>
      <c r="M55" s="205">
        <f>IF(OR(K55="",L55=""),"",IF(AND(L55&lt;0.05,OR(AND(J55="升高改善",K55&gt;0),AND(J55="降低改善",K55&lt;0))),"校正","不校正"))</f>
        <v/>
      </c>
      <c r="N55" s="178" t="inlineStr">
        <is>
          <t>Fig2，PDF9，印刷页9，自上而下第3面板（B3）；实心圆</t>
        </is>
      </c>
    </row>
    <row r="56" ht="45" customHeight="1" s="176">
      <c r="A56" s="201" t="inlineStr">
        <is>
          <t>K112</t>
        </is>
      </c>
      <c r="B56" s="201" t="inlineStr">
        <is>
          <t>013-滚雪球</t>
        </is>
      </c>
      <c r="C56" s="201" t="inlineStr">
        <is>
          <t>Jack</t>
        </is>
      </c>
      <c r="D56" s="202" t="inlineStr">
        <is>
          <t>干预</t>
        </is>
      </c>
      <c r="E56" s="178" t="inlineStr">
        <is>
          <t>BL vs INT</t>
        </is>
      </c>
      <c r="F56" s="204" t="inlineStr">
        <is>
          <t>83, 66, 83, 66, 100, 66, 66, 83, 33, 33, 50, 50, 33</t>
        </is>
      </c>
      <c r="G56" s="205">
        <f>IF(F56="","",LEN(F56)-LEN(SUBSTITUTE(F56,",",""))+1)</f>
        <v/>
      </c>
      <c r="H56" s="204" t="inlineStr">
        <is>
          <t>83, 83, 100, 100, 100, 66, 100, 100, 100</t>
        </is>
      </c>
      <c r="I56" s="205">
        <f>IF(H56="","",LEN(H56)-LEN(SUBSTITUTE(H56,",",""))+1)</f>
        <v/>
      </c>
      <c r="J56" s="206" t="inlineStr">
        <is>
          <t>升高改善</t>
        </is>
      </c>
      <c r="K56" s="207" t="n">
        <v>-0.547722557505166</v>
      </c>
      <c r="L56" s="207" t="n">
        <v>0.0139559372065811</v>
      </c>
      <c r="M56" s="205">
        <f>IF(OR(K56="",L56=""),"",IF(AND(L56&lt;0.05,OR(AND(J56="升高改善",K56&gt;0),AND(J56="降低改善",K56&lt;0))),"校正","不校正"))</f>
        <v/>
      </c>
      <c r="N56" s="178" t="inlineStr">
        <is>
          <t>Fig2，PDF9，印刷页9，自上而下第4面板（B4）；实心圆</t>
        </is>
      </c>
    </row>
    <row r="57" ht="45" customHeight="1" s="176">
      <c r="A57" s="201" t="inlineStr">
        <is>
          <t>K113</t>
        </is>
      </c>
      <c r="B57" s="201" t="inlineStr">
        <is>
          <t>013-滚雪球</t>
        </is>
      </c>
      <c r="C57" s="201" t="inlineStr">
        <is>
          <t>Jack</t>
        </is>
      </c>
      <c r="D57" s="202" t="inlineStr">
        <is>
          <t>维持</t>
        </is>
      </c>
      <c r="E57" s="178" t="inlineStr">
        <is>
          <t>BL vs 6WK FU</t>
        </is>
      </c>
      <c r="F57" s="204" t="inlineStr">
        <is>
          <t>83, 66, 83, 66, 100, 66, 66, 83, 33, 33, 50, 50, 33</t>
        </is>
      </c>
      <c r="G57" s="205">
        <f>IF(F57="","",LEN(F57)-LEN(SUBSTITUTE(F57,",",""))+1)</f>
        <v/>
      </c>
      <c r="H57" s="204" t="inlineStr">
        <is>
          <t>100, 100, 100</t>
        </is>
      </c>
      <c r="I57" s="205">
        <f>IF(H57="","",LEN(H57)-LEN(SUBSTITUTE(H57,",",""))+1)</f>
        <v/>
      </c>
      <c r="J57" s="206" t="inlineStr">
        <is>
          <t>升高改善</t>
        </is>
      </c>
      <c r="K57" s="207" t="n">
        <v>-0.547722557505166</v>
      </c>
      <c r="L57" s="207" t="n">
        <v>0.0139559372065811</v>
      </c>
      <c r="M57" s="205">
        <f>IF(OR(K57="",L57=""),"",IF(AND(L57&lt;0.05,OR(AND(J57="升高改善",K57&gt;0),AND(J57="降低改善",K57&lt;0))),"校正","不校正"))</f>
        <v/>
      </c>
      <c r="N57" s="178" t="inlineStr">
        <is>
          <t>Fig2，PDF9，印刷页9，自上而下第4面板（B4）；实心圆</t>
        </is>
      </c>
    </row>
    <row r="58" ht="45" customHeight="1" s="176">
      <c r="A58" s="201" t="inlineStr">
        <is>
          <t>K125</t>
        </is>
      </c>
      <c r="B58" s="201" t="inlineStr">
        <is>
          <t>017-二次</t>
        </is>
      </c>
      <c r="C58" s="201" t="inlineStr">
        <is>
          <t>Vito</t>
        </is>
      </c>
      <c r="D58" s="202" t="inlineStr">
        <is>
          <t>干预</t>
        </is>
      </c>
      <c r="E58" s="178" t="inlineStr">
        <is>
          <t>Baseline vs Intervention（Intervention + Prompts 段不用）</t>
        </is>
      </c>
      <c r="F58" s="178" t="inlineStr">
        <is>
          <t>0, 0, 12, 10, 0, 0, 0, 0</t>
        </is>
      </c>
      <c r="G58" s="201">
        <f>IF(F58="","",LEN(F58)-LEN(SUBSTITUTE(F58,",",""))+1)</f>
        <v/>
      </c>
      <c r="H58" s="178" t="inlineStr">
        <is>
          <t>22, 45, 49, 62, 59, 27, 15, 20, 0, 2</t>
        </is>
      </c>
      <c r="I58" s="201">
        <f>IF(H58="","",LEN(H58)-LEN(SUBSTITUTE(H58,",",""))+1)</f>
        <v/>
      </c>
      <c r="J58" s="202" t="inlineStr">
        <is>
          <t>升高改善</t>
        </is>
      </c>
      <c r="K58" s="203" t="n">
        <v>-0.26207120918048</v>
      </c>
      <c r="L58" s="203" t="n">
        <v>0.411079778723315</v>
      </c>
      <c r="M58" s="201">
        <f>IF(OR(K58="",L58=""),"",IF(AND(L58&lt;0.05,OR(AND(J58="升高改善",K58&gt;0),AND(J58="降低改善",K58&lt;0))),"校正","不校正"))</f>
        <v/>
      </c>
      <c r="N58" s="178" t="inlineStr">
        <is>
          <t>Figure 1，PDF第10页/印刷171页，第1面板（Vito），Target实心方块</t>
        </is>
      </c>
    </row>
    <row r="59" ht="45" customHeight="1" s="176">
      <c r="A59" s="201" t="inlineStr">
        <is>
          <t>K126</t>
        </is>
      </c>
      <c r="B59" s="201" t="inlineStr">
        <is>
          <t>017-二次</t>
        </is>
      </c>
      <c r="C59" s="201" t="inlineStr">
        <is>
          <t>Vito</t>
        </is>
      </c>
      <c r="D59" s="202" t="inlineStr">
        <is>
          <t>维持</t>
        </is>
      </c>
      <c r="E59" s="178" t="inlineStr">
        <is>
          <t>Baseline vs Follow-Up</t>
        </is>
      </c>
      <c r="F59" s="178" t="inlineStr">
        <is>
          <t>0, 0, 12, 10, 0, 0, 0, 0</t>
        </is>
      </c>
      <c r="G59" s="201">
        <f>IF(F59="","",LEN(F59)-LEN(SUBSTITUTE(F59,",",""))+1)</f>
        <v/>
      </c>
      <c r="H59" s="178" t="inlineStr">
        <is>
          <t>90, 80, 85, 80</t>
        </is>
      </c>
      <c r="I59" s="201">
        <f>IF(H59="","",LEN(H59)-LEN(SUBSTITUTE(H59,",",""))+1)</f>
        <v/>
      </c>
      <c r="J59" s="202" t="inlineStr">
        <is>
          <t>升高改善</t>
        </is>
      </c>
      <c r="K59" s="203" t="n">
        <v>-0.26207120918048</v>
      </c>
      <c r="L59" s="203" t="n">
        <v>0.411079778723315</v>
      </c>
      <c r="M59" s="201">
        <f>IF(OR(K59="",L59=""),"",IF(AND(L59&lt;0.05,OR(AND(J59="升高改善",K59&gt;0),AND(J59="降低改善",K59&lt;0))),"校正","不校正"))</f>
        <v/>
      </c>
      <c r="N59" s="178" t="inlineStr">
        <is>
          <t>Figure 1，PDF第10页/印刷171页，第1面板（Vito），Target实心方块Follow-Up</t>
        </is>
      </c>
    </row>
    <row r="60" ht="45" customHeight="1" s="176">
      <c r="A60" s="201" t="inlineStr">
        <is>
          <t>K127</t>
        </is>
      </c>
      <c r="B60" s="201" t="inlineStr">
        <is>
          <t>017-二次</t>
        </is>
      </c>
      <c r="C60" s="201" t="inlineStr">
        <is>
          <t>Vito</t>
        </is>
      </c>
      <c r="D60" s="202" t="inlineStr">
        <is>
          <t>泛化</t>
        </is>
      </c>
      <c r="E60" s="181" t="inlineStr">
        <is>
          <t>泛化 Baseline vs Intervention 段泛化探测（空心圆）</t>
        </is>
      </c>
      <c r="F60" s="178" t="inlineStr">
        <is>
          <t>2, 5, 9, 3</t>
        </is>
      </c>
      <c r="G60" s="201">
        <f>IF(F60="","",LEN(F60)-LEN(SUBSTITUTE(F60,",",""))+1)</f>
        <v/>
      </c>
      <c r="H60" s="178" t="inlineStr">
        <is>
          <t>9, 10, 2, 2, 5</t>
        </is>
      </c>
      <c r="I60" s="201">
        <f>IF(H60="","",LEN(H60)-LEN(SUBSTITUTE(H60,",",""))+1)</f>
        <v/>
      </c>
      <c r="J60" s="202" t="inlineStr">
        <is>
          <t>升高改善</t>
        </is>
      </c>
      <c r="K60" s="203" t="n">
        <v>0.333333333333333</v>
      </c>
      <c r="L60" s="203" t="n">
        <v>0.75</v>
      </c>
      <c r="M60" s="201">
        <f>IF(OR(K60="",L60=""),"",IF(AND(L60&lt;0.05,OR(AND(J60="升高改善",K60&gt;0),AND(J60="降低改善",K60&lt;0))),"校正","不校正"))</f>
        <v/>
      </c>
      <c r="N60" s="181" t="inlineStr">
        <is>
          <t>Figure 1，PDF第10页/印刷171页，第1面板（Vito），Generalization空心圆</t>
        </is>
      </c>
    </row>
    <row r="61" ht="45" customHeight="1" s="176">
      <c r="A61" s="201" t="inlineStr">
        <is>
          <t>K128</t>
        </is>
      </c>
      <c r="B61" s="201" t="inlineStr">
        <is>
          <t>017-二次</t>
        </is>
      </c>
      <c r="C61" s="201" t="inlineStr">
        <is>
          <t>Michael</t>
        </is>
      </c>
      <c r="D61" s="202" t="inlineStr">
        <is>
          <t>干预</t>
        </is>
      </c>
      <c r="E61" s="178" t="inlineStr">
        <is>
          <t>Baseline vs Intervention（Intervention + Prompts 段不用）</t>
        </is>
      </c>
      <c r="F61" s="178" t="inlineStr">
        <is>
          <t>7.5, 8, 0, 12, 5, 9, 0, 0, 13, 4, 0, 3, 2</t>
        </is>
      </c>
      <c r="G61" s="201">
        <f>IF(F61="","",LEN(F61)-LEN(SUBSTITUTE(F61,",",""))+1)</f>
        <v/>
      </c>
      <c r="H61" s="178" t="inlineStr">
        <is>
          <t>25, 38, 41, 22, 8, 3, 10</t>
        </is>
      </c>
      <c r="I61" s="201">
        <f>IF(H61="","",LEN(H61)-LEN(SUBSTITUTE(H61,",",""))+1)</f>
        <v/>
      </c>
      <c r="J61" s="202" t="inlineStr">
        <is>
          <t>升高改善</t>
        </is>
      </c>
      <c r="K61" s="203" t="n">
        <v>-0.21350420507345</v>
      </c>
      <c r="L61" s="203" t="n">
        <v>0.321061992253907</v>
      </c>
      <c r="M61" s="201">
        <f>IF(OR(K61="",L61=""),"",IF(AND(L61&lt;0.05,OR(AND(J61="升高改善",K61&gt;0),AND(J61="降低改善",K61&lt;0))),"校正","不校正"))</f>
        <v/>
      </c>
      <c r="N61" s="178" t="inlineStr">
        <is>
          <t>Figure 1，PDF第10页/印刷171页，第2面板（Michael），Target实心方块</t>
        </is>
      </c>
    </row>
    <row r="62" ht="45" customHeight="1" s="176">
      <c r="A62" s="201" t="inlineStr">
        <is>
          <t>K129</t>
        </is>
      </c>
      <c r="B62" s="201" t="inlineStr">
        <is>
          <t>017-二次</t>
        </is>
      </c>
      <c r="C62" s="201" t="inlineStr">
        <is>
          <t>Michael</t>
        </is>
      </c>
      <c r="D62" s="202" t="inlineStr">
        <is>
          <t>维持</t>
        </is>
      </c>
      <c r="E62" s="178" t="inlineStr">
        <is>
          <t>Baseline vs Follow-Up</t>
        </is>
      </c>
      <c r="F62" s="178" t="inlineStr">
        <is>
          <t>7.5, 8, 0, 12, 5, 9, 0, 0, 13, 4, 0, 3, 2</t>
        </is>
      </c>
      <c r="G62" s="201">
        <f>IF(F62="","",LEN(F62)-LEN(SUBSTITUTE(F62,",",""))+1)</f>
        <v/>
      </c>
      <c r="H62" s="178" t="inlineStr">
        <is>
          <t>50, 52, 38, 54</t>
        </is>
      </c>
      <c r="I62" s="201">
        <f>IF(H62="","",LEN(H62)-LEN(SUBSTITUTE(H62,",",""))+1)</f>
        <v/>
      </c>
      <c r="J62" s="202" t="inlineStr">
        <is>
          <t>升高改善</t>
        </is>
      </c>
      <c r="K62" s="203" t="n">
        <v>-0.21350420507345</v>
      </c>
      <c r="L62" s="203" t="n">
        <v>0.321061992253907</v>
      </c>
      <c r="M62" s="201">
        <f>IF(OR(K62="",L62=""),"",IF(AND(L62&lt;0.05,OR(AND(J62="升高改善",K62&gt;0),AND(J62="降低改善",K62&lt;0))),"校正","不校正"))</f>
        <v/>
      </c>
      <c r="N62" s="178" t="inlineStr">
        <is>
          <t>Figure 1，PDF第10页/印刷171页，第2面板（Michael），Target实心方块Follow-Up</t>
        </is>
      </c>
    </row>
    <row r="63" ht="45" customHeight="1" s="176">
      <c r="A63" s="201" t="inlineStr">
        <is>
          <t>K130</t>
        </is>
      </c>
      <c r="B63" s="201" t="inlineStr">
        <is>
          <t>017-二次</t>
        </is>
      </c>
      <c r="C63" s="201" t="inlineStr">
        <is>
          <t>Michael</t>
        </is>
      </c>
      <c r="D63" s="202" t="inlineStr">
        <is>
          <t>泛化</t>
        </is>
      </c>
      <c r="E63" s="181" t="inlineStr">
        <is>
          <t>泛化 Baseline vs Intervention 段泛化探测（空心圆）</t>
        </is>
      </c>
      <c r="F63" s="178" t="inlineStr">
        <is>
          <t>3, 4, 2, 3, 4, 5, 4</t>
        </is>
      </c>
      <c r="G63" s="201">
        <f>IF(F63="","",LEN(F63)-LEN(SUBSTITUTE(F63,",",""))+1)</f>
        <v/>
      </c>
      <c r="H63" s="178" t="inlineStr">
        <is>
          <t>3, 4, 5</t>
        </is>
      </c>
      <c r="I63" s="201">
        <f>IF(H63="","",LEN(H63)-LEN(SUBSTITUTE(H63,",",""))+1)</f>
        <v/>
      </c>
      <c r="J63" s="202" t="inlineStr">
        <is>
          <t>升高改善</t>
        </is>
      </c>
      <c r="K63" s="203" t="n">
        <v>0.476330511622467</v>
      </c>
      <c r="L63" s="203" t="n">
        <v>0.1530066664964</v>
      </c>
      <c r="M63" s="201">
        <f>IF(OR(K63="",L63=""),"",IF(AND(L63&lt;0.05,OR(AND(J63="升高改善",K63&gt;0),AND(J63="降低改善",K63&lt;0))),"校正","不校正"))</f>
        <v/>
      </c>
      <c r="N63" s="181" t="inlineStr">
        <is>
          <t>Figure 1，PDF第10页/印刷171页，第2面板（Michael），Generalization空心圆</t>
        </is>
      </c>
    </row>
    <row r="64" ht="45" customHeight="1" s="176">
      <c r="A64" s="201" t="inlineStr">
        <is>
          <t>K131</t>
        </is>
      </c>
      <c r="B64" s="201" t="inlineStr">
        <is>
          <t>017-二次</t>
        </is>
      </c>
      <c r="C64" s="201" t="inlineStr">
        <is>
          <t>Santino</t>
        </is>
      </c>
      <c r="D64" s="202" t="inlineStr">
        <is>
          <t>干预</t>
        </is>
      </c>
      <c r="E64" s="178" t="inlineStr">
        <is>
          <t>Baseline vs Intervention</t>
        </is>
      </c>
      <c r="F64" s="178" t="inlineStr">
        <is>
          <t>18, 0, 10, 11, 0, 15, 5, 0, 9, 5, 12, 5, 18, 7, 2, 0, 5</t>
        </is>
      </c>
      <c r="G64" s="201">
        <f>IF(F64="","",LEN(F64)-LEN(SUBSTITUTE(F64,",",""))+1)</f>
        <v/>
      </c>
      <c r="H64" s="178" t="inlineStr">
        <is>
          <t>0, 18, 28, 57, 69, 79, 78, 91, 80</t>
        </is>
      </c>
      <c r="I64" s="201">
        <f>IF(H64="","",LEN(H64)-LEN(SUBSTITUTE(H64,",",""))+1)</f>
        <v/>
      </c>
      <c r="J64" s="202" t="inlineStr">
        <is>
          <t>升高改善</t>
        </is>
      </c>
      <c r="K64" s="203" t="n">
        <v>-0.146903313280856</v>
      </c>
      <c r="L64" s="203" t="n">
        <v>0.426540646297244</v>
      </c>
      <c r="M64" s="201">
        <f>IF(OR(K64="",L64=""),"",IF(AND(L64&lt;0.05,OR(AND(J64="升高改善",K64&gt;0),AND(J64="降低改善",K64&lt;0))),"校正","不校正"))</f>
        <v/>
      </c>
      <c r="N64" s="178" t="inlineStr">
        <is>
          <t>Figure 1，PDF第10页/印刷171页，第3面板（Santino），Target实心方块</t>
        </is>
      </c>
    </row>
    <row r="65" ht="45" customHeight="1" s="176">
      <c r="A65" s="201" t="inlineStr">
        <is>
          <t>K132</t>
        </is>
      </c>
      <c r="B65" s="201" t="inlineStr">
        <is>
          <t>017-二次</t>
        </is>
      </c>
      <c r="C65" s="201" t="inlineStr">
        <is>
          <t>Santino</t>
        </is>
      </c>
      <c r="D65" s="202" t="inlineStr">
        <is>
          <t>维持</t>
        </is>
      </c>
      <c r="E65" s="178" t="inlineStr">
        <is>
          <t>Baseline vs Follow-Up</t>
        </is>
      </c>
      <c r="F65" s="178" t="inlineStr">
        <is>
          <t>18, 0, 10, 11, 0, 15, 5, 0, 9, 5, 12, 5, 18, 7, 2, 0, 5</t>
        </is>
      </c>
      <c r="G65" s="201">
        <f>IF(F65="","",LEN(F65)-LEN(SUBSTITUTE(F65,",",""))+1)</f>
        <v/>
      </c>
      <c r="H65" s="178" t="inlineStr">
        <is>
          <t>88, 80, 78, 82</t>
        </is>
      </c>
      <c r="I65" s="201">
        <f>IF(H65="","",LEN(H65)-LEN(SUBSTITUTE(H65,",",""))+1)</f>
        <v/>
      </c>
      <c r="J65" s="202" t="inlineStr">
        <is>
          <t>升高改善</t>
        </is>
      </c>
      <c r="K65" s="203" t="n">
        <v>-0.146903313280856</v>
      </c>
      <c r="L65" s="203" t="n">
        <v>0.426540646297244</v>
      </c>
      <c r="M65" s="201">
        <f>IF(OR(K65="",L65=""),"",IF(AND(L65&lt;0.05,OR(AND(J65="升高改善",K65&gt;0),AND(J65="降低改善",K65&lt;0))),"校正","不校正"))</f>
        <v/>
      </c>
      <c r="N65" s="178" t="inlineStr">
        <is>
          <t>Figure 1，PDF第10页/印刷171页，第3面板（Santino），Target实心方块Follow-Up</t>
        </is>
      </c>
    </row>
    <row r="66" ht="45" customHeight="1" s="176">
      <c r="A66" s="201" t="inlineStr">
        <is>
          <t>K133</t>
        </is>
      </c>
      <c r="B66" s="201" t="inlineStr">
        <is>
          <t>017-二次</t>
        </is>
      </c>
      <c r="C66" s="201" t="inlineStr">
        <is>
          <t>Santino</t>
        </is>
      </c>
      <c r="D66" s="202" t="inlineStr">
        <is>
          <t>泛化</t>
        </is>
      </c>
      <c r="E66" s="181" t="inlineStr">
        <is>
          <t>泛化 Baseline vs Intervention 段泛化探测（空心圆）</t>
        </is>
      </c>
      <c r="F66" s="178" t="inlineStr">
        <is>
          <t>25, 18, 20, 31, 19, 20, 22, 36</t>
        </is>
      </c>
      <c r="G66" s="201">
        <f>IF(F66="","",LEN(F66)-LEN(SUBSTITUTE(F66,",",""))+1)</f>
        <v/>
      </c>
      <c r="H66" s="178" t="inlineStr">
        <is>
          <t>25, 32, 18, 33, 20</t>
        </is>
      </c>
      <c r="I66" s="201">
        <f>IF(H66="","",LEN(H66)-LEN(SUBSTITUTE(H66,",",""))+1)</f>
        <v/>
      </c>
      <c r="J66" s="202" t="inlineStr">
        <is>
          <t>升高改善</t>
        </is>
      </c>
      <c r="K66" s="203" t="n">
        <v>0.327326835353989</v>
      </c>
      <c r="L66" s="203" t="n">
        <v>0.261827700927176</v>
      </c>
      <c r="M66" s="201">
        <f>IF(OR(K66="",L66=""),"",IF(AND(L66&lt;0.05,OR(AND(J66="升高改善",K66&gt;0),AND(J66="降低改善",K66&lt;0))),"校正","不校正"))</f>
        <v/>
      </c>
      <c r="N66" s="181" t="inlineStr">
        <is>
          <t>Figure 1，PDF第10页/印刷171页，第3面板（Santino），Generalization空心圆</t>
        </is>
      </c>
    </row>
    <row r="67" ht="45" customHeight="1" s="176">
      <c r="A67" s="201" t="inlineStr">
        <is>
          <t>K134</t>
        </is>
      </c>
      <c r="B67" s="201" t="inlineStr">
        <is>
          <t>018-二次</t>
        </is>
      </c>
      <c r="C67" s="201" t="inlineStr">
        <is>
          <t>Luke</t>
        </is>
      </c>
      <c r="D67" s="202" t="inlineStr">
        <is>
          <t>干预</t>
        </is>
      </c>
      <c r="E67" s="178" t="inlineStr">
        <is>
          <t>Baseline vs Video Treatment</t>
        </is>
      </c>
      <c r="F67" s="208" t="inlineStr">
        <is>
          <t>0, 0, 0, 0</t>
        </is>
      </c>
      <c r="G67" s="209">
        <f>IF(F67="","",LEN(F67)-LEN(SUBSTITUTE(F67,",",""))+1)</f>
        <v/>
      </c>
      <c r="H67" s="208" t="inlineStr">
        <is>
          <t>16, 16, 16, 25, 40, 66, 66, 51, 66, 66, 66, 66, 66, 66</t>
        </is>
      </c>
      <c r="I67" s="209">
        <f>IF(H67="","",LEN(H67)-LEN(SUBSTITUTE(H67,",",""))+1)</f>
        <v/>
      </c>
      <c r="J67" s="210" t="inlineStr">
        <is>
          <t>升高改善</t>
        </is>
      </c>
      <c r="K67" s="211" t="n">
        <v>0</v>
      </c>
      <c r="L67" s="211" t="n">
        <v>1</v>
      </c>
      <c r="M67" s="209">
        <f>IF(OR(K67="",L67=""),"",IF(AND(L67&lt;0.05,OR(AND(J67="升高改善",K67&gt;0),AND(J67="降低改善",K67&lt;0))),"校正","不校正"))</f>
        <v/>
      </c>
      <c r="N67" s="178" t="inlineStr">
        <is>
          <t>Fig1，PDF10，印刷页149，自上而下第1面板（Luke），Self as Model实心圆</t>
        </is>
      </c>
    </row>
    <row r="68" ht="45" customHeight="1" s="176">
      <c r="A68" s="201" t="inlineStr">
        <is>
          <t>K135</t>
        </is>
      </c>
      <c r="B68" s="201" t="inlineStr">
        <is>
          <t>018-二次</t>
        </is>
      </c>
      <c r="C68" s="201" t="inlineStr">
        <is>
          <t>Luke</t>
        </is>
      </c>
      <c r="D68" s="202" t="inlineStr">
        <is>
          <t>干预</t>
        </is>
      </c>
      <c r="E68" s="178" t="inlineStr">
        <is>
          <t>Baseline vs Video Treatment</t>
        </is>
      </c>
      <c r="F68" s="208" t="inlineStr">
        <is>
          <t>0, 0, 0, 0</t>
        </is>
      </c>
      <c r="G68" s="209">
        <f>IF(F68="","",LEN(F68)-LEN(SUBSTITUTE(F68,",",""))+1)</f>
        <v/>
      </c>
      <c r="H68" s="208" t="inlineStr">
        <is>
          <t>0, 25, 40, 25, 65, 74, 97, 83, 83, 83, 100, 100, 100, 83</t>
        </is>
      </c>
      <c r="I68" s="209">
        <f>IF(H68="","",LEN(H68)-LEN(SUBSTITUTE(H68,",",""))+1)</f>
        <v/>
      </c>
      <c r="J68" s="210" t="inlineStr">
        <is>
          <t>升高改善</t>
        </is>
      </c>
      <c r="K68" s="211" t="n">
        <v>0</v>
      </c>
      <c r="L68" s="211" t="n">
        <v>1</v>
      </c>
      <c r="M68" s="209">
        <f>IF(OR(K68="",L68=""),"",IF(AND(L68&lt;0.05,OR(AND(J68="升高改善",K68&gt;0),AND(J68="降低改善",K68&lt;0))),"校正","不校正"))</f>
        <v/>
      </c>
      <c r="N68" s="178" t="inlineStr">
        <is>
          <t>Fig1，PDF10，印刷页149，自上而下第1面板（Luke），Other as Model空心方形</t>
        </is>
      </c>
    </row>
    <row r="69" ht="45" customHeight="1" s="176">
      <c r="A69" s="201" t="inlineStr">
        <is>
          <t>K136</t>
        </is>
      </c>
      <c r="B69" s="201" t="inlineStr">
        <is>
          <t>018-二次</t>
        </is>
      </c>
      <c r="C69" s="201" t="inlineStr">
        <is>
          <t>Sam</t>
        </is>
      </c>
      <c r="D69" s="202" t="inlineStr">
        <is>
          <t>干预</t>
        </is>
      </c>
      <c r="E69" s="178" t="inlineStr">
        <is>
          <t>Baseline vs Video Treatment</t>
        </is>
      </c>
      <c r="F69" s="208" t="inlineStr">
        <is>
          <t>0, 0, 0, 0, 0, 0</t>
        </is>
      </c>
      <c r="G69" s="209">
        <f>IF(F69="","",LEN(F69)-LEN(SUBSTITUTE(F69,",",""))+1)</f>
        <v/>
      </c>
      <c r="H69" s="208" t="inlineStr">
        <is>
          <t>88, 100, 88, 100, 100, 84, 100, 100, 100, 100, 100, 100, 100, 100, 100</t>
        </is>
      </c>
      <c r="I69" s="209">
        <f>IF(H69="","",LEN(H69)-LEN(SUBSTITUTE(H69,",",""))+1)</f>
        <v/>
      </c>
      <c r="J69" s="210" t="inlineStr">
        <is>
          <t>升高改善</t>
        </is>
      </c>
      <c r="K69" s="211" t="n">
        <v>0</v>
      </c>
      <c r="L69" s="211" t="n">
        <v>1</v>
      </c>
      <c r="M69" s="209">
        <f>IF(OR(K69="",L69=""),"",IF(AND(L69&lt;0.05,OR(AND(J69="升高改善",K69&gt;0),AND(J69="降低改善",K69&lt;0))),"校正","不校正"))</f>
        <v/>
      </c>
      <c r="N69" s="178" t="inlineStr">
        <is>
          <t>Fig1，PDF10，印刷页149，自上而下第2面板（Sam），Self as Model实心圆</t>
        </is>
      </c>
    </row>
    <row r="70" ht="45" customHeight="1" s="176">
      <c r="A70" s="201" t="inlineStr">
        <is>
          <t>K137</t>
        </is>
      </c>
      <c r="B70" s="201" t="inlineStr">
        <is>
          <t>018-二次</t>
        </is>
      </c>
      <c r="C70" s="201" t="inlineStr">
        <is>
          <t>Sam</t>
        </is>
      </c>
      <c r="D70" s="202" t="inlineStr">
        <is>
          <t>干预</t>
        </is>
      </c>
      <c r="E70" s="178" t="inlineStr">
        <is>
          <t>Baseline vs Video Treatment</t>
        </is>
      </c>
      <c r="F70" s="208" t="inlineStr">
        <is>
          <t>0, 0, 0, 0, 0, 0</t>
        </is>
      </c>
      <c r="G70" s="209">
        <f>IF(F70="","",LEN(F70)-LEN(SUBSTITUTE(F70,",",""))+1)</f>
        <v/>
      </c>
      <c r="H70" s="208" t="inlineStr">
        <is>
          <t>22, 22, 32, 32, 22, 50, 63, 76, 90, 90, 90, 90, 90, 100, 100</t>
        </is>
      </c>
      <c r="I70" s="209">
        <f>IF(H70="","",LEN(H70)-LEN(SUBSTITUTE(H70,",",""))+1)</f>
        <v/>
      </c>
      <c r="J70" s="210" t="inlineStr">
        <is>
          <t>升高改善</t>
        </is>
      </c>
      <c r="K70" s="211" t="n">
        <v>0</v>
      </c>
      <c r="L70" s="211" t="n">
        <v>1</v>
      </c>
      <c r="M70" s="209">
        <f>IF(OR(K70="",L70=""),"",IF(AND(L70&lt;0.05,OR(AND(J70="升高改善",K70&gt;0),AND(J70="降低改善",K70&lt;0))),"校正","不校正"))</f>
        <v/>
      </c>
      <c r="N70" s="178" t="inlineStr">
        <is>
          <t>Fig1，PDF10，印刷页149，自上而下第2面板（Sam），Other as Model空心方形</t>
        </is>
      </c>
    </row>
    <row r="71" ht="45" customHeight="1" s="176">
      <c r="A71" s="201" t="inlineStr">
        <is>
          <t>K138</t>
        </is>
      </c>
      <c r="B71" s="201" t="inlineStr">
        <is>
          <t>018-二次</t>
        </is>
      </c>
      <c r="C71" s="201" t="inlineStr">
        <is>
          <t>Joey</t>
        </is>
      </c>
      <c r="D71" s="202" t="inlineStr">
        <is>
          <t>干预</t>
        </is>
      </c>
      <c r="E71" s="178" t="inlineStr">
        <is>
          <t>Baseline vs Video Treatment</t>
        </is>
      </c>
      <c r="F71" s="208" t="inlineStr">
        <is>
          <t>0, 0, 0, 0, 0, 0, 0, 0</t>
        </is>
      </c>
      <c r="G71" s="209">
        <f>IF(F71="","",LEN(F71)-LEN(SUBSTITUTE(F71,",",""))+1)</f>
        <v/>
      </c>
      <c r="H71" s="208" t="inlineStr">
        <is>
          <t>0, 0, 0, 15, 15, 15, 0, 0, 24, 0, 0, 15, 0, 0, 15, 0, 15</t>
        </is>
      </c>
      <c r="I71" s="209">
        <f>IF(H71="","",LEN(H71)-LEN(SUBSTITUTE(H71,",",""))+1)</f>
        <v/>
      </c>
      <c r="J71" s="210" t="inlineStr">
        <is>
          <t>升高改善</t>
        </is>
      </c>
      <c r="K71" s="211" t="n">
        <v>0</v>
      </c>
      <c r="L71" s="211" t="n">
        <v>1</v>
      </c>
      <c r="M71" s="209">
        <f>IF(OR(K71="",L71=""),"",IF(AND(L71&lt;0.05,OR(AND(J71="升高改善",K71&gt;0),AND(J71="降低改善",K71&lt;0))),"校正","不校正"))</f>
        <v/>
      </c>
      <c r="N71" s="178" t="inlineStr">
        <is>
          <t>Fig1，PDF10，印刷页149，自上而下第3面板（Joey），Self as Model实心圆</t>
        </is>
      </c>
    </row>
    <row r="72" ht="45" customHeight="1" s="176">
      <c r="A72" s="201" t="inlineStr">
        <is>
          <t>K139</t>
        </is>
      </c>
      <c r="B72" s="201" t="inlineStr">
        <is>
          <t>018-二次</t>
        </is>
      </c>
      <c r="C72" s="201" t="inlineStr">
        <is>
          <t>Joey</t>
        </is>
      </c>
      <c r="D72" s="202" t="inlineStr">
        <is>
          <t>干预</t>
        </is>
      </c>
      <c r="E72" s="178" t="inlineStr">
        <is>
          <t>Baseline vs Video Treatment</t>
        </is>
      </c>
      <c r="F72" s="208" t="inlineStr">
        <is>
          <t>0, 0, 0, 0, 0, 0, 0, 0</t>
        </is>
      </c>
      <c r="G72" s="209">
        <f>IF(F72="","",LEN(F72)-LEN(SUBSTITUTE(F72,",",""))+1)</f>
        <v/>
      </c>
      <c r="H72" s="208" t="inlineStr">
        <is>
          <t>0, 0, 0, 0, 24, 15, 15, 15, 0, 0, 0, 24, 15, 24, 24, 24, 15</t>
        </is>
      </c>
      <c r="I72" s="209">
        <f>IF(H72="","",LEN(H72)-LEN(SUBSTITUTE(H72,",",""))+1)</f>
        <v/>
      </c>
      <c r="J72" s="210" t="inlineStr">
        <is>
          <t>升高改善</t>
        </is>
      </c>
      <c r="K72" s="211" t="n">
        <v>0</v>
      </c>
      <c r="L72" s="211" t="n">
        <v>1</v>
      </c>
      <c r="M72" s="209">
        <f>IF(OR(K72="",L72=""),"",IF(AND(L72&lt;0.05,OR(AND(J72="升高改善",K72&gt;0),AND(J72="降低改善",K72&lt;0))),"校正","不校正"))</f>
        <v/>
      </c>
      <c r="N72" s="178" t="inlineStr">
        <is>
          <t>Fig1，PDF10，印刷页149，自上而下第3面板（Joey），Other as Model空心方形</t>
        </is>
      </c>
    </row>
    <row r="73" ht="45" customHeight="1" s="176">
      <c r="A73" s="201" t="inlineStr">
        <is>
          <t>K140</t>
        </is>
      </c>
      <c r="B73" s="201" t="inlineStr">
        <is>
          <t>018-二次</t>
        </is>
      </c>
      <c r="C73" s="201" t="inlineStr">
        <is>
          <t>Jack</t>
        </is>
      </c>
      <c r="D73" s="202" t="inlineStr">
        <is>
          <t>干预</t>
        </is>
      </c>
      <c r="E73" s="178" t="inlineStr">
        <is>
          <t>Baseline vs Video Treatment</t>
        </is>
      </c>
      <c r="F73" s="208" t="inlineStr">
        <is>
          <t>0, 0, 0, 0, 0, 0, 0, 0, 0</t>
        </is>
      </c>
      <c r="G73" s="209">
        <f>IF(F73="","",LEN(F73)-LEN(SUBSTITUTE(F73,",",""))+1)</f>
        <v/>
      </c>
      <c r="H73" s="208" t="inlineStr">
        <is>
          <t>0, 16, 31, 31, 61, 100, 76</t>
        </is>
      </c>
      <c r="I73" s="209">
        <f>IF(H73="","",LEN(H73)-LEN(SUBSTITUTE(H73,",",""))+1)</f>
        <v/>
      </c>
      <c r="J73" s="210" t="inlineStr">
        <is>
          <t>升高改善</t>
        </is>
      </c>
      <c r="K73" s="211" t="n">
        <v>0</v>
      </c>
      <c r="L73" s="211" t="n">
        <v>1</v>
      </c>
      <c r="M73" s="209">
        <f>IF(OR(K73="",L73=""),"",IF(AND(L73&lt;0.05,OR(AND(J73="升高改善",K73&gt;0),AND(J73="降低改善",K73&lt;0))),"校正","不校正"))</f>
        <v/>
      </c>
      <c r="N73" s="178" t="inlineStr">
        <is>
          <t>Fig1，PDF10，印刷页149，自上而下第4面板（Jack），Self as Model实心圆</t>
        </is>
      </c>
    </row>
    <row r="74" ht="45" customHeight="1" s="176">
      <c r="A74" s="201" t="inlineStr">
        <is>
          <t>K141</t>
        </is>
      </c>
      <c r="B74" s="201" t="inlineStr">
        <is>
          <t>018-二次</t>
        </is>
      </c>
      <c r="C74" s="201" t="inlineStr">
        <is>
          <t>Jack</t>
        </is>
      </c>
      <c r="D74" s="202" t="inlineStr">
        <is>
          <t>干预</t>
        </is>
      </c>
      <c r="E74" s="178" t="inlineStr">
        <is>
          <t>Baseline vs Video Treatment</t>
        </is>
      </c>
      <c r="F74" s="208" t="inlineStr">
        <is>
          <t>0, 0, 0, 0, 0, 0, 0, 0, 0</t>
        </is>
      </c>
      <c r="G74" s="209">
        <f>IF(F74="","",LEN(F74)-LEN(SUBSTITUTE(F74,",",""))+1)</f>
        <v/>
      </c>
      <c r="H74" s="208" t="inlineStr">
        <is>
          <t>0, 0, 0, 75, 100, 100, 36</t>
        </is>
      </c>
      <c r="I74" s="209">
        <f>IF(H74="","",LEN(H74)-LEN(SUBSTITUTE(H74,",",""))+1)</f>
        <v/>
      </c>
      <c r="J74" s="210" t="inlineStr">
        <is>
          <t>升高改善</t>
        </is>
      </c>
      <c r="K74" s="211" t="n">
        <v>0</v>
      </c>
      <c r="L74" s="211" t="n">
        <v>1</v>
      </c>
      <c r="M74" s="209">
        <f>IF(OR(K74="",L74=""),"",IF(AND(L74&lt;0.05,OR(AND(J74="升高改善",K74&gt;0),AND(J74="降低改善",K74&lt;0))),"校正","不校正"))</f>
        <v/>
      </c>
      <c r="N74" s="178" t="inlineStr">
        <is>
          <t>Fig1，PDF10，印刷页149，自上而下第4面板（Jack），Other as Model空心方形</t>
        </is>
      </c>
    </row>
    <row r="75" ht="45" customHeight="1" s="176">
      <c r="A75" s="201" t="inlineStr">
        <is>
          <t>K142</t>
        </is>
      </c>
      <c r="B75" s="201" t="inlineStr">
        <is>
          <t>018-二次</t>
        </is>
      </c>
      <c r="C75" s="201" t="inlineStr">
        <is>
          <t>Jack</t>
        </is>
      </c>
      <c r="D75" s="202" t="inlineStr">
        <is>
          <t>维持</t>
        </is>
      </c>
      <c r="E75" s="178" t="inlineStr">
        <is>
          <t>Baseline vs 2 个月 Follow-up</t>
        </is>
      </c>
      <c r="F75" s="178" t="inlineStr">
        <is>
          <t>0, 0, 0, 0, 0, 0, 0, 0, 0</t>
        </is>
      </c>
      <c r="G75" s="201">
        <f>IF(F75="","",LEN(F75)-LEN(SUBSTITUTE(F75,",",""))+1)</f>
        <v/>
      </c>
      <c r="H75" s="178" t="inlineStr">
        <is>
          <t>0, 0, 0</t>
        </is>
      </c>
      <c r="I75" s="201">
        <f>IF(H75="","",LEN(H75)-LEN(SUBSTITUTE(H75,",",""))+1)</f>
        <v/>
      </c>
      <c r="J75" s="202" t="inlineStr">
        <is>
          <t>升高改善</t>
        </is>
      </c>
      <c r="K75" s="203" t="n">
        <v>0</v>
      </c>
      <c r="L75" s="203" t="n">
        <v>1</v>
      </c>
      <c r="M75" s="201">
        <f>IF(OR(K75="",L75=""),"",IF(AND(L75&lt;0.05,OR(AND(J75="升高改善",K75&gt;0),AND(J75="降低改善",K75&lt;0))),"校正","不校正"))</f>
        <v/>
      </c>
      <c r="N75" s="178" t="inlineStr">
        <is>
          <t>Fig1，PDF10，印刷页149，自上而下第4面板（Jack），Other as Model空心方形</t>
        </is>
      </c>
    </row>
    <row r="76" ht="45" customHeight="1" s="176">
      <c r="A76" s="201" t="inlineStr">
        <is>
          <t>K143</t>
        </is>
      </c>
      <c r="B76" s="201" t="inlineStr">
        <is>
          <t>018-二次</t>
        </is>
      </c>
      <c r="C76" s="201" t="inlineStr">
        <is>
          <t>Chuck</t>
        </is>
      </c>
      <c r="D76" s="202" t="inlineStr">
        <is>
          <t>干预</t>
        </is>
      </c>
      <c r="E76" s="178" t="inlineStr">
        <is>
          <t>Baseline vs Video Treatment</t>
        </is>
      </c>
      <c r="F76" s="208" t="inlineStr">
        <is>
          <t>0, 0, 0, 0, 0, 0, 0, 0, 0, 0, 0, 0</t>
        </is>
      </c>
      <c r="G76" s="209">
        <f>IF(F76="","",LEN(F76)-LEN(SUBSTITUTE(F76,",",""))+1)</f>
        <v/>
      </c>
      <c r="H76" s="208" t="inlineStr">
        <is>
          <t>0, 0, 0, 0, 0, 0, 0, 0, 0, 16, 16, 16, 30, 30, 30, 60, 60, 60, 41, 41, 41, 41, 41, 60, 41, 41, 41, 41</t>
        </is>
      </c>
      <c r="I76" s="209">
        <f>IF(H76="","",LEN(H76)-LEN(SUBSTITUTE(H76,",",""))+1)</f>
        <v/>
      </c>
      <c r="J76" s="210" t="inlineStr">
        <is>
          <t>升高改善</t>
        </is>
      </c>
      <c r="K76" s="211" t="n">
        <v>0</v>
      </c>
      <c r="L76" s="211" t="n">
        <v>1</v>
      </c>
      <c r="M76" s="209">
        <f>IF(OR(K76="",L76=""),"",IF(AND(L76&lt;0.05,OR(AND(J76="升高改善",K76&gt;0),AND(J76="降低改善",K76&lt;0))),"校正","不校正"))</f>
        <v/>
      </c>
      <c r="N76" s="178" t="inlineStr">
        <is>
          <t>Fig1，PDF10，印刷页149，自上而下第5面板（Chuck），Self as Model实心圆</t>
        </is>
      </c>
    </row>
    <row r="77" ht="45" customHeight="1" s="176">
      <c r="A77" s="201" t="inlineStr">
        <is>
          <t>K144</t>
        </is>
      </c>
      <c r="B77" s="201" t="inlineStr">
        <is>
          <t>018-二次</t>
        </is>
      </c>
      <c r="C77" s="201" t="inlineStr">
        <is>
          <t>Chuck</t>
        </is>
      </c>
      <c r="D77" s="202" t="inlineStr">
        <is>
          <t>干预</t>
        </is>
      </c>
      <c r="E77" s="178" t="inlineStr">
        <is>
          <t>Baseline vs Video Treatment</t>
        </is>
      </c>
      <c r="F77" s="208" t="inlineStr">
        <is>
          <t>0, 0, 0, 0, 0, 0, 0, 0, 0, 0, 0, 0</t>
        </is>
      </c>
      <c r="G77" s="209">
        <f>IF(F77="","",LEN(F77)-LEN(SUBSTITUTE(F77,",",""))+1)</f>
        <v/>
      </c>
      <c r="H77" s="208" t="inlineStr">
        <is>
          <t>0, 0, 0, 0, 0, 0, 16, 30, 30, 41, 41, 41, 60, 60, 41, 60, 41, 41, 60, 60, 69, 60, 60, 60, 69, 60, 60, 69</t>
        </is>
      </c>
      <c r="I77" s="209">
        <f>IF(H77="","",LEN(H77)-LEN(SUBSTITUTE(H77,",",""))+1)</f>
        <v/>
      </c>
      <c r="J77" s="210" t="inlineStr">
        <is>
          <t>升高改善</t>
        </is>
      </c>
      <c r="K77" s="211" t="n">
        <v>0</v>
      </c>
      <c r="L77" s="211" t="n">
        <v>1</v>
      </c>
      <c r="M77" s="209">
        <f>IF(OR(K77="",L77=""),"",IF(AND(L77&lt;0.05,OR(AND(J77="升高改善",K77&gt;0),AND(J77="降低改善",K77&lt;0))),"校正","不校正"))</f>
        <v/>
      </c>
      <c r="N77" s="178" t="inlineStr">
        <is>
          <t>Fig1，PDF10，印刷页149，自上而下第5面板（Chuck），Other as Model空心方形</t>
        </is>
      </c>
    </row>
    <row r="78" ht="45" customHeight="1" s="176">
      <c r="A78" s="201" t="inlineStr">
        <is>
          <t>K169</t>
        </is>
      </c>
      <c r="B78" s="201" t="inlineStr">
        <is>
          <t>026-二次</t>
        </is>
      </c>
      <c r="C78" s="201" t="inlineStr">
        <is>
          <t>Taylor</t>
        </is>
      </c>
      <c r="D78" s="202" t="inlineStr">
        <is>
          <t>干预</t>
        </is>
      </c>
      <c r="E78" s="178" t="inlineStr">
        <is>
          <t>Baseline vs VSM</t>
        </is>
      </c>
      <c r="F78" s="204" t="inlineStr">
        <is>
          <t>0, 0, 0, 0, 0, 0, 0, 1, 0, 0, 0</t>
        </is>
      </c>
      <c r="G78" s="205">
        <f>IF(F78="","",LEN(F78)-LEN(SUBSTITUTE(F78,",",""))+1)</f>
        <v/>
      </c>
      <c r="H78" s="204" t="inlineStr">
        <is>
          <t>0, 0, 0, 4, 0.8</t>
        </is>
      </c>
      <c r="I78" s="205">
        <f>IF(H78="","",LEN(H78)-LEN(SUBSTITUTE(H78,",",""))+1)</f>
        <v/>
      </c>
      <c r="J78" s="206" t="inlineStr">
        <is>
          <t>升高改善</t>
        </is>
      </c>
      <c r="K78" s="207" t="n">
        <v>0.170560573084488</v>
      </c>
      <c r="L78" s="207" t="n">
        <v>0.527089256865538</v>
      </c>
      <c r="M78" s="205">
        <f>IF(OR(K78="",L78=""),"",IF(AND(L78&lt;0.05,OR(AND(J78="升高改善",K78&gt;0),AND(J78="降低改善",K78&lt;0))),"校正","不校正"))</f>
        <v/>
      </c>
      <c r="N78" s="178" t="inlineStr">
        <is>
          <t>Figure 1，PDF 7 / 印刷页7，自上而下第1面板（Taylor）；符号见原图图例</t>
        </is>
      </c>
    </row>
    <row r="79" ht="45" customHeight="1" s="176">
      <c r="A79" s="201" t="inlineStr">
        <is>
          <t>K170</t>
        </is>
      </c>
      <c r="B79" s="201" t="inlineStr">
        <is>
          <t>026-二次</t>
        </is>
      </c>
      <c r="C79" s="201" t="inlineStr">
        <is>
          <t>Taylor</t>
        </is>
      </c>
      <c r="D79" s="202" t="inlineStr">
        <is>
          <t>维持</t>
        </is>
      </c>
      <c r="E79" s="178" t="inlineStr">
        <is>
          <t>Baseline vs Maintenance</t>
        </is>
      </c>
      <c r="F79" s="204" t="inlineStr">
        <is>
          <t>0, 0, 0, 0, 0, 0, 0, 1, 0, 0, 0</t>
        </is>
      </c>
      <c r="G79" s="205">
        <f>IF(F79="","",LEN(F79)-LEN(SUBSTITUTE(F79,",",""))+1)</f>
        <v/>
      </c>
      <c r="H79" s="204" t="inlineStr">
        <is>
          <t>3, 4, 5, 1, 3, 7, 3, 3, 3, 0, 3, 2, 2, 1, 0, 2, 4, 0, 2, 1, 3, 3, 1, 3, 0, 2, 3, 1, 4, 3, 2</t>
        </is>
      </c>
      <c r="I79" s="205">
        <f>IF(H79="","",LEN(H79)-LEN(SUBSTITUTE(H79,",",""))+1)</f>
        <v/>
      </c>
      <c r="J79" s="206" t="inlineStr">
        <is>
          <t>升高改善</t>
        </is>
      </c>
      <c r="K79" s="207" t="n">
        <v>0.170560573084488</v>
      </c>
      <c r="L79" s="207" t="n">
        <v>0.527089256865538</v>
      </c>
      <c r="M79" s="205">
        <f>IF(OR(K79="",L79=""),"",IF(AND(L79&lt;0.05,OR(AND(J79="升高改善",K79&gt;0),AND(J79="降低改善",K79&lt;0))),"校正","不校正"))</f>
        <v/>
      </c>
      <c r="N79" s="178" t="inlineStr">
        <is>
          <t>Figure 1，PDF 7 / 印刷页7，自上而下第1面板（Taylor）；符号见原图图例</t>
        </is>
      </c>
    </row>
    <row r="80" ht="45" customHeight="1" s="176">
      <c r="A80" s="201" t="inlineStr">
        <is>
          <t>K171</t>
        </is>
      </c>
      <c r="B80" s="201" t="inlineStr">
        <is>
          <t>026-二次</t>
        </is>
      </c>
      <c r="C80" s="201" t="inlineStr">
        <is>
          <t>Corey</t>
        </is>
      </c>
      <c r="D80" s="202" t="inlineStr">
        <is>
          <t>干预</t>
        </is>
      </c>
      <c r="E80" s="178" t="inlineStr">
        <is>
          <t>Baseline vs VSM</t>
        </is>
      </c>
      <c r="F80" s="204" t="inlineStr">
        <is>
          <t>0, 0, 0, 0, 1, 0, 0, 0, 1, 0, 2, 0, 0, 1, 0, 1, 1, 0</t>
        </is>
      </c>
      <c r="G80" s="205">
        <f>IF(F80="","",LEN(F80)-LEN(SUBSTITUTE(F80,",",""))+1)</f>
        <v/>
      </c>
      <c r="H80" s="204" t="inlineStr">
        <is>
          <t>1, 2, 3, 4, 3</t>
        </is>
      </c>
      <c r="I80" s="205">
        <f>IF(H80="","",LEN(H80)-LEN(SUBSTITUTE(H80,",",""))+1)</f>
        <v/>
      </c>
      <c r="J80" s="206" t="inlineStr">
        <is>
          <t>升高改善</t>
        </is>
      </c>
      <c r="K80" s="207" t="n">
        <v>0.267181829864345</v>
      </c>
      <c r="L80" s="207" t="n">
        <v>0.179919438157703</v>
      </c>
      <c r="M80" s="205">
        <f>IF(OR(K80="",L80=""),"",IF(AND(L80&lt;0.05,OR(AND(J80="升高改善",K80&gt;0),AND(J80="降低改善",K80&lt;0))),"校正","不校正"))</f>
        <v/>
      </c>
      <c r="N80" s="178" t="inlineStr">
        <is>
          <t>Figure 1，PDF 7 / 印刷页7，自上而下第3面板（Corey）；符号见原图图例</t>
        </is>
      </c>
    </row>
    <row r="81" ht="45" customHeight="1" s="176">
      <c r="A81" s="201" t="inlineStr">
        <is>
          <t>K172</t>
        </is>
      </c>
      <c r="B81" s="201" t="inlineStr">
        <is>
          <t>026-二次</t>
        </is>
      </c>
      <c r="C81" s="201" t="inlineStr">
        <is>
          <t>Corey</t>
        </is>
      </c>
      <c r="D81" s="202" t="inlineStr">
        <is>
          <t>维持</t>
        </is>
      </c>
      <c r="E81" s="178" t="inlineStr">
        <is>
          <t>Baseline vs Maintenance</t>
        </is>
      </c>
      <c r="F81" s="204" t="inlineStr">
        <is>
          <t>0, 0, 0, 0, 1, 0, 0, 0, 1, 0, 2, 0, 0, 1, 0, 1, 1, 0</t>
        </is>
      </c>
      <c r="G81" s="205">
        <f>IF(F81="","",LEN(F81)-LEN(SUBSTITUTE(F81,",",""))+1)</f>
        <v/>
      </c>
      <c r="H81" s="204" t="inlineStr">
        <is>
          <t>4, 3, 4, 3, 3, 2, 3, 2, 4, 4, 2, 3, 2, 0</t>
        </is>
      </c>
      <c r="I81" s="205">
        <f>IF(H81="","",LEN(H81)-LEN(SUBSTITUTE(H81,",",""))+1)</f>
        <v/>
      </c>
      <c r="J81" s="206" t="inlineStr">
        <is>
          <t>升高改善</t>
        </is>
      </c>
      <c r="K81" s="207" t="n">
        <v>0.267181829864345</v>
      </c>
      <c r="L81" s="207" t="n">
        <v>0.179919438157703</v>
      </c>
      <c r="M81" s="205">
        <f>IF(OR(K81="",L81=""),"",IF(AND(L81&lt;0.05,OR(AND(J81="升高改善",K81&gt;0),AND(J81="降低改善",K81&lt;0))),"校正","不校正"))</f>
        <v/>
      </c>
      <c r="N81" s="178" t="inlineStr">
        <is>
          <t>Figure 1，PDF 7 / 印刷页7，自上而下第3面板（Corey）；符号见原图图例</t>
        </is>
      </c>
    </row>
    <row r="82" ht="45" customHeight="1" s="176">
      <c r="A82" s="201" t="inlineStr">
        <is>
          <t>K173</t>
        </is>
      </c>
      <c r="B82" s="201" t="inlineStr">
        <is>
          <t>026-二次</t>
        </is>
      </c>
      <c r="C82" s="201" t="inlineStr">
        <is>
          <t>Jonathan</t>
        </is>
      </c>
      <c r="D82" s="202" t="inlineStr">
        <is>
          <t>干预</t>
        </is>
      </c>
      <c r="E82" s="178" t="inlineStr">
        <is>
          <t>Baseline vs VSM</t>
        </is>
      </c>
      <c r="F82" s="204" t="inlineStr">
        <is>
          <t>0, 0, 0, 0, 0, 0, 0, 0, 0, 0, 0, 0, 0, 0, 0, 0, 0, 1, 0, 0, 0, 0, 0, 0, 0, 0, 0, 0, 0, 0, 0, 0, 1, 0, 0</t>
        </is>
      </c>
      <c r="G82" s="205">
        <f>IF(F82="","",LEN(F82)-LEN(SUBSTITUTE(F82,",",""))+1)</f>
        <v/>
      </c>
      <c r="H82" s="204" t="inlineStr">
        <is>
          <t>1, 4, 2, 3, 3</t>
        </is>
      </c>
      <c r="I82" s="205">
        <f>IF(H82="","",LEN(H82)-LEN(SUBSTITUTE(H82,",",""))+1)</f>
        <v/>
      </c>
      <c r="J82" s="206" t="inlineStr">
        <is>
          <t>升高改善</t>
        </is>
      </c>
      <c r="K82" s="207" t="n">
        <v>0.151387774316078</v>
      </c>
      <c r="L82" s="207" t="n">
        <v>0.286422022777859</v>
      </c>
      <c r="M82" s="205">
        <f>IF(OR(K82="",L82=""),"",IF(AND(L82&lt;0.05,OR(AND(J82="升高改善",K82&gt;0),AND(J82="降低改善",K82&lt;0))),"校正","不校正"))</f>
        <v/>
      </c>
      <c r="N82" s="178" t="inlineStr">
        <is>
          <t>Figure 1，PDF 7 / 印刷页7，自上而下第4面板（Jonathan）；符号见原图图例</t>
        </is>
      </c>
    </row>
    <row r="83" ht="45" customHeight="1" s="176">
      <c r="A83" s="201" t="inlineStr">
        <is>
          <t>K174</t>
        </is>
      </c>
      <c r="B83" s="201" t="inlineStr">
        <is>
          <t>026-二次</t>
        </is>
      </c>
      <c r="C83" s="201" t="inlineStr">
        <is>
          <t>Jonathan</t>
        </is>
      </c>
      <c r="D83" s="202" t="inlineStr">
        <is>
          <t>维持</t>
        </is>
      </c>
      <c r="E83" s="178" t="inlineStr">
        <is>
          <t>Baseline vs Maintenance</t>
        </is>
      </c>
      <c r="F83" s="204" t="inlineStr">
        <is>
          <t>0, 0, 0, 0, 0, 0, 0, 0, 0, 0, 0, 0, 0, 0, 0, 0, 0, 1, 0, 0, 0, 0, 0, 0, 0, 0, 0, 0, 0, 0, 0, 0, 1, 0, 0</t>
        </is>
      </c>
      <c r="G83" s="205">
        <f>IF(F83="","",LEN(F83)-LEN(SUBSTITUTE(F83,",",""))+1)</f>
        <v/>
      </c>
      <c r="H83" s="204" t="inlineStr">
        <is>
          <t>1, 2, 4, 0, 2, 2, 2</t>
        </is>
      </c>
      <c r="I83" s="205">
        <f>IF(H83="","",LEN(H83)-LEN(SUBSTITUTE(H83,",",""))+1)</f>
        <v/>
      </c>
      <c r="J83" s="206" t="inlineStr">
        <is>
          <t>升高改善</t>
        </is>
      </c>
      <c r="K83" s="207" t="n">
        <v>0.151387774316078</v>
      </c>
      <c r="L83" s="207" t="n">
        <v>0.286422022777859</v>
      </c>
      <c r="M83" s="205">
        <f>IF(OR(K83="",L83=""),"",IF(AND(L83&lt;0.05,OR(AND(J83="升高改善",K83&gt;0),AND(J83="降低改善",K83&lt;0))),"校正","不校正"))</f>
        <v/>
      </c>
      <c r="N83" s="178" t="inlineStr">
        <is>
          <t>Figure 1，PDF 7 / 印刷页7，自上而下第4面板（Jonathan）；符号见原图图例</t>
        </is>
      </c>
    </row>
    <row r="84" ht="45" customHeight="1" s="176">
      <c r="A84" s="201" t="inlineStr">
        <is>
          <t>K175</t>
        </is>
      </c>
      <c r="B84" s="201" t="inlineStr">
        <is>
          <t>027-二次</t>
        </is>
      </c>
      <c r="C84" s="201" t="inlineStr">
        <is>
          <t>Lucy</t>
        </is>
      </c>
      <c r="D84" s="202" t="inlineStr">
        <is>
          <t>干预</t>
        </is>
      </c>
      <c r="E84" s="178" t="inlineStr">
        <is>
          <t>Baseline vs VSM</t>
        </is>
      </c>
      <c r="F84" s="204" t="inlineStr">
        <is>
          <t>1, 2, 3, 2, 1, 0, 0, 2, 0, 0, 0, 0, 2, 3</t>
        </is>
      </c>
      <c r="G84" s="205">
        <f>IF(F84="","",LEN(F84)-LEN(SUBSTITUTE(F84,",",""))+1)</f>
        <v/>
      </c>
      <c r="H84" s="204" t="inlineStr">
        <is>
          <t>1, 4, 3, 0, 9, 0, 4, 7, 8, 8, 1, 7</t>
        </is>
      </c>
      <c r="I84" s="205">
        <f>IF(H84="","",LEN(H84)-LEN(SUBSTITUTE(H84,",",""))+1)</f>
        <v/>
      </c>
      <c r="J84" s="206" t="inlineStr">
        <is>
          <t>升高改善</t>
        </is>
      </c>
      <c r="K84" s="207" t="n">
        <v>-0.152547850854276</v>
      </c>
      <c r="L84" s="207" t="n">
        <v>0.484513239075081</v>
      </c>
      <c r="M84" s="205">
        <f>IF(OR(K84="",L84=""),"",IF(AND(L84&lt;0.05,OR(AND(J84="升高改善",K84&gt;0),AND(J84="降低改善",K84&lt;0))),"校正","不校正"))</f>
        <v/>
      </c>
      <c r="N84" s="178" t="inlineStr">
        <is>
          <t>Figure 1，PDF 8 / 印刷页32，自上而下第1面板（Lucy）；符号见原图图例</t>
        </is>
      </c>
    </row>
    <row r="85" ht="45" customHeight="1" s="176">
      <c r="A85" s="201" t="inlineStr">
        <is>
          <t>K176</t>
        </is>
      </c>
      <c r="B85" s="201" t="inlineStr">
        <is>
          <t>027-二次</t>
        </is>
      </c>
      <c r="C85" s="201" t="inlineStr">
        <is>
          <t>Lucy</t>
        </is>
      </c>
      <c r="D85" s="202" t="inlineStr">
        <is>
          <t>维持</t>
        </is>
      </c>
      <c r="E85" s="178" t="inlineStr">
        <is>
          <t>Baseline vs Maintenance</t>
        </is>
      </c>
      <c r="F85" s="204" t="inlineStr">
        <is>
          <t>1, 2, 3, 2, 1, 0, 0, 2, 0, 0, 0, 0, 2, 3</t>
        </is>
      </c>
      <c r="G85" s="205">
        <f>IF(F85="","",LEN(F85)-LEN(SUBSTITUTE(F85,",",""))+1)</f>
        <v/>
      </c>
      <c r="H85" s="204" t="inlineStr">
        <is>
          <t>6, 7, 9, 10, 3, 0, 6, 0, 7, 11, 7, 5, 5, 3, 0, 4, 4, 3, 5, 2, 9, 4, 11, 0, 1, 7, 2, 8, 7, 3, 14, 0, 6, 3, 3, 3, 0, 7, 7, 3, 4, 4</t>
        </is>
      </c>
      <c r="I85" s="205">
        <f>IF(H85="","",LEN(H85)-LEN(SUBSTITUTE(H85,",",""))+1)</f>
        <v/>
      </c>
      <c r="J85" s="206" t="inlineStr">
        <is>
          <t>升高改善</t>
        </is>
      </c>
      <c r="K85" s="207" t="n">
        <v>-0.152547850854276</v>
      </c>
      <c r="L85" s="207" t="n">
        <v>0.484513239075081</v>
      </c>
      <c r="M85" s="205">
        <f>IF(OR(K85="",L85=""),"",IF(AND(L85&lt;0.05,OR(AND(J85="升高改善",K85&gt;0),AND(J85="降低改善",K85&lt;0))),"校正","不校正"))</f>
        <v/>
      </c>
      <c r="N85" s="178" t="inlineStr">
        <is>
          <t>Figure 1，PDF 8 / 印刷页32，自上而下第1面板（Lucy）；符号见原图图例</t>
        </is>
      </c>
    </row>
    <row r="86" ht="45" customHeight="1" s="176">
      <c r="A86" s="201" t="inlineStr">
        <is>
          <t>K177</t>
        </is>
      </c>
      <c r="B86" s="201" t="inlineStr">
        <is>
          <t>027-二次</t>
        </is>
      </c>
      <c r="C86" s="201" t="inlineStr">
        <is>
          <t>Tim</t>
        </is>
      </c>
      <c r="D86" s="202" t="inlineStr">
        <is>
          <t>干预</t>
        </is>
      </c>
      <c r="E86" s="178" t="inlineStr">
        <is>
          <t>Baseline vs VSM</t>
        </is>
      </c>
      <c r="F86" s="204" t="inlineStr">
        <is>
          <t>0, 0, 1, 0, 0, 0, 0, 0, 0, 1, 0, 0, 0, 0, 0, 1, 0, 0, 0, 1, 0</t>
        </is>
      </c>
      <c r="G86" s="205">
        <f>IF(F86="","",LEN(F86)-LEN(SUBSTITUTE(F86,",",""))+1)</f>
        <v/>
      </c>
      <c r="H86" s="204" t="inlineStr">
        <is>
          <t>5, 2, 2, 3, 3, 2, 2, 2, 11, 1, 8</t>
        </is>
      </c>
      <c r="I86" s="205">
        <f>IF(H86="","",LEN(H86)-LEN(SUBSTITUTE(H86,",",""))+1)</f>
        <v/>
      </c>
      <c r="J86" s="206" t="inlineStr">
        <is>
          <t>升高改善</t>
        </is>
      </c>
      <c r="K86" s="207" t="n">
        <v>0.0836827408755723</v>
      </c>
      <c r="L86" s="207" t="n">
        <v>0.654289549498978</v>
      </c>
      <c r="M86" s="205">
        <f>IF(OR(K86="",L86=""),"",IF(AND(L86&lt;0.05,OR(AND(J86="升高改善",K86&gt;0),AND(J86="降低改善",K86&lt;0))),"校正","不校正"))</f>
        <v/>
      </c>
      <c r="N86" s="178" t="inlineStr">
        <is>
          <t>Figure 1，PDF 8 / 印刷页32，自上而下第2面板（Tim）；符号见原图图例</t>
        </is>
      </c>
    </row>
    <row r="87" ht="45" customHeight="1" s="176">
      <c r="A87" s="201" t="inlineStr">
        <is>
          <t>K178</t>
        </is>
      </c>
      <c r="B87" s="201" t="inlineStr">
        <is>
          <t>027-二次</t>
        </is>
      </c>
      <c r="C87" s="201" t="inlineStr">
        <is>
          <t>Tim</t>
        </is>
      </c>
      <c r="D87" s="202" t="inlineStr">
        <is>
          <t>维持</t>
        </is>
      </c>
      <c r="E87" s="178" t="inlineStr">
        <is>
          <t>Baseline vs Maintenance</t>
        </is>
      </c>
      <c r="F87" s="204" t="inlineStr">
        <is>
          <t>0, 0, 1, 0, 0, 0, 0, 0, 0, 1, 0, 0, 0, 0, 0, 1, 0, 0, 0, 1, 0</t>
        </is>
      </c>
      <c r="G87" s="205">
        <f>IF(F87="","",LEN(F87)-LEN(SUBSTITUTE(F87,",",""))+1)</f>
        <v/>
      </c>
      <c r="H87" s="204" t="inlineStr">
        <is>
          <t>4, 6, 0, 0, 3, 4, 2, 2, 4, 2, 0, 1, 2, 0, 4, 1, 3, 5, 0, 5, 6, 5, 2, 5, 2, 4, 1, 2, 3, 5</t>
        </is>
      </c>
      <c r="I87" s="205">
        <f>IF(H87="","",LEN(H87)-LEN(SUBSTITUTE(H87,",",""))+1)</f>
        <v/>
      </c>
      <c r="J87" s="206" t="inlineStr">
        <is>
          <t>升高改善</t>
        </is>
      </c>
      <c r="K87" s="207" t="n">
        <v>0.0836827408755723</v>
      </c>
      <c r="L87" s="207" t="n">
        <v>0.654289549498978</v>
      </c>
      <c r="M87" s="205">
        <f>IF(OR(K87="",L87=""),"",IF(AND(L87&lt;0.05,OR(AND(J87="升高改善",K87&gt;0),AND(J87="降低改善",K87&lt;0))),"校正","不校正"))</f>
        <v/>
      </c>
      <c r="N87" s="178" t="inlineStr">
        <is>
          <t>Figure 1，PDF 8 / 印刷页32，自上而下第2面板（Tim）；符号见原图图例</t>
        </is>
      </c>
    </row>
    <row r="88" ht="45" customHeight="1" s="176">
      <c r="A88" s="201" t="inlineStr">
        <is>
          <t>K179</t>
        </is>
      </c>
      <c r="B88" s="201" t="inlineStr">
        <is>
          <t>027-二次</t>
        </is>
      </c>
      <c r="C88" s="201" t="inlineStr">
        <is>
          <t>John</t>
        </is>
      </c>
      <c r="D88" s="202" t="inlineStr">
        <is>
          <t>干预</t>
        </is>
      </c>
      <c r="E88" s="178" t="inlineStr">
        <is>
          <t>Baseline vs VSM</t>
        </is>
      </c>
      <c r="F88" s="204" t="inlineStr">
        <is>
          <t>0, 1, 0, 0, 0, 0, 0, 0, 0, 0, 0, 0, 0, 0, 0, 0, 0, 0, 0, 0, 1, 0, 1, 1, 0, 0, 1, 0, 0, 1, 3, 0, 0, 0</t>
        </is>
      </c>
      <c r="G88" s="205">
        <f>IF(F88="","",LEN(F88)-LEN(SUBSTITUTE(F88,",",""))+1)</f>
        <v/>
      </c>
      <c r="H88" s="204" t="inlineStr">
        <is>
          <t>1, 0, 0, 1, 0, 0, 0, 2, 0</t>
        </is>
      </c>
      <c r="I88" s="205">
        <f>IF(H88="","",LEN(H88)-LEN(SUBSTITUTE(H88,",",""))+1)</f>
        <v/>
      </c>
      <c r="J88" s="206" t="inlineStr">
        <is>
          <t>升高改善</t>
        </is>
      </c>
      <c r="K88" s="207" t="n">
        <v>0.232804831333474</v>
      </c>
      <c r="L88" s="207" t="n">
        <v>0.102286981959486</v>
      </c>
      <c r="M88" s="205">
        <f>IF(OR(K88="",L88=""),"",IF(AND(L88&lt;0.05,OR(AND(J88="升高改善",K88&gt;0),AND(J88="降低改善",K88&lt;0))),"校正","不校正"))</f>
        <v/>
      </c>
      <c r="N88" s="178" t="inlineStr">
        <is>
          <t>Figure 1，PDF 8 / 印刷页32，自上而下第3面板（John）；符号见原图图例</t>
        </is>
      </c>
    </row>
    <row r="89" ht="45" customHeight="1" s="176">
      <c r="A89" s="201" t="inlineStr">
        <is>
          <t>K180</t>
        </is>
      </c>
      <c r="B89" s="201" t="inlineStr">
        <is>
          <t>027-二次</t>
        </is>
      </c>
      <c r="C89" s="201" t="inlineStr">
        <is>
          <t>John</t>
        </is>
      </c>
      <c r="D89" s="202" t="inlineStr">
        <is>
          <t>维持</t>
        </is>
      </c>
      <c r="E89" s="178" t="inlineStr">
        <is>
          <t>Baseline vs Maintenance</t>
        </is>
      </c>
      <c r="F89" s="204" t="inlineStr">
        <is>
          <t>0, 1, 0, 0, 0, 0, 0, 0, 0, 0, 0, 0, 0, 0, 0, 0, 0, 0, 0, 0, 1, 0, 1, 1, 0, 0, 1, 0, 0, 1, 3, 0, 0, 0</t>
        </is>
      </c>
      <c r="G89" s="205">
        <f>IF(F89="","",LEN(F89)-LEN(SUBSTITUTE(F89,",",""))+1)</f>
        <v/>
      </c>
      <c r="H89" s="204" t="inlineStr">
        <is>
          <t>0, 0, 0, 0, 1, 0, 2, 0, 0, 0, 0, 0, 0, 0, 4, 0, 4, 0, 0</t>
        </is>
      </c>
      <c r="I89" s="205">
        <f>IF(H89="","",LEN(H89)-LEN(SUBSTITUTE(H89,",",""))+1)</f>
        <v/>
      </c>
      <c r="J89" s="206" t="inlineStr">
        <is>
          <t>升高改善</t>
        </is>
      </c>
      <c r="K89" s="207" t="n">
        <v>0.232804831333474</v>
      </c>
      <c r="L89" s="207" t="n">
        <v>0.102286981959486</v>
      </c>
      <c r="M89" s="205">
        <f>IF(OR(K89="",L89=""),"",IF(AND(L89&lt;0.05,OR(AND(J89="升高改善",K89&gt;0),AND(J89="降低改善",K89&lt;0))),"校正","不校正"))</f>
        <v/>
      </c>
      <c r="N89" s="178" t="inlineStr">
        <is>
          <t>Figure 1，PDF 8 / 印刷页32，自上而下第3面板（John）；符号见原图图例</t>
        </is>
      </c>
    </row>
    <row r="90" ht="45" customHeight="1" s="176">
      <c r="A90" s="201" t="inlineStr">
        <is>
          <t>K181</t>
        </is>
      </c>
      <c r="B90" s="201" t="inlineStr">
        <is>
          <t>027-二次</t>
        </is>
      </c>
      <c r="C90" s="201" t="inlineStr">
        <is>
          <t>Helen</t>
        </is>
      </c>
      <c r="D90" s="202" t="inlineStr">
        <is>
          <t>干预</t>
        </is>
      </c>
      <c r="E90" s="178" t="inlineStr">
        <is>
          <t>Baseline vs VSM</t>
        </is>
      </c>
      <c r="F90" s="204" t="inlineStr">
        <is>
          <t>1, 0, 0, 0, 0, 0, 0, 1, 0, 0, 0, 0, 0, 0, 0, 1, 0, 0, 0, 0, 0, 0, 0, 1, 0, 0, 1, 0, 0, 1, 1, 0</t>
        </is>
      </c>
      <c r="G90" s="205">
        <f>IF(F90="","",LEN(F90)-LEN(SUBSTITUTE(F90,",",""))+1)</f>
        <v/>
      </c>
      <c r="H90" s="204" t="inlineStr">
        <is>
          <t>3, 1, 3, 5, 6, 4, 4, 1, 3</t>
        </is>
      </c>
      <c r="I90" s="205">
        <f>IF(H90="","",LEN(H90)-LEN(SUBSTITUTE(H90,",",""))+1)</f>
        <v/>
      </c>
      <c r="J90" s="206" t="inlineStr">
        <is>
          <t>升高改善</t>
        </is>
      </c>
      <c r="K90" s="207" t="n">
        <v>0.145951510159958</v>
      </c>
      <c r="L90" s="207" t="n">
        <v>0.327056029748996</v>
      </c>
      <c r="M90" s="205">
        <f>IF(OR(K90="",L90=""),"",IF(AND(L90&lt;0.05,OR(AND(J90="升高改善",K90&gt;0),AND(J90="降低改善",K90&lt;0))),"校正","不校正"))</f>
        <v/>
      </c>
      <c r="N90" s="178" t="inlineStr">
        <is>
          <t>Figure 1，PDF 8 / 印刷页32，自上而下第4面板（Helen）；符号见原图图例</t>
        </is>
      </c>
    </row>
    <row r="91" ht="45" customHeight="1" s="176">
      <c r="A91" s="201" t="inlineStr">
        <is>
          <t>K182</t>
        </is>
      </c>
      <c r="B91" s="201" t="inlineStr">
        <is>
          <t>027-二次</t>
        </is>
      </c>
      <c r="C91" s="201" t="inlineStr">
        <is>
          <t>Helen</t>
        </is>
      </c>
      <c r="D91" s="202" t="inlineStr">
        <is>
          <t>维持</t>
        </is>
      </c>
      <c r="E91" s="178" t="inlineStr">
        <is>
          <t>Baseline vs Maintenance</t>
        </is>
      </c>
      <c r="F91" s="204" t="inlineStr">
        <is>
          <t>1, 0, 0, 0, 0, 0, 0, 1, 0, 0, 0, 0, 0, 0, 0, 1, 0, 0, 0, 0, 0, 0, 0, 1, 0, 0, 1, 0, 0, 1, 1, 0</t>
        </is>
      </c>
      <c r="G91" s="205">
        <f>IF(F91="","",LEN(F91)-LEN(SUBSTITUTE(F91,",",""))+1)</f>
        <v/>
      </c>
      <c r="H91" s="204" t="inlineStr">
        <is>
          <t>2, 3, 5, 3, 6, 4, 4, 3</t>
        </is>
      </c>
      <c r="I91" s="205">
        <f>IF(H91="","",LEN(H91)-LEN(SUBSTITUTE(H91,",",""))+1)</f>
        <v/>
      </c>
      <c r="J91" s="206" t="inlineStr">
        <is>
          <t>升高改善</t>
        </is>
      </c>
      <c r="K91" s="207" t="n">
        <v>0.145951510159958</v>
      </c>
      <c r="L91" s="207" t="n">
        <v>0.327056029748996</v>
      </c>
      <c r="M91" s="205">
        <f>IF(OR(K91="",L91=""),"",IF(AND(L91&lt;0.05,OR(AND(J91="升高改善",K91&gt;0),AND(J91="降低改善",K91&lt;0))),"校正","不校正"))</f>
        <v/>
      </c>
      <c r="N91" s="178" t="inlineStr">
        <is>
          <t>Figure 1，PDF 8 / 印刷页32，自上而下第4面板（Helen）；符号见原图图例</t>
        </is>
      </c>
    </row>
    <row r="92" ht="45" customHeight="1" s="176">
      <c r="A92" s="201" t="inlineStr">
        <is>
          <t>K183</t>
        </is>
      </c>
      <c r="B92" s="201" t="inlineStr">
        <is>
          <t>029-二次</t>
        </is>
      </c>
      <c r="C92" s="201" t="inlineStr">
        <is>
          <t>Jerry</t>
        </is>
      </c>
      <c r="D92" s="202" t="inlineStr">
        <is>
          <t>干预</t>
        </is>
      </c>
      <c r="E92" s="178" t="inlineStr">
        <is>
          <t>Baseline vs VSM</t>
        </is>
      </c>
      <c r="F92" s="178" t="inlineStr">
        <is>
          <t>38, 30, 38, 33, 45, 35</t>
        </is>
      </c>
      <c r="G92" s="201">
        <f>IF(F92="","",LEN(F92)-LEN(SUBSTITUTE(F92,",",""))+1)</f>
        <v/>
      </c>
      <c r="H92" s="178" t="inlineStr">
        <is>
          <t>80, 85, 60, 80, 55, 73, 65, 68, 75, 75, 73, 78, 63, 75</t>
        </is>
      </c>
      <c r="I92" s="201">
        <f>IF(H92="","",LEN(H92)-LEN(SUBSTITUTE(H92,",",""))+1)</f>
        <v/>
      </c>
      <c r="J92" s="202" t="inlineStr">
        <is>
          <t>升高改善</t>
        </is>
      </c>
      <c r="K92" s="203" t="n">
        <v>0.138013111868471</v>
      </c>
      <c r="L92" s="203" t="n">
        <v>0.7020563949269411</v>
      </c>
      <c r="M92" s="201">
        <f>IF(OR(K92="",L92=""),"",IF(AND(L92&lt;0.05,OR(AND(J92="升高改善",K92&gt;0),AND(J92="降低改善",K92&lt;0))),"校正","不校正"))</f>
        <v/>
      </c>
      <c r="N92" s="178" t="inlineStr">
        <is>
          <t>Figure 1，PDF 8 / 印刷页55，自上而下第1面板（Jerry），三角标记目标序列</t>
        </is>
      </c>
    </row>
    <row r="93" ht="45" customHeight="1" s="176">
      <c r="A93" s="201" t="inlineStr">
        <is>
          <t>K184</t>
        </is>
      </c>
      <c r="B93" s="201" t="inlineStr">
        <is>
          <t>029-二次</t>
        </is>
      </c>
      <c r="C93" s="201" t="inlineStr">
        <is>
          <t>Bob</t>
        </is>
      </c>
      <c r="D93" s="202" t="inlineStr">
        <is>
          <t>干预</t>
        </is>
      </c>
      <c r="E93" s="178" t="inlineStr">
        <is>
          <t>Baseline vs VSM</t>
        </is>
      </c>
      <c r="F93" s="178" t="inlineStr">
        <is>
          <t>0, 3, 3, 3, 3, 3, 0, 0, 0, 0, 3, 3, 3</t>
        </is>
      </c>
      <c r="G93" s="201">
        <f>IF(F93="","",LEN(F93)-LEN(SUBSTITUTE(F93,",",""))+1)</f>
        <v/>
      </c>
      <c r="H93" s="178" t="inlineStr">
        <is>
          <t>10, 8, 3, 3, 53, 28, 48, 35, 28, 43, 23, 35</t>
        </is>
      </c>
      <c r="I93" s="201">
        <f>IF(H93="","",LEN(H93)-LEN(SUBSTITUTE(H93,",",""))+1)</f>
        <v/>
      </c>
      <c r="J93" s="202" t="inlineStr">
        <is>
          <t>升高改善</t>
        </is>
      </c>
      <c r="K93" s="203" t="n">
        <v>0</v>
      </c>
      <c r="L93" s="203" t="n">
        <v>1</v>
      </c>
      <c r="M93" s="201">
        <f>IF(OR(K93="",L93=""),"",IF(AND(L93&lt;0.05,OR(AND(J93="升高改善",K93&gt;0),AND(J93="降低改善",K93&lt;0))),"校正","不校正"))</f>
        <v/>
      </c>
      <c r="N93" s="178" t="inlineStr">
        <is>
          <t>Figure 1，PDF 8 / 印刷页55，自上而下第2面板（Bob），三角标记目标序列</t>
        </is>
      </c>
    </row>
    <row r="94" ht="45" customHeight="1" s="176">
      <c r="A94" s="201" t="inlineStr">
        <is>
          <t>K185</t>
        </is>
      </c>
      <c r="B94" s="201" t="inlineStr">
        <is>
          <t>029-二次</t>
        </is>
      </c>
      <c r="C94" s="201" t="inlineStr">
        <is>
          <t>Phil</t>
        </is>
      </c>
      <c r="D94" s="202" t="inlineStr">
        <is>
          <t>干预</t>
        </is>
      </c>
      <c r="E94" s="178" t="inlineStr">
        <is>
          <t>Baseline vs VSM</t>
        </is>
      </c>
      <c r="F94" s="178" t="inlineStr">
        <is>
          <t>13, 3, 5, 0, 13, 10, 8, 5, 15, 15, 10, 18, 3, 20, 13</t>
        </is>
      </c>
      <c r="G94" s="201">
        <f>IF(F94="","",LEN(F94)-LEN(SUBSTITUTE(F94,",",""))+1)</f>
        <v/>
      </c>
      <c r="H94" s="178" t="inlineStr">
        <is>
          <t>33, 55, 45, 70, 63, 58, 73, 68</t>
        </is>
      </c>
      <c r="I94" s="201">
        <f>IF(H94="","",LEN(H94)-LEN(SUBSTITUTE(H94,",",""))+1)</f>
        <v/>
      </c>
      <c r="J94" s="202" t="inlineStr">
        <is>
          <t>升高改善</t>
        </is>
      </c>
      <c r="K94" s="203" t="n">
        <v>0.335174700252001</v>
      </c>
      <c r="L94" s="203" t="n">
        <v>0.0893973855188657</v>
      </c>
      <c r="M94" s="201">
        <f>IF(OR(K94="",L94=""),"",IF(AND(L94&lt;0.05,OR(AND(J94="升高改善",K94&gt;0),AND(J94="降低改善",K94&lt;0))),"校正","不校正"))</f>
        <v/>
      </c>
      <c r="N94" s="178" t="inlineStr">
        <is>
          <t>Figure 1，PDF 8 / 印刷页55，自上而下第3面板（Phil），三角标记目标序列</t>
        </is>
      </c>
    </row>
    <row r="95" ht="45" customHeight="1" s="176">
      <c r="A95" s="201" t="inlineStr">
        <is>
          <t>K186</t>
        </is>
      </c>
      <c r="B95" s="201" t="inlineStr">
        <is>
          <t>030-滚雪球</t>
        </is>
      </c>
      <c r="C95" s="201" t="inlineStr">
        <is>
          <t>Cameron</t>
        </is>
      </c>
      <c r="D95" s="202" t="inlineStr">
        <is>
          <t>干预</t>
        </is>
      </c>
      <c r="E95" s="178" t="inlineStr">
        <is>
          <t>Baseline vs Intervention</t>
        </is>
      </c>
      <c r="F95" s="178" t="inlineStr">
        <is>
          <t>0, 0, 0, 50, 50, 25, 25, 25, 25</t>
        </is>
      </c>
      <c r="G95" s="201">
        <f>IF(F95="","",LEN(F95)-LEN(SUBSTITUTE(F95,",",""))+1)</f>
        <v/>
      </c>
      <c r="H95" s="178" t="inlineStr">
        <is>
          <t>100, 100, 100, 75, 100, 100</t>
        </is>
      </c>
      <c r="I95" s="201">
        <f>IF(H95="","",LEN(H95)-LEN(SUBSTITUTE(H95,",",""))+1)</f>
        <v/>
      </c>
      <c r="J95" s="202" t="inlineStr">
        <is>
          <t>升高改善</t>
        </is>
      </c>
      <c r="K95" s="203" t="n">
        <v>0.326860225230307</v>
      </c>
      <c r="L95" s="203" t="n">
        <v>0.259544222403874</v>
      </c>
      <c r="M95" s="201">
        <f>IF(OR(K95="",L95=""),"",IF(AND(L95&lt;0.05,OR(AND(J95="升高改善",K95&gt;0),AND(J95="降低改善",K95&lt;0))),"校正","不校正"))</f>
        <v/>
      </c>
      <c r="N95" s="178" t="inlineStr">
        <is>
          <t>Figure 1，PDF7/675，自上而下第1面板，实心菱形</t>
        </is>
      </c>
    </row>
    <row r="96" ht="45" customHeight="1" s="176">
      <c r="A96" s="201" t="inlineStr">
        <is>
          <t>K187</t>
        </is>
      </c>
      <c r="B96" s="201" t="inlineStr">
        <is>
          <t>030-滚雪球</t>
        </is>
      </c>
      <c r="C96" s="201" t="inlineStr">
        <is>
          <t>Cameron</t>
        </is>
      </c>
      <c r="D96" s="202" t="inlineStr">
        <is>
          <t>维持</t>
        </is>
      </c>
      <c r="E96" s="178" t="inlineStr">
        <is>
          <t>Baseline vs Maintenance（训练情境）</t>
        </is>
      </c>
      <c r="F96" s="178" t="inlineStr">
        <is>
          <t>0, 0, 0, 50, 50, 25, 25, 25, 25</t>
        </is>
      </c>
      <c r="G96" s="201">
        <f>IF(F96="","",LEN(F96)-LEN(SUBSTITUTE(F96,",",""))+1)</f>
        <v/>
      </c>
      <c r="H96" s="178" t="inlineStr">
        <is>
          <t>75, 100, 100, 75, 75, 100, 75, 100, 75, 100, 100, 100, 100, 100, 100</t>
        </is>
      </c>
      <c r="I96" s="201">
        <f>IF(H96="","",LEN(H96)-LEN(SUBSTITUTE(H96,",",""))+1)</f>
        <v/>
      </c>
      <c r="J96" s="202" t="inlineStr">
        <is>
          <t>升高改善</t>
        </is>
      </c>
      <c r="K96" s="203" t="n">
        <v>0.326860225230307</v>
      </c>
      <c r="L96" s="203" t="n">
        <v>0.259544222403874</v>
      </c>
      <c r="M96" s="201">
        <f>IF(OR(K96="",L96=""),"",IF(AND(L96&lt;0.05,OR(AND(J96="升高改善",K96&gt;0),AND(J96="降低改善",K96&lt;0))),"校正","不校正"))</f>
        <v/>
      </c>
      <c r="N96" s="178" t="inlineStr">
        <is>
          <t>Figure 1，PDF7/675，自上而下第1面板，实心菱形</t>
        </is>
      </c>
    </row>
    <row r="97" ht="45" customHeight="1" s="176">
      <c r="A97" s="201" t="inlineStr">
        <is>
          <t>K188</t>
        </is>
      </c>
      <c r="B97" s="201" t="inlineStr">
        <is>
          <t>030-滚雪球</t>
        </is>
      </c>
      <c r="C97" s="201" t="inlineStr">
        <is>
          <t>Cameron</t>
        </is>
      </c>
      <c r="D97" s="202" t="inlineStr">
        <is>
          <t>干预</t>
        </is>
      </c>
      <c r="E97" s="178" t="inlineStr">
        <is>
          <t>Baseline vs Intervention</t>
        </is>
      </c>
      <c r="F97" s="178" t="inlineStr">
        <is>
          <t>80, 60, 80, 60, 60, 80, 80, 80, 60, 60, 60, 60</t>
        </is>
      </c>
      <c r="G97" s="201">
        <f>IF(F97="","",LEN(F97)-LEN(SUBSTITUTE(F97,",",""))+1)</f>
        <v/>
      </c>
      <c r="H97" s="178" t="inlineStr">
        <is>
          <t>100, 100, 100, 80, 100, 100</t>
        </is>
      </c>
      <c r="I97" s="201">
        <f>IF(H97="","",LEN(H97)-LEN(SUBSTITUTE(H97,",",""))+1)</f>
        <v/>
      </c>
      <c r="J97" s="202" t="inlineStr">
        <is>
          <t>升高改善</t>
        </is>
      </c>
      <c r="K97" s="203" t="n">
        <v>-0.31209389196618</v>
      </c>
      <c r="L97" s="203" t="n">
        <v>0.223225145306756</v>
      </c>
      <c r="M97" s="201">
        <f>IF(OR(K97="",L97=""),"",IF(AND(L97&lt;0.05,OR(AND(J97="升高改善",K97&gt;0),AND(J97="降低改善",K97&lt;0))),"校正","不校正"))</f>
        <v/>
      </c>
      <c r="N97" s="178" t="inlineStr">
        <is>
          <t>Figure 1，PDF7/675，自上而下第2面板，实心菱形</t>
        </is>
      </c>
    </row>
    <row r="98" ht="45" customHeight="1" s="176">
      <c r="A98" s="201" t="inlineStr">
        <is>
          <t>K189</t>
        </is>
      </c>
      <c r="B98" s="201" t="inlineStr">
        <is>
          <t>030-滚雪球</t>
        </is>
      </c>
      <c r="C98" s="201" t="inlineStr">
        <is>
          <t>Cameron</t>
        </is>
      </c>
      <c r="D98" s="202" t="inlineStr">
        <is>
          <t>维持</t>
        </is>
      </c>
      <c r="E98" s="178" t="inlineStr">
        <is>
          <t>Baseline vs Maintenance（训练情境）</t>
        </is>
      </c>
      <c r="F98" s="178" t="inlineStr">
        <is>
          <t>80, 60, 80, 60, 60, 80, 80, 80, 60, 60, 60, 60</t>
        </is>
      </c>
      <c r="G98" s="201">
        <f>IF(F98="","",LEN(F98)-LEN(SUBSTITUTE(F98,",",""))+1)</f>
        <v/>
      </c>
      <c r="H98" s="178" t="inlineStr">
        <is>
          <t>80, 100, 80, 100, 100, 80, 80, 100, 100, 80, 80, 100</t>
        </is>
      </c>
      <c r="I98" s="201">
        <f>IF(H98="","",LEN(H98)-LEN(SUBSTITUTE(H98,",",""))+1)</f>
        <v/>
      </c>
      <c r="J98" s="202" t="inlineStr">
        <is>
          <t>升高改善</t>
        </is>
      </c>
      <c r="K98" s="203" t="n">
        <v>-0.31209389196618</v>
      </c>
      <c r="L98" s="203" t="n">
        <v>0.223225145306756</v>
      </c>
      <c r="M98" s="201">
        <f>IF(OR(K98="",L98=""),"",IF(AND(L98&lt;0.05,OR(AND(J98="升高改善",K98&gt;0),AND(J98="降低改善",K98&lt;0))),"校正","不校正"))</f>
        <v/>
      </c>
      <c r="N98" s="178" t="inlineStr">
        <is>
          <t>Figure 1，PDF7/675，自上而下第2面板，实心菱形</t>
        </is>
      </c>
    </row>
    <row r="99" ht="45" customHeight="1" s="176">
      <c r="A99" s="201" t="inlineStr">
        <is>
          <t>K190</t>
        </is>
      </c>
      <c r="B99" s="201" t="inlineStr">
        <is>
          <t>030-滚雪球</t>
        </is>
      </c>
      <c r="C99" s="201" t="inlineStr">
        <is>
          <t>Cameron</t>
        </is>
      </c>
      <c r="D99" s="202" t="inlineStr">
        <is>
          <t>干预</t>
        </is>
      </c>
      <c r="E99" s="178" t="inlineStr">
        <is>
          <t>Baseline vs Intervention</t>
        </is>
      </c>
      <c r="F99" s="178" t="inlineStr">
        <is>
          <t>25, 25, 0, 25, 0, 0, 0, 0, 0, 0, 25, 0, 25, 25, 0</t>
        </is>
      </c>
      <c r="G99" s="201">
        <f>IF(F99="","",LEN(F99)-LEN(SUBSTITUTE(F99,",",""))+1)</f>
        <v/>
      </c>
      <c r="H99" s="178" t="inlineStr">
        <is>
          <t>100, 100, 100, 100, 100, 100, 100, 100, 100</t>
        </is>
      </c>
      <c r="I99" s="201">
        <f>IF(H99="","",LEN(H99)-LEN(SUBSTITUTE(H99,",",""))+1)</f>
        <v/>
      </c>
      <c r="J99" s="202" t="inlineStr">
        <is>
          <t>升高改善</t>
        </is>
      </c>
      <c r="K99" s="203" t="n">
        <v>-0.0796819072889596</v>
      </c>
      <c r="L99" s="203" t="n">
        <v>0.723673609831763</v>
      </c>
      <c r="M99" s="201">
        <f>IF(OR(K99="",L99=""),"",IF(AND(L99&lt;0.05,OR(AND(J99="升高改善",K99&gt;0),AND(J99="降低改善",K99&lt;0))),"校正","不校正"))</f>
        <v/>
      </c>
      <c r="N99" s="178" t="inlineStr">
        <is>
          <t>Figure 1，PDF7/675，自上而下第3面板，实心菱形</t>
        </is>
      </c>
    </row>
    <row r="100" ht="45" customHeight="1" s="176">
      <c r="A100" s="201" t="inlineStr">
        <is>
          <t>K191</t>
        </is>
      </c>
      <c r="B100" s="201" t="inlineStr">
        <is>
          <t>030-滚雪球</t>
        </is>
      </c>
      <c r="C100" s="201" t="inlineStr">
        <is>
          <t>Cameron</t>
        </is>
      </c>
      <c r="D100" s="202" t="inlineStr">
        <is>
          <t>维持</t>
        </is>
      </c>
      <c r="E100" s="178" t="inlineStr">
        <is>
          <t>Baseline vs Maintenance（训练情境）</t>
        </is>
      </c>
      <c r="F100" s="178" t="inlineStr">
        <is>
          <t>25, 25, 0, 25, 0, 0, 0, 0, 0, 0, 25, 0, 25, 25, 0</t>
        </is>
      </c>
      <c r="G100" s="201">
        <f>IF(F100="","",LEN(F100)-LEN(SUBSTITUTE(F100,",",""))+1)</f>
        <v/>
      </c>
      <c r="H100" s="178" t="inlineStr">
        <is>
          <t>100, 100, 100, 100, 100, 100, 100, 100, 100</t>
        </is>
      </c>
      <c r="I100" s="201">
        <f>IF(H100="","",LEN(H100)-LEN(SUBSTITUTE(H100,",",""))+1)</f>
        <v/>
      </c>
      <c r="J100" s="202" t="inlineStr">
        <is>
          <t>升高改善</t>
        </is>
      </c>
      <c r="K100" s="203" t="n">
        <v>-0.0796819072889596</v>
      </c>
      <c r="L100" s="203" t="n">
        <v>0.723673609831763</v>
      </c>
      <c r="M100" s="201">
        <f>IF(OR(K100="",L100=""),"",IF(AND(L100&lt;0.05,OR(AND(J100="升高改善",K100&gt;0),AND(J100="降低改善",K100&lt;0))),"校正","不校正"))</f>
        <v/>
      </c>
      <c r="N100" s="178" t="inlineStr">
        <is>
          <t>Figure 1，PDF7/675，自上而下第3面板，实心菱形</t>
        </is>
      </c>
    </row>
    <row r="101" ht="45" customHeight="1" s="176">
      <c r="A101" s="201" t="inlineStr">
        <is>
          <t>K192</t>
        </is>
      </c>
      <c r="B101" s="201" t="inlineStr">
        <is>
          <t>030-滚雪球</t>
        </is>
      </c>
      <c r="C101" s="201" t="inlineStr">
        <is>
          <t>Cameron</t>
        </is>
      </c>
      <c r="D101" s="202" t="inlineStr">
        <is>
          <t>干预</t>
        </is>
      </c>
      <c r="E101" s="178" t="inlineStr">
        <is>
          <t>Baseline vs Intervention</t>
        </is>
      </c>
      <c r="F101" s="178" t="inlineStr">
        <is>
          <t>60, 60, 40, 40, 20, 20, 40, 20, 40, 40, 40, 20, 20, 20, 40</t>
        </is>
      </c>
      <c r="G101" s="201">
        <f>IF(F101="","",LEN(F101)-LEN(SUBSTITUTE(F101,",",""))+1)</f>
        <v/>
      </c>
      <c r="H101" s="178" t="inlineStr">
        <is>
          <t>100, 100, 100, 100, 100, 100, 100, 100, 100</t>
        </is>
      </c>
      <c r="I101" s="201">
        <f>IF(H101="","",LEN(H101)-LEN(SUBSTITUTE(H101,",",""))+1)</f>
        <v/>
      </c>
      <c r="J101" s="202" t="inlineStr">
        <is>
          <t>升高改善</t>
        </is>
      </c>
      <c r="K101" s="203" t="n">
        <v>-0.402373908081478</v>
      </c>
      <c r="L101" s="203" t="n">
        <v>0.0630918977746777</v>
      </c>
      <c r="M101" s="201">
        <f>IF(OR(K101="",L101=""),"",IF(AND(L101&lt;0.05,OR(AND(J101="升高改善",K101&gt;0),AND(J101="降低改善",K101&lt;0))),"校正","不校正"))</f>
        <v/>
      </c>
      <c r="N101" s="178" t="inlineStr">
        <is>
          <t>Figure 1，PDF7/675，自上而下第4面板，实心菱形</t>
        </is>
      </c>
    </row>
    <row r="102" ht="45" customHeight="1" s="176">
      <c r="A102" s="201" t="inlineStr">
        <is>
          <t>K193</t>
        </is>
      </c>
      <c r="B102" s="201" t="inlineStr">
        <is>
          <t>030-滚雪球</t>
        </is>
      </c>
      <c r="C102" s="201" t="inlineStr">
        <is>
          <t>Ferris</t>
        </is>
      </c>
      <c r="D102" s="202" t="inlineStr">
        <is>
          <t>干预</t>
        </is>
      </c>
      <c r="E102" s="178" t="inlineStr">
        <is>
          <t>Baseline vs Intervention</t>
        </is>
      </c>
      <c r="F102" s="178" t="inlineStr">
        <is>
          <t>50, 25, 50, 50, 50, 50, 75, 75, 50</t>
        </is>
      </c>
      <c r="G102" s="201">
        <f>IF(F102="","",LEN(F102)-LEN(SUBSTITUTE(F102,",",""))+1)</f>
        <v/>
      </c>
      <c r="H102" s="178" t="inlineStr">
        <is>
          <t>100, 100, 100, 75, 100, 100</t>
        </is>
      </c>
      <c r="I102" s="201">
        <f>IF(H102="","",LEN(H102)-LEN(SUBSTITUTE(H102,",",""))+1)</f>
        <v/>
      </c>
      <c r="J102" s="202" t="inlineStr">
        <is>
          <t>升高改善</t>
        </is>
      </c>
      <c r="K102" s="203" t="n">
        <v>0.521749194749951</v>
      </c>
      <c r="L102" s="203" t="n">
        <v>0.0769741729812668</v>
      </c>
      <c r="M102" s="201">
        <f>IF(OR(K102="",L102=""),"",IF(AND(L102&lt;0.05,OR(AND(J102="升高改善",K102&gt;0),AND(J102="降低改善",K102&lt;0))),"校正","不校正"))</f>
        <v/>
      </c>
      <c r="N102" s="178" t="inlineStr">
        <is>
          <t>Figure 3，PDF9/677，自上而下第1面板，实心菱形</t>
        </is>
      </c>
    </row>
    <row r="103" ht="45" customHeight="1" s="176">
      <c r="A103" s="201" t="inlineStr">
        <is>
          <t>K194</t>
        </is>
      </c>
      <c r="B103" s="201" t="inlineStr">
        <is>
          <t>030-滚雪球</t>
        </is>
      </c>
      <c r="C103" s="201" t="inlineStr">
        <is>
          <t>Ferris</t>
        </is>
      </c>
      <c r="D103" s="202" t="inlineStr">
        <is>
          <t>维持</t>
        </is>
      </c>
      <c r="E103" s="178" t="inlineStr">
        <is>
          <t>Baseline vs Maintenance（训练情境）</t>
        </is>
      </c>
      <c r="F103" s="178" t="inlineStr">
        <is>
          <t>50, 25, 50, 50, 50, 50, 75, 75, 50</t>
        </is>
      </c>
      <c r="G103" s="201">
        <f>IF(F103="","",LEN(F103)-LEN(SUBSTITUTE(F103,",",""))+1)</f>
        <v/>
      </c>
      <c r="H103" s="178" t="inlineStr">
        <is>
          <t>75, 75, 75, 75, 75, 75, 75, 75, 100, 100, 100, 100, 100, 100, 100</t>
        </is>
      </c>
      <c r="I103" s="201">
        <f>IF(H103="","",LEN(H103)-LEN(SUBSTITUTE(H103,",",""))+1)</f>
        <v/>
      </c>
      <c r="J103" s="202" t="inlineStr">
        <is>
          <t>升高改善</t>
        </is>
      </c>
      <c r="K103" s="203" t="n">
        <v>0.521749194749951</v>
      </c>
      <c r="L103" s="203" t="n">
        <v>0.0769741729812668</v>
      </c>
      <c r="M103" s="201">
        <f>IF(OR(K103="",L103=""),"",IF(AND(L103&lt;0.05,OR(AND(J103="升高改善",K103&gt;0),AND(J103="降低改善",K103&lt;0))),"校正","不校正"))</f>
        <v/>
      </c>
      <c r="N103" s="178" t="inlineStr">
        <is>
          <t>Figure 3，PDF9/677，自上而下第1面板，实心菱形</t>
        </is>
      </c>
    </row>
    <row r="104" ht="45" customHeight="1" s="176">
      <c r="A104" s="201" t="inlineStr">
        <is>
          <t>K195</t>
        </is>
      </c>
      <c r="B104" s="201" t="inlineStr">
        <is>
          <t>030-滚雪球</t>
        </is>
      </c>
      <c r="C104" s="201" t="inlineStr">
        <is>
          <t>Ferris</t>
        </is>
      </c>
      <c r="D104" s="202" t="inlineStr">
        <is>
          <t>干预</t>
        </is>
      </c>
      <c r="E104" s="178" t="inlineStr">
        <is>
          <t>Baseline vs Intervention</t>
        </is>
      </c>
      <c r="F104" s="178" t="inlineStr">
        <is>
          <t>60, 60, 40, 60, 60, 60, 40, 20, 20, 20, 40, 20</t>
        </is>
      </c>
      <c r="G104" s="201">
        <f>IF(F104="","",LEN(F104)-LEN(SUBSTITUTE(F104,",",""))+1)</f>
        <v/>
      </c>
      <c r="H104" s="178" t="inlineStr">
        <is>
          <t>100, 100, 80, 100, 100, 100</t>
        </is>
      </c>
      <c r="I104" s="201">
        <f>IF(H104="","",LEN(H104)-LEN(SUBSTITUTE(H104,",",""))+1)</f>
        <v/>
      </c>
      <c r="J104" s="202" t="inlineStr">
        <is>
          <t>升高改善</t>
        </is>
      </c>
      <c r="K104" s="203" t="n">
        <v>-0.628415874980724</v>
      </c>
      <c r="L104" s="203" t="n">
        <v>0.009806616350195431</v>
      </c>
      <c r="M104" s="201">
        <f>IF(OR(K104="",L104=""),"",IF(AND(L104&lt;0.05,OR(AND(J104="升高改善",K104&gt;0),AND(J104="降低改善",K104&lt;0))),"校正","不校正"))</f>
        <v/>
      </c>
      <c r="N104" s="178" t="inlineStr">
        <is>
          <t>Figure 3，PDF9/677，自上而下第2面板，实心菱形</t>
        </is>
      </c>
    </row>
    <row r="105" ht="45" customHeight="1" s="176">
      <c r="A105" s="201" t="inlineStr">
        <is>
          <t>K196</t>
        </is>
      </c>
      <c r="B105" s="201" t="inlineStr">
        <is>
          <t>030-滚雪球</t>
        </is>
      </c>
      <c r="C105" s="201" t="inlineStr">
        <is>
          <t>Ferris</t>
        </is>
      </c>
      <c r="D105" s="202" t="inlineStr">
        <is>
          <t>维持</t>
        </is>
      </c>
      <c r="E105" s="178" t="inlineStr">
        <is>
          <t>Baseline vs Maintenance（训练情境）</t>
        </is>
      </c>
      <c r="F105" s="178" t="inlineStr">
        <is>
          <t>60, 60, 40, 60, 60, 60, 40, 20, 20, 20, 40, 20</t>
        </is>
      </c>
      <c r="G105" s="201">
        <f>IF(F105="","",LEN(F105)-LEN(SUBSTITUTE(F105,",",""))+1)</f>
        <v/>
      </c>
      <c r="H105" s="178" t="inlineStr">
        <is>
          <t>80, 80, 80, 100, 100, 80, 80, 80, 100, 80, 80, 80</t>
        </is>
      </c>
      <c r="I105" s="201">
        <f>IF(H105="","",LEN(H105)-LEN(SUBSTITUTE(H105,",",""))+1)</f>
        <v/>
      </c>
      <c r="J105" s="202" t="inlineStr">
        <is>
          <t>升高改善</t>
        </is>
      </c>
      <c r="K105" s="203" t="n">
        <v>-0.628415874980724</v>
      </c>
      <c r="L105" s="203" t="n">
        <v>0.009806616350195431</v>
      </c>
      <c r="M105" s="201">
        <f>IF(OR(K105="",L105=""),"",IF(AND(L105&lt;0.05,OR(AND(J105="升高改善",K105&gt;0),AND(J105="降低改善",K105&lt;0))),"校正","不校正"))</f>
        <v/>
      </c>
      <c r="N105" s="178" t="inlineStr">
        <is>
          <t>Figure 3，PDF9/677，自上而下第2面板，实心菱形</t>
        </is>
      </c>
    </row>
    <row r="106" ht="45" customHeight="1" s="176">
      <c r="A106" s="201" t="inlineStr">
        <is>
          <t>K197</t>
        </is>
      </c>
      <c r="B106" s="201" t="inlineStr">
        <is>
          <t>030-滚雪球</t>
        </is>
      </c>
      <c r="C106" s="201" t="inlineStr">
        <is>
          <t>Ferris</t>
        </is>
      </c>
      <c r="D106" s="202" t="inlineStr">
        <is>
          <t>干预</t>
        </is>
      </c>
      <c r="E106" s="178" t="inlineStr">
        <is>
          <t>Baseline vs Intervention</t>
        </is>
      </c>
      <c r="F106" s="178" t="inlineStr">
        <is>
          <t>0, 0, 0, 0, 0, 0, 0, 0, 0, 0, 0, 0, 25, 25, 25</t>
        </is>
      </c>
      <c r="G106" s="201">
        <f>IF(F106="","",LEN(F106)-LEN(SUBSTITUTE(F106,",",""))+1)</f>
        <v/>
      </c>
      <c r="H106" s="178" t="inlineStr">
        <is>
          <t>75, 75, 75, 100, 100, 100, 100, 100, 100</t>
        </is>
      </c>
      <c r="I106" s="201">
        <f>IF(H106="","",LEN(H106)-LEN(SUBSTITUTE(H106,",",""))+1)</f>
        <v/>
      </c>
      <c r="J106" s="202" t="inlineStr">
        <is>
          <t>升高改善</t>
        </is>
      </c>
      <c r="K106" s="203" t="n">
        <v>0.5855400437691201</v>
      </c>
      <c r="L106" s="203" t="n">
        <v>0.00937476845943489</v>
      </c>
      <c r="M106" s="201">
        <f>IF(OR(K106="",L106=""),"",IF(AND(L106&lt;0.05,OR(AND(J106="升高改善",K106&gt;0),AND(J106="降低改善",K106&lt;0))),"校正","不校正"))</f>
        <v/>
      </c>
      <c r="N106" s="178" t="inlineStr">
        <is>
          <t>Figure 3，PDF9/677，自上而下第3面板，实心菱形</t>
        </is>
      </c>
    </row>
    <row r="107" ht="45" customHeight="1" s="176">
      <c r="A107" s="201" t="inlineStr">
        <is>
          <t>K198</t>
        </is>
      </c>
      <c r="B107" s="201" t="inlineStr">
        <is>
          <t>030-滚雪球</t>
        </is>
      </c>
      <c r="C107" s="201" t="inlineStr">
        <is>
          <t>Ferris</t>
        </is>
      </c>
      <c r="D107" s="202" t="inlineStr">
        <is>
          <t>维持</t>
        </is>
      </c>
      <c r="E107" s="178" t="inlineStr">
        <is>
          <t>Baseline vs Maintenance（训练情境）</t>
        </is>
      </c>
      <c r="F107" s="178" t="inlineStr">
        <is>
          <t>0, 0, 0, 0, 0, 0, 0, 0, 0, 0, 0, 0, 25, 25, 25</t>
        </is>
      </c>
      <c r="G107" s="201">
        <f>IF(F107="","",LEN(F107)-LEN(SUBSTITUTE(F107,",",""))+1)</f>
        <v/>
      </c>
      <c r="H107" s="178" t="inlineStr">
        <is>
          <t>100, 100, 75, 100, 100, 100, 100, 100, 100</t>
        </is>
      </c>
      <c r="I107" s="201">
        <f>IF(H107="","",LEN(H107)-LEN(SUBSTITUTE(H107,",",""))+1)</f>
        <v/>
      </c>
      <c r="J107" s="202" t="inlineStr">
        <is>
          <t>升高改善</t>
        </is>
      </c>
      <c r="K107" s="203" t="n">
        <v>0.5855400437691201</v>
      </c>
      <c r="L107" s="203" t="n">
        <v>0.00937476845943489</v>
      </c>
      <c r="M107" s="201">
        <f>IF(OR(K107="",L107=""),"",IF(AND(L107&lt;0.05,OR(AND(J107="升高改善",K107&gt;0),AND(J107="降低改善",K107&lt;0))),"校正","不校正"))</f>
        <v/>
      </c>
      <c r="N107" s="178" t="inlineStr">
        <is>
          <t>Figure 3，PDF9/677，自上而下第3面板，实心菱形</t>
        </is>
      </c>
    </row>
    <row r="108" ht="45" customHeight="1" s="176">
      <c r="A108" s="201" t="inlineStr">
        <is>
          <t>K199</t>
        </is>
      </c>
      <c r="B108" s="201" t="inlineStr">
        <is>
          <t>030-滚雪球</t>
        </is>
      </c>
      <c r="C108" s="201" t="inlineStr">
        <is>
          <t>Ferris</t>
        </is>
      </c>
      <c r="D108" s="202" t="inlineStr">
        <is>
          <t>干预</t>
        </is>
      </c>
      <c r="E108" s="178" t="inlineStr">
        <is>
          <t>Baseline vs Intervention</t>
        </is>
      </c>
      <c r="F108" s="178" t="inlineStr">
        <is>
          <t>40, 20, 20, 40, 40, 40, 40, 40, 40, 20, 40, 40, 20, 40, 40</t>
        </is>
      </c>
      <c r="G108" s="201">
        <f>IF(F108="","",LEN(F108)-LEN(SUBSTITUTE(F108,",",""))+1)</f>
        <v/>
      </c>
      <c r="H108" s="178" t="inlineStr">
        <is>
          <t>80, 80, 80, 100, 100, 100, 100, 100, 100</t>
        </is>
      </c>
      <c r="I108" s="201">
        <f>IF(H108="","",LEN(H108)-LEN(SUBSTITUTE(H108,",",""))+1)</f>
        <v/>
      </c>
      <c r="J108" s="202" t="inlineStr">
        <is>
          <t>升高改善</t>
        </is>
      </c>
      <c r="K108" s="203" t="n">
        <v>0.1176979772673</v>
      </c>
      <c r="L108" s="203" t="n">
        <v>0.60150813444059</v>
      </c>
      <c r="M108" s="201">
        <f>IF(OR(K108="",L108=""),"",IF(AND(L108&lt;0.05,OR(AND(J108="升高改善",K108&gt;0),AND(J108="降低改善",K108&lt;0))),"校正","不校正"))</f>
        <v/>
      </c>
      <c r="N108" s="178" t="inlineStr">
        <is>
          <t>Figure 3，PDF9/677，自上而下第4面板，实心菱形</t>
        </is>
      </c>
    </row>
    <row r="109" ht="45" customHeight="1" s="176">
      <c r="A109" s="201" t="inlineStr">
        <is>
          <t>K220</t>
        </is>
      </c>
      <c r="B109" s="201" t="inlineStr">
        <is>
          <t>032-二次</t>
        </is>
      </c>
      <c r="C109" s="201" t="inlineStr">
        <is>
          <t>Jacob</t>
        </is>
      </c>
      <c r="D109" s="202" t="inlineStr">
        <is>
          <t>干预</t>
        </is>
      </c>
      <c r="E109" s="178" t="inlineStr">
        <is>
          <t>BL vs INT</t>
        </is>
      </c>
      <c r="F109" s="208" t="inlineStr">
        <is>
          <t>7, 10, 8</t>
        </is>
      </c>
      <c r="G109" s="209">
        <f>IF(F109="","",LEN(F109)-LEN(SUBSTITUTE(F109,",",""))+1)</f>
        <v/>
      </c>
      <c r="H109" s="208" t="inlineStr">
        <is>
          <t>27, 13, 49, 7.8, 25, 90, 55, 32, 38</t>
        </is>
      </c>
      <c r="I109" s="209">
        <f>IF(H109="","",LEN(H109)-LEN(SUBSTITUTE(H109,",",""))+1)</f>
        <v/>
      </c>
      <c r="J109" s="210" t="inlineStr">
        <is>
          <t>升高改善</t>
        </is>
      </c>
      <c r="K109" s="211" t="n">
        <v>0.3333333333333334</v>
      </c>
      <c r="L109" s="211" t="n">
        <v>1</v>
      </c>
      <c r="M109" s="209">
        <f>IF(OR(K109="",L109=""),"",IF(AND(L109&lt;0.05,OR(AND(J109="升高改善",K109&gt;0),AND(J109="降低改善",K109&lt;0))),"校正","不校正"))</f>
        <v/>
      </c>
      <c r="N109" s="178" t="inlineStr">
        <is>
          <t>Figure1，PDF8（原文在线页码8），自上而下第1面板 Jacob；符号见原图图例</t>
        </is>
      </c>
    </row>
    <row r="110" ht="45" customHeight="1" s="176">
      <c r="A110" s="201" t="inlineStr">
        <is>
          <t>K221</t>
        </is>
      </c>
      <c r="B110" s="201" t="inlineStr">
        <is>
          <t>032-二次</t>
        </is>
      </c>
      <c r="C110" s="201" t="inlineStr">
        <is>
          <t>Jacob</t>
        </is>
      </c>
      <c r="D110" s="202" t="inlineStr">
        <is>
          <t>维持</t>
        </is>
      </c>
      <c r="E110" s="178" t="inlineStr">
        <is>
          <t>BL vs FU（课程结束约5周后）</t>
        </is>
      </c>
      <c r="F110" s="178" t="inlineStr">
        <is>
          <t>7, 10, 8</t>
        </is>
      </c>
      <c r="G110" s="201">
        <f>IF(F110="","",LEN(F110)-LEN(SUBSTITUTE(F110,",",""))+1)</f>
        <v/>
      </c>
      <c r="H110" s="178" t="inlineStr">
        <is>
          <t>31, 34, 37</t>
        </is>
      </c>
      <c r="I110" s="201">
        <f>IF(H110="","",LEN(H110)-LEN(SUBSTITUTE(H110,",",""))+1)</f>
        <v/>
      </c>
      <c r="J110" s="202" t="inlineStr">
        <is>
          <t>升高改善</t>
        </is>
      </c>
      <c r="K110" s="203" t="n">
        <v>0.333333333333333</v>
      </c>
      <c r="L110" s="203" t="n">
        <v>1</v>
      </c>
      <c r="M110" s="201">
        <f>IF(OR(K110="",L110=""),"",IF(AND(L110&lt;0.05,OR(AND(J110="升高改善",K110&gt;0),AND(J110="降低改善",K110&lt;0))),"校正","不校正"))</f>
        <v/>
      </c>
      <c r="N110" s="178" t="inlineStr">
        <is>
          <t>Figure1，PDF8（原文在线页码8），自上而下第1面板 Jacob；符号见原图图例</t>
        </is>
      </c>
    </row>
    <row r="111" ht="45" customHeight="1" s="176">
      <c r="A111" s="201" t="inlineStr">
        <is>
          <t>K222</t>
        </is>
      </c>
      <c r="B111" s="201" t="inlineStr">
        <is>
          <t>032-二次</t>
        </is>
      </c>
      <c r="C111" s="201" t="inlineStr">
        <is>
          <t>Carl</t>
        </is>
      </c>
      <c r="D111" s="202" t="inlineStr">
        <is>
          <t>干预</t>
        </is>
      </c>
      <c r="E111" s="178" t="inlineStr">
        <is>
          <t>BL vs INT</t>
        </is>
      </c>
      <c r="F111" s="208" t="inlineStr">
        <is>
          <t>2, 10, 5</t>
        </is>
      </c>
      <c r="G111" s="209">
        <f>IF(F111="","",LEN(F111)-LEN(SUBSTITUTE(F111,",",""))+1)</f>
        <v/>
      </c>
      <c r="H111" s="208" t="inlineStr">
        <is>
          <t>27, 42, 28, 35, 19, 33, 62, 26, 63, 43, 42</t>
        </is>
      </c>
      <c r="I111" s="209">
        <f>IF(H111="","",LEN(H111)-LEN(SUBSTITUTE(H111,",",""))+1)</f>
        <v/>
      </c>
      <c r="J111" s="210" t="inlineStr">
        <is>
          <t>升高改善</t>
        </is>
      </c>
      <c r="K111" s="211" t="n">
        <v>0.3333333333333334</v>
      </c>
      <c r="L111" s="211" t="n">
        <v>1</v>
      </c>
      <c r="M111" s="209">
        <f>IF(OR(K111="",L111=""),"",IF(AND(L111&lt;0.05,OR(AND(J111="升高改善",K111&gt;0),AND(J111="降低改善",K111&lt;0))),"校正","不校正"))</f>
        <v/>
      </c>
      <c r="N111" s="178" t="inlineStr">
        <is>
          <t>Figure1，PDF8（原文在线页码8），自上而下第2面板 Carl；符号见原图图例</t>
        </is>
      </c>
    </row>
    <row r="112" ht="45" customHeight="1" s="176">
      <c r="A112" s="201" t="inlineStr">
        <is>
          <t>K223</t>
        </is>
      </c>
      <c r="B112" s="201" t="inlineStr">
        <is>
          <t>032-二次</t>
        </is>
      </c>
      <c r="C112" s="201" t="inlineStr">
        <is>
          <t>Carl</t>
        </is>
      </c>
      <c r="D112" s="202" t="inlineStr">
        <is>
          <t>维持</t>
        </is>
      </c>
      <c r="E112" s="178" t="inlineStr">
        <is>
          <t>BL vs FU（课程结束约5周后）</t>
        </is>
      </c>
      <c r="F112" s="178" t="inlineStr">
        <is>
          <t>2, 10, 5</t>
        </is>
      </c>
      <c r="G112" s="201">
        <f>IF(F112="","",LEN(F112)-LEN(SUBSTITUTE(F112,",",""))+1)</f>
        <v/>
      </c>
      <c r="H112" s="178" t="inlineStr">
        <is>
          <t>67, 40, 48</t>
        </is>
      </c>
      <c r="I112" s="201">
        <f>IF(H112="","",LEN(H112)-LEN(SUBSTITUTE(H112,",",""))+1)</f>
        <v/>
      </c>
      <c r="J112" s="202" t="inlineStr">
        <is>
          <t>升高改善</t>
        </is>
      </c>
      <c r="K112" s="203" t="n">
        <v>0.333333333333333</v>
      </c>
      <c r="L112" s="203" t="n">
        <v>1</v>
      </c>
      <c r="M112" s="201">
        <f>IF(OR(K112="",L112=""),"",IF(AND(L112&lt;0.05,OR(AND(J112="升高改善",K112&gt;0),AND(J112="降低改善",K112&lt;0))),"校正","不校正"))</f>
        <v/>
      </c>
      <c r="N112" s="178" t="inlineStr">
        <is>
          <t>Figure1，PDF8（原文在线页码8），自上而下第2面板 Carl；符号见原图图例</t>
        </is>
      </c>
    </row>
    <row r="113" ht="45" customHeight="1" s="176">
      <c r="A113" s="201" t="inlineStr">
        <is>
          <t>K224</t>
        </is>
      </c>
      <c r="B113" s="201" t="inlineStr">
        <is>
          <t>032-二次</t>
        </is>
      </c>
      <c r="C113" s="201" t="inlineStr">
        <is>
          <t>Edgar</t>
        </is>
      </c>
      <c r="D113" s="202" t="inlineStr">
        <is>
          <t>干预</t>
        </is>
      </c>
      <c r="E113" s="178" t="inlineStr">
        <is>
          <t>BL vs INT</t>
        </is>
      </c>
      <c r="F113" s="208" t="inlineStr">
        <is>
          <t>17, 27, 60, 15, 14</t>
        </is>
      </c>
      <c r="G113" s="209">
        <f>IF(F113="","",LEN(F113)-LEN(SUBSTITUTE(F113,",",""))+1)</f>
        <v/>
      </c>
      <c r="H113" s="208" t="inlineStr">
        <is>
          <t>51, 74, 75, 68, 68, 57, 79, 82</t>
        </is>
      </c>
      <c r="I113" s="209">
        <f>IF(H113="","",LEN(H113)-LEN(SUBSTITUTE(H113,",",""))+1)</f>
        <v/>
      </c>
      <c r="J113" s="210" t="inlineStr">
        <is>
          <t>升高改善</t>
        </is>
      </c>
      <c r="K113" s="211" t="n">
        <v>-0.4</v>
      </c>
      <c r="L113" s="211" t="n">
        <v>0.4833333333333333</v>
      </c>
      <c r="M113" s="209">
        <f>IF(OR(K113="",L113=""),"",IF(AND(L113&lt;0.05,OR(AND(J113="升高改善",K113&gt;0),AND(J113="降低改善",K113&lt;0))),"校正","不校正"))</f>
        <v/>
      </c>
      <c r="N113" s="178" t="inlineStr">
        <is>
          <t>Figure1，PDF8（原文在线页码8），自上而下第3面板 Edgar；符号见原图图例</t>
        </is>
      </c>
    </row>
    <row r="114" ht="45" customHeight="1" s="176">
      <c r="A114" s="201" t="inlineStr">
        <is>
          <t>K225</t>
        </is>
      </c>
      <c r="B114" s="201" t="inlineStr">
        <is>
          <t>032-二次</t>
        </is>
      </c>
      <c r="C114" s="201" t="inlineStr">
        <is>
          <t>Edgar</t>
        </is>
      </c>
      <c r="D114" s="202" t="inlineStr">
        <is>
          <t>维持</t>
        </is>
      </c>
      <c r="E114" s="178" t="inlineStr">
        <is>
          <t>BL vs FU（课程结束约5周后）</t>
        </is>
      </c>
      <c r="F114" s="178" t="inlineStr">
        <is>
          <t>17, 27, 60, 15, 14</t>
        </is>
      </c>
      <c r="G114" s="201">
        <f>IF(F114="","",LEN(F114)-LEN(SUBSTITUTE(F114,",",""))+1)</f>
        <v/>
      </c>
      <c r="H114" s="178" t="inlineStr">
        <is>
          <t>60, 65, 60</t>
        </is>
      </c>
      <c r="I114" s="201">
        <f>IF(H114="","",LEN(H114)-LEN(SUBSTITUTE(H114,",",""))+1)</f>
        <v/>
      </c>
      <c r="J114" s="202" t="inlineStr">
        <is>
          <t>升高改善</t>
        </is>
      </c>
      <c r="K114" s="203" t="n">
        <v>-0.4</v>
      </c>
      <c r="L114" s="203" t="n">
        <v>0.483333333333333</v>
      </c>
      <c r="M114" s="201">
        <f>IF(OR(K114="",L114=""),"",IF(AND(L114&lt;0.05,OR(AND(J114="升高改善",K114&gt;0),AND(J114="降低改善",K114&lt;0))),"校正","不校正"))</f>
        <v/>
      </c>
      <c r="N114" s="178" t="inlineStr">
        <is>
          <t>Figure1，PDF8（原文在线页码8），自上而下第3面板 Edgar；符号见原图图例</t>
        </is>
      </c>
    </row>
    <row r="115" ht="45" customHeight="1" s="176">
      <c r="A115" s="201" t="inlineStr">
        <is>
          <t>K226</t>
        </is>
      </c>
      <c r="B115" s="201" t="inlineStr">
        <is>
          <t>032-二次</t>
        </is>
      </c>
      <c r="C115" s="201" t="inlineStr">
        <is>
          <t>Dylan</t>
        </is>
      </c>
      <c r="D115" s="202" t="inlineStr">
        <is>
          <t>干预</t>
        </is>
      </c>
      <c r="E115" s="178" t="inlineStr">
        <is>
          <t>BL vs INT</t>
        </is>
      </c>
      <c r="F115" s="208" t="inlineStr">
        <is>
          <t>33, 2, 5, 0, 0, 3, 2</t>
        </is>
      </c>
      <c r="G115" s="209">
        <f>IF(F115="","",LEN(F115)-LEN(SUBSTITUTE(F115,",",""))+1)</f>
        <v/>
      </c>
      <c r="H115" s="208" t="inlineStr">
        <is>
          <t>16, 49, 37, 39, 30, 68, 48, 37, 45, 58</t>
        </is>
      </c>
      <c r="I115" s="209">
        <f>IF(H115="","",LEN(H115)-LEN(SUBSTITUTE(H115,",",""))+1)</f>
        <v/>
      </c>
      <c r="J115" s="210" t="inlineStr">
        <is>
          <t>升高改善</t>
        </is>
      </c>
      <c r="K115" s="211" t="n">
        <v>-0.3504383220252312</v>
      </c>
      <c r="L115" s="211" t="n">
        <v>0.2819887144992868</v>
      </c>
      <c r="M115" s="209">
        <f>IF(OR(K115="",L115=""),"",IF(AND(L115&lt;0.05,OR(AND(J115="升高改善",K115&gt;0),AND(J115="降低改善",K115&lt;0))),"校正","不校正"))</f>
        <v/>
      </c>
      <c r="N115" s="178" t="inlineStr">
        <is>
          <t>Figure1，PDF8（原文在线页码8），自上而下第4面板 Dylan；符号见原图图例</t>
        </is>
      </c>
    </row>
    <row r="116" ht="45" customHeight="1" s="176">
      <c r="A116" s="201" t="inlineStr">
        <is>
          <t>K227</t>
        </is>
      </c>
      <c r="B116" s="201" t="inlineStr">
        <is>
          <t>032-二次</t>
        </is>
      </c>
      <c r="C116" s="201" t="inlineStr">
        <is>
          <t>Dylan</t>
        </is>
      </c>
      <c r="D116" s="202" t="inlineStr">
        <is>
          <t>维持</t>
        </is>
      </c>
      <c r="E116" s="178" t="inlineStr">
        <is>
          <t>BL vs FU（课程结束约5周后）</t>
        </is>
      </c>
      <c r="F116" s="178" t="inlineStr">
        <is>
          <t>33, 2, 5, 0, 0, 3, 2</t>
        </is>
      </c>
      <c r="G116" s="201">
        <f>IF(F116="","",LEN(F116)-LEN(SUBSTITUTE(F116,",",""))+1)</f>
        <v/>
      </c>
      <c r="H116" s="178" t="inlineStr">
        <is>
          <t>38, 38, 7, 33</t>
        </is>
      </c>
      <c r="I116" s="201">
        <f>IF(H116="","",LEN(H116)-LEN(SUBSTITUTE(H116,",",""))+1)</f>
        <v/>
      </c>
      <c r="J116" s="202" t="inlineStr">
        <is>
          <t>升高改善</t>
        </is>
      </c>
      <c r="K116" s="203" t="n">
        <v>-0.350438322025231</v>
      </c>
      <c r="L116" s="203" t="n">
        <v>0.281988714499287</v>
      </c>
      <c r="M116" s="201">
        <f>IF(OR(K116="",L116=""),"",IF(AND(L116&lt;0.05,OR(AND(J116="升高改善",K116&gt;0),AND(J116="降低改善",K116&lt;0))),"校正","不校正"))</f>
        <v/>
      </c>
      <c r="N116" s="178" t="inlineStr">
        <is>
          <t>Figure1，PDF8（原文在线页码8），自上而下第4面板 Dylan；符号见原图图例</t>
        </is>
      </c>
    </row>
    <row r="117" ht="45" customHeight="1" s="176">
      <c r="A117" s="201" t="inlineStr">
        <is>
          <t>K228</t>
        </is>
      </c>
      <c r="B117" s="201" t="inlineStr">
        <is>
          <t>032-二次</t>
        </is>
      </c>
      <c r="C117" s="201" t="inlineStr">
        <is>
          <t>Louis</t>
        </is>
      </c>
      <c r="D117" s="202" t="inlineStr">
        <is>
          <t>干预</t>
        </is>
      </c>
      <c r="E117" s="178" t="inlineStr">
        <is>
          <t>BL vs INT</t>
        </is>
      </c>
      <c r="F117" s="208" t="inlineStr">
        <is>
          <t>56, 15, 11, 11, 13, 14, 22, 61, 8, 12</t>
        </is>
      </c>
      <c r="G117" s="209">
        <f>IF(F117="","",LEN(F117)-LEN(SUBSTITUTE(F117,",",""))+1)</f>
        <v/>
      </c>
      <c r="H117" s="208" t="inlineStr">
        <is>
          <t>56, 50, 50, 60, 71, 65, 68</t>
        </is>
      </c>
      <c r="I117" s="209">
        <f>IF(H117="","",LEN(H117)-LEN(SUBSTITUTE(H117,",",""))+1)</f>
        <v/>
      </c>
      <c r="J117" s="210" t="inlineStr">
        <is>
          <t>升高改善</t>
        </is>
      </c>
      <c r="K117" s="211" t="n">
        <v>-0.08989331499509895</v>
      </c>
      <c r="L117" s="211" t="n">
        <v>0.7194375444233914</v>
      </c>
      <c r="M117" s="209">
        <f>IF(OR(K117="",L117=""),"",IF(AND(L117&lt;0.05,OR(AND(J117="升高改善",K117&gt;0),AND(J117="降低改善",K117&lt;0))),"校正","不校正"))</f>
        <v/>
      </c>
      <c r="N117" s="178" t="inlineStr">
        <is>
          <t>Figure1，PDF8（原文在线页码8），自上而下第5面板 Louis；符号见原图图例</t>
        </is>
      </c>
    </row>
    <row r="118" ht="45" customHeight="1" s="176">
      <c r="A118" s="201" t="inlineStr">
        <is>
          <t>K229</t>
        </is>
      </c>
      <c r="B118" s="201" t="inlineStr">
        <is>
          <t>034-二次</t>
        </is>
      </c>
      <c r="C118" s="201" t="inlineStr">
        <is>
          <t>Matthew</t>
        </is>
      </c>
      <c r="D118" s="202" t="inlineStr">
        <is>
          <t>干预</t>
        </is>
      </c>
      <c r="E118" s="181" t="inlineStr">
        <is>
          <t>诊室基线 vs Social Stories＋Video Modeling 期</t>
        </is>
      </c>
      <c r="F118" s="178" t="inlineStr">
        <is>
          <t>6, 0, 13</t>
        </is>
      </c>
      <c r="G118" s="201">
        <f>IF(F118="","",LEN(F118)-LEN(SUBSTITUTE(F118,",",""))+1)</f>
        <v/>
      </c>
      <c r="H118" s="178" t="inlineStr">
        <is>
          <t>67, 87, 100, 100, 96, 100, 100, 100, 93, 100, 100, 100, 100, 100, 100, 100, 100</t>
        </is>
      </c>
      <c r="I118" s="201">
        <f>IF(H118="","",LEN(H118)-LEN(SUBSTITUTE(H118,",",""))+1)</f>
        <v/>
      </c>
      <c r="J118" s="202" t="inlineStr">
        <is>
          <t>升高改善</t>
        </is>
      </c>
      <c r="K118" s="203" t="n">
        <v>0.333333333333333</v>
      </c>
      <c r="L118" s="203" t="n">
        <v>1</v>
      </c>
      <c r="M118" s="201">
        <f>IF(OR(K118="",L118=""),"",IF(AND(L118&lt;0.05,OR(AND(J118="升高改善",K118&gt;0),AND(J118="降低改善",K118&lt;0))),"校正","不校正"))</f>
        <v/>
      </c>
      <c r="N118" s="181" t="inlineStr">
        <is>
          <t>Fig1 PDF3／印刷397，自上而下第1面板，Clinic系列；符号见原图图例</t>
        </is>
      </c>
    </row>
    <row r="119" ht="45" customHeight="1" s="176">
      <c r="A119" s="201" t="inlineStr">
        <is>
          <t>K230</t>
        </is>
      </c>
      <c r="B119" s="201" t="inlineStr">
        <is>
          <t>034-二次</t>
        </is>
      </c>
      <c r="C119" s="201" t="inlineStr">
        <is>
          <t>Matthew</t>
        </is>
      </c>
      <c r="D119" s="202" t="inlineStr">
        <is>
          <t>干预</t>
        </is>
      </c>
      <c r="E119" s="181" t="inlineStr">
        <is>
          <t>诊室基线 vs Social Stories＋Video Modeling 期</t>
        </is>
      </c>
      <c r="F119" s="178" t="inlineStr">
        <is>
          <t>3, 0, 0, 0, 0</t>
        </is>
      </c>
      <c r="G119" s="201">
        <f>IF(F119="","",LEN(F119)-LEN(SUBSTITUTE(F119,",",""))+1)</f>
        <v/>
      </c>
      <c r="H119" s="178" t="inlineStr">
        <is>
          <t>9, 9, 3, 23, 0, 0, 0, 0, 0, 3, 3, 17, 40, 10, 0</t>
        </is>
      </c>
      <c r="I119" s="201">
        <f>IF(H119="","",LEN(H119)-LEN(SUBSTITUTE(H119,",",""))+1)</f>
        <v/>
      </c>
      <c r="J119" s="202" t="inlineStr">
        <is>
          <t>升高改善</t>
        </is>
      </c>
      <c r="K119" s="203" t="n">
        <v>-0.632455532033676</v>
      </c>
      <c r="L119" s="203" t="n">
        <v>0.157299207050285</v>
      </c>
      <c r="M119" s="201">
        <f>IF(OR(K119="",L119=""),"",IF(AND(L119&lt;0.05,OR(AND(J119="升高改善",K119&gt;0),AND(J119="降低改善",K119&lt;0))),"校正","不校正"))</f>
        <v/>
      </c>
      <c r="N119" s="181" t="inlineStr">
        <is>
          <t>Fig1 PDF3／印刷397，自上而下第2面板，Clinic系列；符号见原图图例</t>
        </is>
      </c>
    </row>
    <row r="120" ht="45" customHeight="1" s="176">
      <c r="A120" s="201" t="inlineStr">
        <is>
          <t>K231</t>
        </is>
      </c>
      <c r="B120" s="201" t="inlineStr">
        <is>
          <t>034-二次</t>
        </is>
      </c>
      <c r="C120" s="201" t="inlineStr">
        <is>
          <t>Matthew</t>
        </is>
      </c>
      <c r="D120" s="202" t="inlineStr">
        <is>
          <t>干预</t>
        </is>
      </c>
      <c r="E120" s="181" t="inlineStr">
        <is>
          <t>诊室基线 vs Social Stories＋Video Modeling 期</t>
        </is>
      </c>
      <c r="F120" s="178" t="inlineStr">
        <is>
          <t>3, 0, 0, 0, 0, 0, 0, 3, 3, 0</t>
        </is>
      </c>
      <c r="G120" s="201">
        <f>IF(F120="","",LEN(F120)-LEN(SUBSTITUTE(F120,",",""))+1)</f>
        <v/>
      </c>
      <c r="H120" s="178" t="inlineStr">
        <is>
          <t>7, 23, 34, 20, 52, 27, 30, 45, 27, 40</t>
        </is>
      </c>
      <c r="I120" s="201">
        <f>IF(H120="","",LEN(H120)-LEN(SUBSTITUTE(H120,",",""))+1)</f>
        <v/>
      </c>
      <c r="J120" s="202" t="inlineStr">
        <is>
          <t>升高改善</t>
        </is>
      </c>
      <c r="K120" s="203" t="n">
        <v>0.0975900072948533</v>
      </c>
      <c r="L120" s="203" t="n">
        <v>0.732439899903872</v>
      </c>
      <c r="M120" s="201">
        <f>IF(OR(K120="",L120=""),"",IF(AND(L120&lt;0.05,OR(AND(J120="升高改善",K120&gt;0),AND(J120="降低改善",K120&lt;0))),"校正","不校正"))</f>
        <v/>
      </c>
      <c r="N120" s="181" t="inlineStr">
        <is>
          <t>Fig1 PDF3／印刷397，自上而下第3面板，Clinic系列；符号见原图图例</t>
        </is>
      </c>
    </row>
    <row r="121" ht="45" customHeight="1" s="176">
      <c r="A121" s="201" t="inlineStr">
        <is>
          <t>K232</t>
        </is>
      </c>
      <c r="B121" s="201" t="inlineStr">
        <is>
          <t>035-二次</t>
        </is>
      </c>
      <c r="C121" s="201" t="inlineStr">
        <is>
          <t>James</t>
        </is>
      </c>
      <c r="D121" s="202" t="inlineStr">
        <is>
          <t>干预</t>
        </is>
      </c>
      <c r="E121" s="178" t="inlineStr">
        <is>
          <t>BL vs INT</t>
        </is>
      </c>
      <c r="F121" s="178" t="inlineStr">
        <is>
          <t>0, 0, 0</t>
        </is>
      </c>
      <c r="G121" s="201">
        <f>IF(F121="","",LEN(F121)-LEN(SUBSTITUTE(F121,",",""))+1)</f>
        <v/>
      </c>
      <c r="H121" s="178" t="inlineStr">
        <is>
          <t>40, 0, 60, 0, 60, 80, 60, 0, 60, 80, 100</t>
        </is>
      </c>
      <c r="I121" s="201">
        <f>IF(H121="","",LEN(H121)-LEN(SUBSTITUTE(H121,",",""))+1)</f>
        <v/>
      </c>
      <c r="J121" s="202" t="inlineStr">
        <is>
          <t>升高改善</t>
        </is>
      </c>
      <c r="K121" s="203" t="n">
        <v>0</v>
      </c>
      <c r="L121" s="203" t="n">
        <v>1</v>
      </c>
      <c r="M121" s="201">
        <f>IF(OR(K121="",L121=""),"",IF(AND(L121&lt;0.05,OR(AND(J121="升高改善",K121&gt;0),AND(J121="降低改善",K121&lt;0))),"校正","不校正"))</f>
        <v/>
      </c>
      <c r="N121" s="178" t="inlineStr">
        <is>
          <t>Figure1，PDF15/246，自上而下第1面板，实心圆</t>
        </is>
      </c>
    </row>
    <row r="122" ht="45" customHeight="1" s="176">
      <c r="A122" s="201" t="inlineStr">
        <is>
          <t>K233</t>
        </is>
      </c>
      <c r="B122" s="201" t="inlineStr">
        <is>
          <t>035-二次</t>
        </is>
      </c>
      <c r="C122" s="201" t="inlineStr">
        <is>
          <t>James</t>
        </is>
      </c>
      <c r="D122" s="202" t="inlineStr">
        <is>
          <t>维持</t>
        </is>
      </c>
      <c r="E122" s="178" t="inlineStr">
        <is>
          <t>BL vs MT（训练情境）</t>
        </is>
      </c>
      <c r="F122" s="178" t="inlineStr">
        <is>
          <t>0, 0, 0</t>
        </is>
      </c>
      <c r="G122" s="201">
        <f>IF(F122="","",LEN(F122)-LEN(SUBSTITUTE(F122,",",""))+1)</f>
        <v/>
      </c>
      <c r="H122" s="178" t="inlineStr">
        <is>
          <t>40, 40, 80, 80, 20, 20, 40</t>
        </is>
      </c>
      <c r="I122" s="201">
        <f>IF(H122="","",LEN(H122)-LEN(SUBSTITUTE(H122,",",""))+1)</f>
        <v/>
      </c>
      <c r="J122" s="202" t="inlineStr">
        <is>
          <t>升高改善</t>
        </is>
      </c>
      <c r="K122" s="203" t="n">
        <v>0</v>
      </c>
      <c r="L122" s="203" t="n">
        <v>1</v>
      </c>
      <c r="M122" s="201">
        <f>IF(OR(K122="",L122=""),"",IF(AND(L122&lt;0.05,OR(AND(J122="升高改善",K122&gt;0),AND(J122="降低改善",K122&lt;0))),"校正","不校正"))</f>
        <v/>
      </c>
      <c r="N122" s="178" t="inlineStr">
        <is>
          <t>Figure1，PDF15/246，自上而下第1面板，实心圆</t>
        </is>
      </c>
    </row>
    <row r="123" ht="45" customHeight="1" s="176">
      <c r="A123" s="201" t="inlineStr">
        <is>
          <t>K234</t>
        </is>
      </c>
      <c r="B123" s="201" t="inlineStr">
        <is>
          <t>035-二次</t>
        </is>
      </c>
      <c r="C123" s="201" t="inlineStr">
        <is>
          <t>James</t>
        </is>
      </c>
      <c r="D123" s="202" t="inlineStr">
        <is>
          <t>泛化</t>
        </is>
      </c>
      <c r="E123" s="181" t="inlineStr">
        <is>
          <t>泛化 BL vs INT 期泛化探测（空心符号）</t>
        </is>
      </c>
      <c r="F123" s="178" t="inlineStr">
        <is>
          <t>0, 0, 0</t>
        </is>
      </c>
      <c r="G123" s="201">
        <f>IF(F123="","",LEN(F123)-LEN(SUBSTITUTE(F123,",",""))+1)</f>
        <v/>
      </c>
      <c r="H123" s="178" t="inlineStr">
        <is>
          <t>80, 60, 80</t>
        </is>
      </c>
      <c r="I123" s="201">
        <f>IF(H123="","",LEN(H123)-LEN(SUBSTITUTE(H123,",",""))+1)</f>
        <v/>
      </c>
      <c r="J123" s="202" t="inlineStr">
        <is>
          <t>升高改善</t>
        </is>
      </c>
      <c r="K123" s="203" t="n">
        <v>0</v>
      </c>
      <c r="L123" s="203" t="n">
        <v>1</v>
      </c>
      <c r="M123" s="201">
        <f>IF(OR(K123="",L123=""),"",IF(AND(L123&lt;0.05,OR(AND(J123="升高改善",K123&gt;0),AND(J123="降低改善",K123&lt;0))),"校正","不校正"))</f>
        <v/>
      </c>
      <c r="N123" s="181" t="inlineStr">
        <is>
          <t>Figure1，PDF15/246，自上而下第1面板，空心倒三角</t>
        </is>
      </c>
    </row>
    <row r="124" ht="45" customHeight="1" s="176">
      <c r="A124" s="201" t="inlineStr">
        <is>
          <t>K235</t>
        </is>
      </c>
      <c r="B124" s="201" t="inlineStr">
        <is>
          <t>035-二次</t>
        </is>
      </c>
      <c r="C124" s="201" t="inlineStr">
        <is>
          <t>James</t>
        </is>
      </c>
      <c r="D124" s="202" t="inlineStr">
        <is>
          <t>干预</t>
        </is>
      </c>
      <c r="E124" s="178" t="inlineStr">
        <is>
          <t>BL vs INT</t>
        </is>
      </c>
      <c r="F124" s="178" t="inlineStr">
        <is>
          <t>0, 20, 0, 0, 0, 20, 0</t>
        </is>
      </c>
      <c r="G124" s="201">
        <f>IF(F124="","",LEN(F124)-LEN(SUBSTITUTE(F124,",",""))+1)</f>
        <v/>
      </c>
      <c r="H124" s="178" t="inlineStr">
        <is>
          <t>20, 20, 20, 20, 80</t>
        </is>
      </c>
      <c r="I124" s="201">
        <f>IF(H124="","",LEN(H124)-LEN(SUBSTITUTE(H124,",",""))+1)</f>
        <v/>
      </c>
      <c r="J124" s="202" t="inlineStr">
        <is>
          <t>升高改善</t>
        </is>
      </c>
      <c r="K124" s="203" t="n">
        <v>0</v>
      </c>
      <c r="L124" s="203" t="n">
        <v>1</v>
      </c>
      <c r="M124" s="201">
        <f>IF(OR(K124="",L124=""),"",IF(AND(L124&lt;0.05,OR(AND(J124="升高改善",K124&gt;0),AND(J124="降低改善",K124&lt;0))),"校正","不校正"))</f>
        <v/>
      </c>
      <c r="N124" s="178" t="inlineStr">
        <is>
          <t>Figure1，PDF15/246，自上而下第2面板，实心圆</t>
        </is>
      </c>
    </row>
    <row r="125" ht="45" customHeight="1" s="176">
      <c r="A125" s="201" t="inlineStr">
        <is>
          <t>K236</t>
        </is>
      </c>
      <c r="B125" s="201" t="inlineStr">
        <is>
          <t>035-二次</t>
        </is>
      </c>
      <c r="C125" s="201" t="inlineStr">
        <is>
          <t>James</t>
        </is>
      </c>
      <c r="D125" s="202" t="inlineStr">
        <is>
          <t>维持</t>
        </is>
      </c>
      <c r="E125" s="178" t="inlineStr">
        <is>
          <t>BL vs MT（训练情境）</t>
        </is>
      </c>
      <c r="F125" s="178" t="inlineStr">
        <is>
          <t>0, 20, 0, 0, 0, 20, 0</t>
        </is>
      </c>
      <c r="G125" s="201">
        <f>IF(F125="","",LEN(F125)-LEN(SUBSTITUTE(F125,",",""))+1)</f>
        <v/>
      </c>
      <c r="H125" s="178" t="inlineStr">
        <is>
          <t>20, 80, 0, 80</t>
        </is>
      </c>
      <c r="I125" s="201">
        <f>IF(H125="","",LEN(H125)-LEN(SUBSTITUTE(H125,",",""))+1)</f>
        <v/>
      </c>
      <c r="J125" s="202" t="inlineStr">
        <is>
          <t>升高改善</t>
        </is>
      </c>
      <c r="K125" s="203" t="n">
        <v>0</v>
      </c>
      <c r="L125" s="203" t="n">
        <v>1</v>
      </c>
      <c r="M125" s="201">
        <f>IF(OR(K125="",L125=""),"",IF(AND(L125&lt;0.05,OR(AND(J125="升高改善",K125&gt;0),AND(J125="降低改善",K125&lt;0))),"校正","不校正"))</f>
        <v/>
      </c>
      <c r="N125" s="178" t="inlineStr">
        <is>
          <t>Figure1，PDF15/246，自上而下第2面板，实心圆</t>
        </is>
      </c>
    </row>
    <row r="126" ht="45" customHeight="1" s="176">
      <c r="A126" s="201" t="inlineStr">
        <is>
          <t>K237</t>
        </is>
      </c>
      <c r="B126" s="201" t="inlineStr">
        <is>
          <t>035-二次</t>
        </is>
      </c>
      <c r="C126" s="201" t="inlineStr">
        <is>
          <t>James</t>
        </is>
      </c>
      <c r="D126" s="202" t="inlineStr">
        <is>
          <t>泛化</t>
        </is>
      </c>
      <c r="E126" s="181" t="inlineStr">
        <is>
          <t>泛化 BL vs INT 期泛化探测（空心符号）</t>
        </is>
      </c>
      <c r="F126" s="178" t="inlineStr">
        <is>
          <t>0, 0, 20, 20</t>
        </is>
      </c>
      <c r="G126" s="201">
        <f>IF(F126="","",LEN(F126)-LEN(SUBSTITUTE(F126,",",""))+1)</f>
        <v/>
      </c>
      <c r="H126" s="178" t="inlineStr">
        <is>
          <t>40, 40, 20</t>
        </is>
      </c>
      <c r="I126" s="201">
        <f>IF(H126="","",LEN(H126)-LEN(SUBSTITUTE(H126,",",""))+1)</f>
        <v/>
      </c>
      <c r="J126" s="202" t="inlineStr">
        <is>
          <t>升高改善</t>
        </is>
      </c>
      <c r="K126" s="203" t="n">
        <v>0.816496580927726</v>
      </c>
      <c r="L126" s="203" t="n">
        <v>0.121335250358482</v>
      </c>
      <c r="M126" s="201">
        <f>IF(OR(K126="",L126=""),"",IF(AND(L126&lt;0.05,OR(AND(J126="升高改善",K126&gt;0),AND(J126="降低改善",K126&lt;0))),"校正","不校正"))</f>
        <v/>
      </c>
      <c r="N126" s="181" t="inlineStr">
        <is>
          <t>Figure1，PDF15/246，自上而下第2面板，空心倒三角</t>
        </is>
      </c>
    </row>
    <row r="127" ht="45" customHeight="1" s="176">
      <c r="A127" s="201" t="inlineStr">
        <is>
          <t>K238</t>
        </is>
      </c>
      <c r="B127" s="201" t="inlineStr">
        <is>
          <t>035-二次</t>
        </is>
      </c>
      <c r="C127" s="201" t="inlineStr">
        <is>
          <t>James</t>
        </is>
      </c>
      <c r="D127" s="202" t="inlineStr">
        <is>
          <t>干预</t>
        </is>
      </c>
      <c r="E127" s="178" t="inlineStr">
        <is>
          <t>BL vs INT</t>
        </is>
      </c>
      <c r="F127" s="178" t="inlineStr">
        <is>
          <t>0, 0, 0, 0, 0, 0, 0, 0, 0</t>
        </is>
      </c>
      <c r="G127" s="201">
        <f>IF(F127="","",LEN(F127)-LEN(SUBSTITUTE(F127,",",""))+1)</f>
        <v/>
      </c>
      <c r="H127" s="178" t="inlineStr">
        <is>
          <t>0, 50, 16, 50, 33, 33</t>
        </is>
      </c>
      <c r="I127" s="201">
        <f>IF(H127="","",LEN(H127)-LEN(SUBSTITUTE(H127,",",""))+1)</f>
        <v/>
      </c>
      <c r="J127" s="202" t="inlineStr">
        <is>
          <t>升高改善</t>
        </is>
      </c>
      <c r="K127" s="203" t="n">
        <v>0</v>
      </c>
      <c r="L127" s="203" t="n">
        <v>1</v>
      </c>
      <c r="M127" s="201">
        <f>IF(OR(K127="",L127=""),"",IF(AND(L127&lt;0.05,OR(AND(J127="升高改善",K127&gt;0),AND(J127="降低改善",K127&lt;0))),"校正","不校正"))</f>
        <v/>
      </c>
      <c r="N127" s="178" t="inlineStr">
        <is>
          <t>Figure1，PDF15/246，自上而下第3面板，实心圆</t>
        </is>
      </c>
    </row>
    <row r="128" ht="45" customHeight="1" s="176">
      <c r="A128" s="201" t="inlineStr">
        <is>
          <t>K239</t>
        </is>
      </c>
      <c r="B128" s="201" t="inlineStr">
        <is>
          <t>035-二次</t>
        </is>
      </c>
      <c r="C128" s="201" t="inlineStr">
        <is>
          <t>James</t>
        </is>
      </c>
      <c r="D128" s="202" t="inlineStr">
        <is>
          <t>维持</t>
        </is>
      </c>
      <c r="E128" s="178" t="inlineStr">
        <is>
          <t>BL vs MT（训练情境）</t>
        </is>
      </c>
      <c r="F128" s="178" t="inlineStr">
        <is>
          <t>0, 0, 0, 0, 0, 0, 0, 0, 0</t>
        </is>
      </c>
      <c r="G128" s="201">
        <f>IF(F128="","",LEN(F128)-LEN(SUBSTITUTE(F128,",",""))+1)</f>
        <v/>
      </c>
      <c r="H128" s="178" t="inlineStr">
        <is>
          <t>33, 33, 33</t>
        </is>
      </c>
      <c r="I128" s="201">
        <f>IF(H128="","",LEN(H128)-LEN(SUBSTITUTE(H128,",",""))+1)</f>
        <v/>
      </c>
      <c r="J128" s="202" t="inlineStr">
        <is>
          <t>升高改善</t>
        </is>
      </c>
      <c r="K128" s="203" t="n">
        <v>0</v>
      </c>
      <c r="L128" s="203" t="n">
        <v>1</v>
      </c>
      <c r="M128" s="201">
        <f>IF(OR(K128="",L128=""),"",IF(AND(L128&lt;0.05,OR(AND(J128="升高改善",K128&gt;0),AND(J128="降低改善",K128&lt;0))),"校正","不校正"))</f>
        <v/>
      </c>
      <c r="N128" s="178" t="inlineStr">
        <is>
          <t>Figure1，PDF15/246，自上而下第3面板，实心圆</t>
        </is>
      </c>
    </row>
    <row r="129" ht="45" customHeight="1" s="176">
      <c r="A129" s="201" t="inlineStr">
        <is>
          <t>K240</t>
        </is>
      </c>
      <c r="B129" s="201" t="inlineStr">
        <is>
          <t>035-二次</t>
        </is>
      </c>
      <c r="C129" s="201" t="inlineStr">
        <is>
          <t>James</t>
        </is>
      </c>
      <c r="D129" s="202" t="inlineStr">
        <is>
          <t>泛化</t>
        </is>
      </c>
      <c r="E129" s="181" t="inlineStr">
        <is>
          <t>泛化 BL vs INT 期泛化探测（空心符号）</t>
        </is>
      </c>
      <c r="F129" s="178" t="inlineStr">
        <is>
          <t>0, 0, 0, 0</t>
        </is>
      </c>
      <c r="G129" s="201">
        <f>IF(F129="","",LEN(F129)-LEN(SUBSTITUTE(F129,",",""))+1)</f>
        <v/>
      </c>
      <c r="H129" s="178" t="inlineStr">
        <is>
          <t>33, 50, 0</t>
        </is>
      </c>
      <c r="I129" s="201">
        <f>IF(H129="","",LEN(H129)-LEN(SUBSTITUTE(H129,",",""))+1)</f>
        <v/>
      </c>
      <c r="J129" s="202" t="inlineStr">
        <is>
          <t>升高改善</t>
        </is>
      </c>
      <c r="K129" s="203" t="n">
        <v>0</v>
      </c>
      <c r="L129" s="203" t="n">
        <v>1</v>
      </c>
      <c r="M129" s="201">
        <f>IF(OR(K129="",L129=""),"",IF(AND(L129&lt;0.05,OR(AND(J129="升高改善",K129&gt;0),AND(J129="降低改善",K129&lt;0))),"校正","不校正"))</f>
        <v/>
      </c>
      <c r="N129" s="181" t="inlineStr">
        <is>
          <t>Figure1，PDF15/246，自上而下第3面板，空心倒三角</t>
        </is>
      </c>
    </row>
    <row r="130" ht="45" customHeight="1" s="176">
      <c r="A130" s="201" t="inlineStr">
        <is>
          <t>K241</t>
        </is>
      </c>
      <c r="B130" s="201" t="inlineStr">
        <is>
          <t>035-二次</t>
        </is>
      </c>
      <c r="C130" s="201" t="inlineStr">
        <is>
          <t>James</t>
        </is>
      </c>
      <c r="D130" s="202" t="inlineStr">
        <is>
          <t>干预</t>
        </is>
      </c>
      <c r="E130" s="178" t="inlineStr">
        <is>
          <t>BL vs INT</t>
        </is>
      </c>
      <c r="F130" s="178" t="inlineStr">
        <is>
          <t>0, 0, 0, 0, 50, 25, 0, 0, 0, 0, 0</t>
        </is>
      </c>
      <c r="G130" s="201">
        <f>IF(F130="","",LEN(F130)-LEN(SUBSTITUTE(F130,",",""))+1)</f>
        <v/>
      </c>
      <c r="H130" s="178" t="inlineStr">
        <is>
          <t>50, 25, 0, 50, 25, 50, 25</t>
        </is>
      </c>
      <c r="I130" s="201">
        <f>IF(H130="","",LEN(H130)-LEN(SUBSTITUTE(H130,",",""))+1)</f>
        <v/>
      </c>
      <c r="J130" s="202" t="inlineStr">
        <is>
          <t>升高改善</t>
        </is>
      </c>
      <c r="K130" s="203" t="n">
        <v>-0.0928032337334619</v>
      </c>
      <c r="L130" s="203" t="n">
        <v>0.725495742341154</v>
      </c>
      <c r="M130" s="201">
        <f>IF(OR(K130="",L130=""),"",IF(AND(L130&lt;0.05,OR(AND(J130="升高改善",K130&gt;0),AND(J130="降低改善",K130&lt;0))),"校正","不校正"))</f>
        <v/>
      </c>
      <c r="N130" s="178" t="inlineStr">
        <is>
          <t>Figure1，PDF15/246，自上而下第4面板，实心圆</t>
        </is>
      </c>
    </row>
    <row r="131" ht="45" customHeight="1" s="176">
      <c r="A131" s="201" t="inlineStr">
        <is>
          <t>K242</t>
        </is>
      </c>
      <c r="B131" s="201" t="inlineStr">
        <is>
          <t>035-二次</t>
        </is>
      </c>
      <c r="C131" s="201" t="inlineStr">
        <is>
          <t>James</t>
        </is>
      </c>
      <c r="D131" s="202" t="inlineStr">
        <is>
          <t>泛化</t>
        </is>
      </c>
      <c r="E131" s="181" t="inlineStr">
        <is>
          <t>泛化 BL vs INT 期泛化探测（空心符号）</t>
        </is>
      </c>
      <c r="F131" s="178" t="inlineStr">
        <is>
          <t>0, 0, 0, 0, 0</t>
        </is>
      </c>
      <c r="G131" s="201">
        <f>IF(F131="","",LEN(F131)-LEN(SUBSTITUTE(F131,",",""))+1)</f>
        <v/>
      </c>
      <c r="H131" s="178" t="inlineStr">
        <is>
          <t>25, 25, 50</t>
        </is>
      </c>
      <c r="I131" s="201">
        <f>IF(H131="","",LEN(H131)-LEN(SUBSTITUTE(H131,",",""))+1)</f>
        <v/>
      </c>
      <c r="J131" s="202" t="inlineStr">
        <is>
          <t>升高改善</t>
        </is>
      </c>
      <c r="K131" s="203" t="n">
        <v>0</v>
      </c>
      <c r="L131" s="203" t="n">
        <v>1</v>
      </c>
      <c r="M131" s="201">
        <f>IF(OR(K131="",L131=""),"",IF(AND(L131&lt;0.05,OR(AND(J131="升高改善",K131&gt;0),AND(J131="降低改善",K131&lt;0))),"校正","不校正"))</f>
        <v/>
      </c>
      <c r="N131" s="181" t="inlineStr">
        <is>
          <t>Figure1，PDF15/246，自上而下第4面板，空心倒三角</t>
        </is>
      </c>
    </row>
    <row r="132" ht="45" customHeight="1" s="176">
      <c r="A132" s="201" t="inlineStr">
        <is>
          <t>K243</t>
        </is>
      </c>
      <c r="B132" s="201" t="inlineStr">
        <is>
          <t>035-二次</t>
        </is>
      </c>
      <c r="C132" s="201" t="inlineStr">
        <is>
          <t>Ryan</t>
        </is>
      </c>
      <c r="D132" s="202" t="inlineStr">
        <is>
          <t>干预</t>
        </is>
      </c>
      <c r="E132" s="178" t="inlineStr">
        <is>
          <t>BL vs INT</t>
        </is>
      </c>
      <c r="F132" s="178" t="inlineStr">
        <is>
          <t>40, 40, 40</t>
        </is>
      </c>
      <c r="G132" s="201">
        <f>IF(F132="","",LEN(F132)-LEN(SUBSTITUTE(F132,",",""))+1)</f>
        <v/>
      </c>
      <c r="H132" s="178" t="inlineStr">
        <is>
          <t>100, 100, 80, 80, 100, 100, 100</t>
        </is>
      </c>
      <c r="I132" s="201">
        <f>IF(H132="","",LEN(H132)-LEN(SUBSTITUTE(H132,",",""))+1)</f>
        <v/>
      </c>
      <c r="J132" s="202" t="inlineStr">
        <is>
          <t>升高改善</t>
        </is>
      </c>
      <c r="K132" s="203" t="n">
        <v>0</v>
      </c>
      <c r="L132" s="203" t="n">
        <v>1</v>
      </c>
      <c r="M132" s="201">
        <f>IF(OR(K132="",L132=""),"",IF(AND(L132&lt;0.05,OR(AND(J132="升高改善",K132&gt;0),AND(J132="降低改善",K132&lt;0))),"校正","不校正"))</f>
        <v/>
      </c>
      <c r="N132" s="178" t="inlineStr">
        <is>
          <t>Figure2，PDF16/247，自上而下第1面板，实心圆</t>
        </is>
      </c>
    </row>
    <row r="133" ht="45" customHeight="1" s="176">
      <c r="A133" s="201" t="inlineStr">
        <is>
          <t>K244</t>
        </is>
      </c>
      <c r="B133" s="201" t="inlineStr">
        <is>
          <t>035-二次</t>
        </is>
      </c>
      <c r="C133" s="201" t="inlineStr">
        <is>
          <t>Ryan</t>
        </is>
      </c>
      <c r="D133" s="202" t="inlineStr">
        <is>
          <t>维持</t>
        </is>
      </c>
      <c r="E133" s="178" t="inlineStr">
        <is>
          <t>BL vs MT（训练情境）</t>
        </is>
      </c>
      <c r="F133" s="178" t="inlineStr">
        <is>
          <t>40, 40, 40</t>
        </is>
      </c>
      <c r="G133" s="201">
        <f>IF(F133="","",LEN(F133)-LEN(SUBSTITUTE(F133,",",""))+1)</f>
        <v/>
      </c>
      <c r="H133" s="178" t="inlineStr">
        <is>
          <t>100, 60, 40, 60, 60, 60</t>
        </is>
      </c>
      <c r="I133" s="201">
        <f>IF(H133="","",LEN(H133)-LEN(SUBSTITUTE(H133,",",""))+1)</f>
        <v/>
      </c>
      <c r="J133" s="202" t="inlineStr">
        <is>
          <t>升高改善</t>
        </is>
      </c>
      <c r="K133" s="203" t="n">
        <v>0</v>
      </c>
      <c r="L133" s="203" t="n">
        <v>1</v>
      </c>
      <c r="M133" s="201">
        <f>IF(OR(K133="",L133=""),"",IF(AND(L133&lt;0.05,OR(AND(J133="升高改善",K133&gt;0),AND(J133="降低改善",K133&lt;0))),"校正","不校正"))</f>
        <v/>
      </c>
      <c r="N133" s="178" t="inlineStr">
        <is>
          <t>Figure2，PDF16/247，自上而下第1面板，实心圆</t>
        </is>
      </c>
    </row>
    <row r="134" ht="45" customHeight="1" s="176">
      <c r="A134" s="201" t="inlineStr">
        <is>
          <t>K245</t>
        </is>
      </c>
      <c r="B134" s="201" t="inlineStr">
        <is>
          <t>035-二次</t>
        </is>
      </c>
      <c r="C134" s="201" t="inlineStr">
        <is>
          <t>Ryan</t>
        </is>
      </c>
      <c r="D134" s="202" t="inlineStr">
        <is>
          <t>泛化</t>
        </is>
      </c>
      <c r="E134" s="181" t="inlineStr">
        <is>
          <t>泛化 BL vs INT 期泛化探测（空心符号）</t>
        </is>
      </c>
      <c r="F134" s="178" t="inlineStr">
        <is>
          <t>80, 40, 80</t>
        </is>
      </c>
      <c r="G134" s="201">
        <f>IF(F134="","",LEN(F134)-LEN(SUBSTITUTE(F134,",",""))+1)</f>
        <v/>
      </c>
      <c r="H134" s="178" t="inlineStr">
        <is>
          <t>100, 100, 100</t>
        </is>
      </c>
      <c r="I134" s="201">
        <f>IF(H134="","",LEN(H134)-LEN(SUBSTITUTE(H134,",",""))+1)</f>
        <v/>
      </c>
      <c r="J134" s="202" t="inlineStr">
        <is>
          <t>升高改善</t>
        </is>
      </c>
      <c r="K134" s="203" t="n">
        <v>0</v>
      </c>
      <c r="L134" s="203" t="n">
        <v>1</v>
      </c>
      <c r="M134" s="201">
        <f>IF(OR(K134="",L134=""),"",IF(AND(L134&lt;0.05,OR(AND(J134="升高改善",K134&gt;0),AND(J134="降低改善",K134&lt;0))),"校正","不校正"))</f>
        <v/>
      </c>
      <c r="N134" s="181" t="inlineStr">
        <is>
          <t>Figure2，PDF16/247，自上而下第1面板，空心倒三角</t>
        </is>
      </c>
    </row>
    <row r="135" ht="45" customHeight="1" s="176">
      <c r="A135" s="201" t="inlineStr">
        <is>
          <t>K246</t>
        </is>
      </c>
      <c r="B135" s="201" t="inlineStr">
        <is>
          <t>035-二次</t>
        </is>
      </c>
      <c r="C135" s="201" t="inlineStr">
        <is>
          <t>Ryan</t>
        </is>
      </c>
      <c r="D135" s="202" t="inlineStr">
        <is>
          <t>干预</t>
        </is>
      </c>
      <c r="E135" s="178" t="inlineStr">
        <is>
          <t>BL vs INT</t>
        </is>
      </c>
      <c r="F135" s="178" t="inlineStr">
        <is>
          <t>0, 20, 20, 0, 20, 0, 0</t>
        </is>
      </c>
      <c r="G135" s="201">
        <f>IF(F135="","",LEN(F135)-LEN(SUBSTITUTE(F135,",",""))+1)</f>
        <v/>
      </c>
      <c r="H135" s="178" t="inlineStr">
        <is>
          <t>20, 20, 100, 100, 100</t>
        </is>
      </c>
      <c r="I135" s="201">
        <f>IF(H135="","",LEN(H135)-LEN(SUBSTITUTE(H135,",",""))+1)</f>
        <v/>
      </c>
      <c r="J135" s="202" t="inlineStr">
        <is>
          <t>升高改善</t>
        </is>
      </c>
      <c r="K135" s="203" t="n">
        <v>-0.251976315339485</v>
      </c>
      <c r="L135" s="203" t="n">
        <v>0.479500122186953</v>
      </c>
      <c r="M135" s="201">
        <f>IF(OR(K135="",L135=""),"",IF(AND(L135&lt;0.05,OR(AND(J135="升高改善",K135&gt;0),AND(J135="降低改善",K135&lt;0))),"校正","不校正"))</f>
        <v/>
      </c>
      <c r="N135" s="178" t="inlineStr">
        <is>
          <t>Figure2，PDF16/247，自上而下第2面板，实心圆</t>
        </is>
      </c>
    </row>
    <row r="136" ht="45" customHeight="1" s="176">
      <c r="A136" s="201" t="inlineStr">
        <is>
          <t>K247</t>
        </is>
      </c>
      <c r="B136" s="201" t="inlineStr">
        <is>
          <t>035-二次</t>
        </is>
      </c>
      <c r="C136" s="201" t="inlineStr">
        <is>
          <t>Ryan</t>
        </is>
      </c>
      <c r="D136" s="202" t="inlineStr">
        <is>
          <t>维持</t>
        </is>
      </c>
      <c r="E136" s="178" t="inlineStr">
        <is>
          <t>BL vs MT（训练情境）</t>
        </is>
      </c>
      <c r="F136" s="178" t="inlineStr">
        <is>
          <t>0, 20, 20, 0, 20, 0, 0</t>
        </is>
      </c>
      <c r="G136" s="201">
        <f>IF(F136="","",LEN(F136)-LEN(SUBSTITUTE(F136,",",""))+1)</f>
        <v/>
      </c>
      <c r="H136" s="178" t="inlineStr">
        <is>
          <t>100, 100, 100, 100</t>
        </is>
      </c>
      <c r="I136" s="201">
        <f>IF(H136="","",LEN(H136)-LEN(SUBSTITUTE(H136,",",""))+1)</f>
        <v/>
      </c>
      <c r="J136" s="202" t="inlineStr">
        <is>
          <t>升高改善</t>
        </is>
      </c>
      <c r="K136" s="203" t="n">
        <v>-0.251976315339485</v>
      </c>
      <c r="L136" s="203" t="n">
        <v>0.479500122186953</v>
      </c>
      <c r="M136" s="201">
        <f>IF(OR(K136="",L136=""),"",IF(AND(L136&lt;0.05,OR(AND(J136="升高改善",K136&gt;0),AND(J136="降低改善",K136&lt;0))),"校正","不校正"))</f>
        <v/>
      </c>
      <c r="N136" s="178" t="inlineStr">
        <is>
          <t>Figure2，PDF16/247，自上而下第2面板，实心圆</t>
        </is>
      </c>
    </row>
    <row r="137" ht="45" customHeight="1" s="176">
      <c r="A137" s="201" t="inlineStr">
        <is>
          <t>K248</t>
        </is>
      </c>
      <c r="B137" s="201" t="inlineStr">
        <is>
          <t>035-二次</t>
        </is>
      </c>
      <c r="C137" s="201" t="inlineStr">
        <is>
          <t>Ryan</t>
        </is>
      </c>
      <c r="D137" s="202" t="inlineStr">
        <is>
          <t>泛化</t>
        </is>
      </c>
      <c r="E137" s="181" t="inlineStr">
        <is>
          <t>泛化 BL vs INT 期泛化探测（空心符号）</t>
        </is>
      </c>
      <c r="F137" s="178" t="inlineStr">
        <is>
          <t>60, 60, 40, 20, 0</t>
        </is>
      </c>
      <c r="G137" s="201">
        <f>IF(F137="","",LEN(F137)-LEN(SUBSTITUTE(F137,",",""))+1)</f>
        <v/>
      </c>
      <c r="H137" s="178" t="inlineStr">
        <is>
          <t>100, 100, 100</t>
        </is>
      </c>
      <c r="I137" s="201">
        <f>IF(H137="","",LEN(H137)-LEN(SUBSTITUTE(H137,",",""))+1)</f>
        <v/>
      </c>
      <c r="J137" s="202" t="inlineStr">
        <is>
          <t>升高改善</t>
        </is>
      </c>
      <c r="K137" s="203" t="n">
        <v>-0.948683298050514</v>
      </c>
      <c r="L137" s="203" t="n">
        <v>0.0229774015032061</v>
      </c>
      <c r="M137" s="201">
        <f>IF(OR(K137="",L137=""),"",IF(AND(L137&lt;0.05,OR(AND(J137="升高改善",K137&gt;0),AND(J137="降低改善",K137&lt;0))),"校正","不校正"))</f>
        <v/>
      </c>
      <c r="N137" s="181" t="inlineStr">
        <is>
          <t>Figure2，PDF16/247，自上而下第2面板，空心倒三角</t>
        </is>
      </c>
    </row>
    <row r="138" ht="45" customHeight="1" s="176">
      <c r="A138" s="201" t="inlineStr">
        <is>
          <t>K249</t>
        </is>
      </c>
      <c r="B138" s="201" t="inlineStr">
        <is>
          <t>035-二次</t>
        </is>
      </c>
      <c r="C138" s="201" t="inlineStr">
        <is>
          <t>Ryan</t>
        </is>
      </c>
      <c r="D138" s="202" t="inlineStr">
        <is>
          <t>干预</t>
        </is>
      </c>
      <c r="E138" s="178" t="inlineStr">
        <is>
          <t>BL vs INT</t>
        </is>
      </c>
      <c r="F138" s="178" t="inlineStr">
        <is>
          <t>0, 0, 60, 0, 0, 33, 50, 50, 50</t>
        </is>
      </c>
      <c r="G138" s="201">
        <f>IF(F138="","",LEN(F138)-LEN(SUBSTITUTE(F138,",",""))+1)</f>
        <v/>
      </c>
      <c r="H138" s="178" t="inlineStr">
        <is>
          <t>83, 83, 100, 100, 100</t>
        </is>
      </c>
      <c r="I138" s="201">
        <f>IF(H138="","",LEN(H138)-LEN(SUBSTITUTE(H138,",",""))+1)</f>
        <v/>
      </c>
      <c r="J138" s="202" t="inlineStr">
        <is>
          <t>升高改善</t>
        </is>
      </c>
      <c r="K138" s="203" t="n">
        <v>0.481125224324688</v>
      </c>
      <c r="L138" s="203" t="n">
        <v>0.09284922807157971</v>
      </c>
      <c r="M138" s="201">
        <f>IF(OR(K138="",L138=""),"",IF(AND(L138&lt;0.05,OR(AND(J138="升高改善",K138&gt;0),AND(J138="降低改善",K138&lt;0))),"校正","不校正"))</f>
        <v/>
      </c>
      <c r="N138" s="178" t="inlineStr">
        <is>
          <t>Figure2，PDF16/247，自上而下第3面板，实心圆</t>
        </is>
      </c>
    </row>
    <row r="139" ht="45" customHeight="1" s="176">
      <c r="A139" s="201" t="inlineStr">
        <is>
          <t>K250</t>
        </is>
      </c>
      <c r="B139" s="201" t="inlineStr">
        <is>
          <t>035-二次</t>
        </is>
      </c>
      <c r="C139" s="201" t="inlineStr">
        <is>
          <t>Ryan</t>
        </is>
      </c>
      <c r="D139" s="202" t="inlineStr">
        <is>
          <t>维持</t>
        </is>
      </c>
      <c r="E139" s="178" t="inlineStr">
        <is>
          <t>BL vs MT（训练情境）</t>
        </is>
      </c>
      <c r="F139" s="178" t="inlineStr">
        <is>
          <t>0, 0, 60, 0, 0, 33, 50, 50, 50</t>
        </is>
      </c>
      <c r="G139" s="201">
        <f>IF(F139="","",LEN(F139)-LEN(SUBSTITUTE(F139,",",""))+1)</f>
        <v/>
      </c>
      <c r="H139" s="178" t="inlineStr">
        <is>
          <t>83, 66, 83</t>
        </is>
      </c>
      <c r="I139" s="201">
        <f>IF(H139="","",LEN(H139)-LEN(SUBSTITUTE(H139,",",""))+1)</f>
        <v/>
      </c>
      <c r="J139" s="202" t="inlineStr">
        <is>
          <t>升高改善</t>
        </is>
      </c>
      <c r="K139" s="203" t="n">
        <v>0.481125224324688</v>
      </c>
      <c r="L139" s="203" t="n">
        <v>0.09284922807157971</v>
      </c>
      <c r="M139" s="201">
        <f>IF(OR(K139="",L139=""),"",IF(AND(L139&lt;0.05,OR(AND(J139="升高改善",K139&gt;0),AND(J139="降低改善",K139&lt;0))),"校正","不校正"))</f>
        <v/>
      </c>
      <c r="N139" s="178" t="inlineStr">
        <is>
          <t>Figure2，PDF16/247，自上而下第3面板，实心圆</t>
        </is>
      </c>
    </row>
    <row r="140" ht="45" customHeight="1" s="176">
      <c r="A140" s="201" t="inlineStr">
        <is>
          <t>K251</t>
        </is>
      </c>
      <c r="B140" s="201" t="inlineStr">
        <is>
          <t>035-二次</t>
        </is>
      </c>
      <c r="C140" s="201" t="inlineStr">
        <is>
          <t>Ryan</t>
        </is>
      </c>
      <c r="D140" s="202" t="inlineStr">
        <is>
          <t>泛化</t>
        </is>
      </c>
      <c r="E140" s="181" t="inlineStr">
        <is>
          <t>泛化 BL vs INT 期泛化探测（空心符号）</t>
        </is>
      </c>
      <c r="F140" s="178" t="inlineStr">
        <is>
          <t>0, 50, 33, 33, 50, 50</t>
        </is>
      </c>
      <c r="G140" s="201">
        <f>IF(F140="","",LEN(F140)-LEN(SUBSTITUTE(F140,",",""))+1)</f>
        <v/>
      </c>
      <c r="H140" s="178" t="inlineStr">
        <is>
          <t>100, 66, 100, 100</t>
        </is>
      </c>
      <c r="I140" s="201">
        <f>IF(H140="","",LEN(H140)-LEN(SUBSTITUTE(H140,",",""))+1)</f>
        <v/>
      </c>
      <c r="J140" s="202" t="inlineStr">
        <is>
          <t>升高改善</t>
        </is>
      </c>
      <c r="K140" s="203" t="n">
        <v>0.5449492609130659</v>
      </c>
      <c r="L140" s="203" t="n">
        <v>0.15017990865766</v>
      </c>
      <c r="M140" s="201">
        <f>IF(OR(K140="",L140=""),"",IF(AND(L140&lt;0.05,OR(AND(J140="升高改善",K140&gt;0),AND(J140="降低改善",K140&lt;0))),"校正","不校正"))</f>
        <v/>
      </c>
      <c r="N140" s="181" t="inlineStr">
        <is>
          <t>Figure2，PDF16/247，自上而下第3面板，空心倒三角</t>
        </is>
      </c>
    </row>
    <row r="141" ht="45" customHeight="1" s="176">
      <c r="A141" s="201" t="inlineStr">
        <is>
          <t>K252</t>
        </is>
      </c>
      <c r="B141" s="201" t="inlineStr">
        <is>
          <t>035-二次</t>
        </is>
      </c>
      <c r="C141" s="201" t="inlineStr">
        <is>
          <t>Ryan</t>
        </is>
      </c>
      <c r="D141" s="202" t="inlineStr">
        <is>
          <t>干预</t>
        </is>
      </c>
      <c r="E141" s="178" t="inlineStr">
        <is>
          <t>BL vs INT</t>
        </is>
      </c>
      <c r="F141" s="178" t="inlineStr">
        <is>
          <t>0, 0, 0, 0, 50, 100, 75, 50, 25, 25, 25</t>
        </is>
      </c>
      <c r="G141" s="201">
        <f>IF(F141="","",LEN(F141)-LEN(SUBSTITUTE(F141,",",""))+1)</f>
        <v/>
      </c>
      <c r="H141" s="178" t="inlineStr">
        <is>
          <t>75, 100, 100, 100</t>
        </is>
      </c>
      <c r="I141" s="201">
        <f>IF(H141="","",LEN(H141)-LEN(SUBSTITUTE(H141,",",""))+1)</f>
        <v/>
      </c>
      <c r="J141" s="202" t="inlineStr">
        <is>
          <t>升高改善</t>
        </is>
      </c>
      <c r="K141" s="203" t="n">
        <v>0.301511344577764</v>
      </c>
      <c r="L141" s="203" t="n">
        <v>0.223225145306756</v>
      </c>
      <c r="M141" s="201">
        <f>IF(OR(K141="",L141=""),"",IF(AND(L141&lt;0.05,OR(AND(J141="升高改善",K141&gt;0),AND(J141="降低改善",K141&lt;0))),"校正","不校正"))</f>
        <v/>
      </c>
      <c r="N141" s="178" t="inlineStr">
        <is>
          <t>Figure2，PDF16/247，自上而下第4面板，实心圆</t>
        </is>
      </c>
    </row>
    <row r="142" ht="45" customHeight="1" s="176">
      <c r="A142" s="201" t="inlineStr">
        <is>
          <t>K253</t>
        </is>
      </c>
      <c r="B142" s="201" t="inlineStr">
        <is>
          <t>035-二次</t>
        </is>
      </c>
      <c r="C142" s="201" t="inlineStr">
        <is>
          <t>Ryan</t>
        </is>
      </c>
      <c r="D142" s="202" t="inlineStr">
        <is>
          <t>泛化</t>
        </is>
      </c>
      <c r="E142" s="181" t="inlineStr">
        <is>
          <t>泛化 BL vs INT 期泛化探测（空心符号）</t>
        </is>
      </c>
      <c r="F142" s="178" t="inlineStr">
        <is>
          <t>50, 25, 25, 0, 75, 25, 50</t>
        </is>
      </c>
      <c r="G142" s="201">
        <f>IF(F142="","",LEN(F142)-LEN(SUBSTITUTE(F142,",",""))+1)</f>
        <v/>
      </c>
      <c r="H142" s="178" t="inlineStr">
        <is>
          <t>75, 100, 100, 100</t>
        </is>
      </c>
      <c r="I142" s="201">
        <f>IF(H142="","",LEN(H142)-LEN(SUBSTITUTE(H142,",",""))+1)</f>
        <v/>
      </c>
      <c r="J142" s="202" t="inlineStr">
        <is>
          <t>升高改善</t>
        </is>
      </c>
      <c r="K142" s="203" t="n">
        <v>0.0529256124024963</v>
      </c>
      <c r="L142" s="203" t="n">
        <v>0.873844698517373</v>
      </c>
      <c r="M142" s="201">
        <f>IF(OR(K142="",L142=""),"",IF(AND(L142&lt;0.05,OR(AND(J142="升高改善",K142&gt;0),AND(J142="降低改善",K142&lt;0))),"校正","不校正"))</f>
        <v/>
      </c>
      <c r="N142" s="181" t="inlineStr">
        <is>
          <t>Figure2，PDF16/247，自上而下第4面板，空心倒三角</t>
        </is>
      </c>
    </row>
    <row r="143" ht="45" customHeight="1" s="176">
      <c r="A143" s="201" t="inlineStr">
        <is>
          <t>K254</t>
        </is>
      </c>
      <c r="B143" s="201" t="inlineStr">
        <is>
          <t>035-二次</t>
        </is>
      </c>
      <c r="C143" s="201" t="inlineStr">
        <is>
          <t>Andrew</t>
        </is>
      </c>
      <c r="D143" s="202" t="inlineStr">
        <is>
          <t>干预</t>
        </is>
      </c>
      <c r="E143" s="178" t="inlineStr">
        <is>
          <t>BL vs INT</t>
        </is>
      </c>
      <c r="F143" s="178" t="inlineStr">
        <is>
          <t>40, 0, 0, 40, 40, 20</t>
        </is>
      </c>
      <c r="G143" s="201">
        <f>IF(F143="","",LEN(F143)-LEN(SUBSTITUTE(F143,",",""))+1)</f>
        <v/>
      </c>
      <c r="H143" s="178" t="inlineStr">
        <is>
          <t>100, 80, 100, 100, 100</t>
        </is>
      </c>
      <c r="I143" s="201">
        <f>IF(H143="","",LEN(H143)-LEN(SUBSTITUTE(H143,",",""))+1)</f>
        <v/>
      </c>
      <c r="J143" s="202" t="inlineStr">
        <is>
          <t>升高改善</t>
        </is>
      </c>
      <c r="K143" s="203" t="n">
        <v>0.0778498944161523</v>
      </c>
      <c r="L143" s="203" t="n">
        <v>0.837137271541353</v>
      </c>
      <c r="M143" s="201">
        <f>IF(OR(K143="",L143=""),"",IF(AND(L143&lt;0.05,OR(AND(J143="升高改善",K143&gt;0),AND(J143="降低改善",K143&lt;0))),"校正","不校正"))</f>
        <v/>
      </c>
      <c r="N143" s="178" t="inlineStr">
        <is>
          <t>Figure3，PDF19/250，自上而下第1面板，实心圆</t>
        </is>
      </c>
    </row>
    <row r="144" ht="45" customHeight="1" s="176">
      <c r="A144" s="201" t="inlineStr">
        <is>
          <t>K255</t>
        </is>
      </c>
      <c r="B144" s="201" t="inlineStr">
        <is>
          <t>035-二次</t>
        </is>
      </c>
      <c r="C144" s="201" t="inlineStr">
        <is>
          <t>Andrew</t>
        </is>
      </c>
      <c r="D144" s="202" t="inlineStr">
        <is>
          <t>维持</t>
        </is>
      </c>
      <c r="E144" s="178" t="inlineStr">
        <is>
          <t>BL vs MT（训练情境）</t>
        </is>
      </c>
      <c r="F144" s="178" t="inlineStr">
        <is>
          <t>40, 0, 0, 40, 40, 20</t>
        </is>
      </c>
      <c r="G144" s="201">
        <f>IF(F144="","",LEN(F144)-LEN(SUBSTITUTE(F144,",",""))+1)</f>
        <v/>
      </c>
      <c r="H144" s="178" t="inlineStr">
        <is>
          <t>80, 80, 100, 100, 80</t>
        </is>
      </c>
      <c r="I144" s="201">
        <f>IF(H144="","",LEN(H144)-LEN(SUBSTITUTE(H144,",",""))+1)</f>
        <v/>
      </c>
      <c r="J144" s="202" t="inlineStr">
        <is>
          <t>升高改善</t>
        </is>
      </c>
      <c r="K144" s="203" t="n">
        <v>0.0778498944161523</v>
      </c>
      <c r="L144" s="203" t="n">
        <v>0.837137271541353</v>
      </c>
      <c r="M144" s="201">
        <f>IF(OR(K144="",L144=""),"",IF(AND(L144&lt;0.05,OR(AND(J144="升高改善",K144&gt;0),AND(J144="降低改善",K144&lt;0))),"校正","不校正"))</f>
        <v/>
      </c>
      <c r="N144" s="178" t="inlineStr">
        <is>
          <t>Figure3，PDF19/250，自上而下第1面板，实心圆</t>
        </is>
      </c>
    </row>
    <row r="145" ht="45" customHeight="1" s="176">
      <c r="A145" s="201" t="inlineStr">
        <is>
          <t>K256</t>
        </is>
      </c>
      <c r="B145" s="201" t="inlineStr">
        <is>
          <t>035-二次</t>
        </is>
      </c>
      <c r="C145" s="201" t="inlineStr">
        <is>
          <t>Andrew</t>
        </is>
      </c>
      <c r="D145" s="202" t="inlineStr">
        <is>
          <t>泛化</t>
        </is>
      </c>
      <c r="E145" s="181" t="inlineStr">
        <is>
          <t>泛化 BL vs INT 期泛化探测（空心符号）</t>
        </is>
      </c>
      <c r="F145" s="178" t="inlineStr">
        <is>
          <t>60, 40, 40</t>
        </is>
      </c>
      <c r="G145" s="201">
        <f>IF(F145="","",LEN(F145)-LEN(SUBSTITUTE(F145,",",""))+1)</f>
        <v/>
      </c>
      <c r="H145" s="178" t="inlineStr">
        <is>
          <t>100, 80, 100</t>
        </is>
      </c>
      <c r="I145" s="201">
        <f>IF(H145="","",LEN(H145)-LEN(SUBSTITUTE(H145,",",""))+1)</f>
        <v/>
      </c>
      <c r="J145" s="202" t="inlineStr">
        <is>
          <t>升高改善</t>
        </is>
      </c>
      <c r="K145" s="203" t="n">
        <v>-0.816496580927726</v>
      </c>
      <c r="L145" s="203" t="n">
        <v>0.220671361919847</v>
      </c>
      <c r="M145" s="201">
        <f>IF(OR(K145="",L145=""),"",IF(AND(L145&lt;0.05,OR(AND(J145="升高改善",K145&gt;0),AND(J145="降低改善",K145&lt;0))),"校正","不校正"))</f>
        <v/>
      </c>
      <c r="N145" s="181" t="inlineStr">
        <is>
          <t>Figure3，PDF19/250，自上而下第1面板，空心倒三角</t>
        </is>
      </c>
    </row>
    <row r="146" ht="45" customHeight="1" s="176">
      <c r="A146" s="201" t="inlineStr">
        <is>
          <t>K257</t>
        </is>
      </c>
      <c r="B146" s="201" t="inlineStr">
        <is>
          <t>035-二次</t>
        </is>
      </c>
      <c r="C146" s="201" t="inlineStr">
        <is>
          <t>Andrew</t>
        </is>
      </c>
      <c r="D146" s="202" t="inlineStr">
        <is>
          <t>干预</t>
        </is>
      </c>
      <c r="E146" s="178" t="inlineStr">
        <is>
          <t>BL vs INT</t>
        </is>
      </c>
      <c r="F146" s="178" t="inlineStr">
        <is>
          <t>20, 20, 0, 20, 0, 0</t>
        </is>
      </c>
      <c r="G146" s="201">
        <f>IF(F146="","",LEN(F146)-LEN(SUBSTITUTE(F146,",",""))+1)</f>
        <v/>
      </c>
      <c r="H146" s="178" t="inlineStr">
        <is>
          <t>100, 20, 100, 100, 100</t>
        </is>
      </c>
      <c r="I146" s="201">
        <f>IF(H146="","",LEN(H146)-LEN(SUBSTITUTE(H146,",",""))+1)</f>
        <v/>
      </c>
      <c r="J146" s="202" t="inlineStr">
        <is>
          <t>升高改善</t>
        </is>
      </c>
      <c r="K146" s="203" t="n">
        <v>-0.602464076076709</v>
      </c>
      <c r="L146" s="203" t="n">
        <v>0.126630457947617</v>
      </c>
      <c r="M146" s="201">
        <f>IF(OR(K146="",L146=""),"",IF(AND(L146&lt;0.05,OR(AND(J146="升高改善",K146&gt;0),AND(J146="降低改善",K146&lt;0))),"校正","不校正"))</f>
        <v/>
      </c>
      <c r="N146" s="178" t="inlineStr">
        <is>
          <t>Figure3，PDF19/250，自上而下第2面板，实心圆</t>
        </is>
      </c>
    </row>
    <row r="147" ht="45" customHeight="1" s="176">
      <c r="A147" s="201" t="inlineStr">
        <is>
          <t>K258</t>
        </is>
      </c>
      <c r="B147" s="201" t="inlineStr">
        <is>
          <t>035-二次</t>
        </is>
      </c>
      <c r="C147" s="201" t="inlineStr">
        <is>
          <t>Andrew</t>
        </is>
      </c>
      <c r="D147" s="202" t="inlineStr">
        <is>
          <t>维持</t>
        </is>
      </c>
      <c r="E147" s="178" t="inlineStr">
        <is>
          <t>BL vs MT（训练情境）</t>
        </is>
      </c>
      <c r="F147" s="178" t="inlineStr">
        <is>
          <t>20, 20, 0, 20, 0, 0</t>
        </is>
      </c>
      <c r="G147" s="201">
        <f>IF(F147="","",LEN(F147)-LEN(SUBSTITUTE(F147,",",""))+1)</f>
        <v/>
      </c>
      <c r="H147" s="178" t="inlineStr">
        <is>
          <t>20, 100, 100</t>
        </is>
      </c>
      <c r="I147" s="201">
        <f>IF(H147="","",LEN(H147)-LEN(SUBSTITUTE(H147,",",""))+1)</f>
        <v/>
      </c>
      <c r="J147" s="202" t="inlineStr">
        <is>
          <t>升高改善</t>
        </is>
      </c>
      <c r="K147" s="203" t="n">
        <v>-0.602464076076709</v>
      </c>
      <c r="L147" s="203" t="n">
        <v>0.126630457947617</v>
      </c>
      <c r="M147" s="201">
        <f>IF(OR(K147="",L147=""),"",IF(AND(L147&lt;0.05,OR(AND(J147="升高改善",K147&gt;0),AND(J147="降低改善",K147&lt;0))),"校正","不校正"))</f>
        <v/>
      </c>
      <c r="N147" s="178" t="inlineStr">
        <is>
          <t>Figure3，PDF19/250，自上而下第2面板，实心圆</t>
        </is>
      </c>
    </row>
    <row r="148" ht="45" customHeight="1" s="176">
      <c r="A148" s="201" t="inlineStr">
        <is>
          <t>K259</t>
        </is>
      </c>
      <c r="B148" s="201" t="inlineStr">
        <is>
          <t>035-二次</t>
        </is>
      </c>
      <c r="C148" s="201" t="inlineStr">
        <is>
          <t>Andrew</t>
        </is>
      </c>
      <c r="D148" s="202" t="inlineStr">
        <is>
          <t>泛化</t>
        </is>
      </c>
      <c r="E148" s="181" t="inlineStr">
        <is>
          <t>泛化 BL vs INT 期泛化探测（空心符号）</t>
        </is>
      </c>
      <c r="F148" s="178" t="inlineStr">
        <is>
          <t>0, 0, 60, 20, 0</t>
        </is>
      </c>
      <c r="G148" s="201">
        <f>IF(F148="","",LEN(F148)-LEN(SUBSTITUTE(F148,",",""))+1)</f>
        <v/>
      </c>
      <c r="H148" s="178" t="inlineStr">
        <is>
          <t>100, 100, 100</t>
        </is>
      </c>
      <c r="I148" s="201">
        <f>IF(H148="","",LEN(H148)-LEN(SUBSTITUTE(H148,",",""))+1)</f>
        <v/>
      </c>
      <c r="J148" s="202" t="inlineStr">
        <is>
          <t>升高改善</t>
        </is>
      </c>
      <c r="K148" s="203" t="n">
        <v>0.119522860933439</v>
      </c>
      <c r="L148" s="203" t="n">
        <v>0.781511294998713</v>
      </c>
      <c r="M148" s="201">
        <f>IF(OR(K148="",L148=""),"",IF(AND(L148&lt;0.05,OR(AND(J148="升高改善",K148&gt;0),AND(J148="降低改善",K148&lt;0))),"校正","不校正"))</f>
        <v/>
      </c>
      <c r="N148" s="181" t="inlineStr">
        <is>
          <t>Figure3，PDF19/250，自上而下第2面板，空心倒三角</t>
        </is>
      </c>
    </row>
    <row r="149" ht="45" customHeight="1" s="176">
      <c r="A149" s="201" t="inlineStr">
        <is>
          <t>K260</t>
        </is>
      </c>
      <c r="B149" s="201" t="inlineStr">
        <is>
          <t>035-二次</t>
        </is>
      </c>
      <c r="C149" s="201" t="inlineStr">
        <is>
          <t>Andrew</t>
        </is>
      </c>
      <c r="D149" s="202" t="inlineStr">
        <is>
          <t>干预</t>
        </is>
      </c>
      <c r="E149" s="178" t="inlineStr">
        <is>
          <t>BL vs INT</t>
        </is>
      </c>
      <c r="F149" s="178" t="inlineStr">
        <is>
          <t>0, 0, 0, 0, 0, 50, 0, 0</t>
        </is>
      </c>
      <c r="G149" s="201">
        <f>IF(F149="","",LEN(F149)-LEN(SUBSTITUTE(F149,",",""))+1)</f>
        <v/>
      </c>
      <c r="H149" s="178" t="inlineStr">
        <is>
          <t>50, 50, 100, 100, 100</t>
        </is>
      </c>
      <c r="I149" s="201">
        <f>IF(H149="","",LEN(H149)-LEN(SUBSTITUTE(H149,",",""))+1)</f>
        <v/>
      </c>
      <c r="J149" s="202" t="inlineStr">
        <is>
          <t>升高改善</t>
        </is>
      </c>
      <c r="K149" s="203" t="n">
        <v>0.214285714285714</v>
      </c>
      <c r="L149" s="203" t="n">
        <v>0.512690760261924</v>
      </c>
      <c r="M149" s="201">
        <f>IF(OR(K149="",L149=""),"",IF(AND(L149&lt;0.05,OR(AND(J149="升高改善",K149&gt;0),AND(J149="降低改善",K149&lt;0))),"校正","不校正"))</f>
        <v/>
      </c>
      <c r="N149" s="178" t="inlineStr">
        <is>
          <t>Figure3，PDF19/250，自上而下第3面板，实心圆</t>
        </is>
      </c>
    </row>
    <row r="150" ht="45" customHeight="1" s="176">
      <c r="A150" s="201" t="inlineStr">
        <is>
          <t>K261</t>
        </is>
      </c>
      <c r="B150" s="201" t="inlineStr">
        <is>
          <t>035-二次</t>
        </is>
      </c>
      <c r="C150" s="201" t="inlineStr">
        <is>
          <t>Andrew</t>
        </is>
      </c>
      <c r="D150" s="202" t="inlineStr">
        <is>
          <t>维持</t>
        </is>
      </c>
      <c r="E150" s="178" t="inlineStr">
        <is>
          <t>BL vs MT（训练情境）</t>
        </is>
      </c>
      <c r="F150" s="178" t="inlineStr">
        <is>
          <t>0, 0, 0, 0, 0, 50, 0, 0</t>
        </is>
      </c>
      <c r="G150" s="201">
        <f>IF(F150="","",LEN(F150)-LEN(SUBSTITUTE(F150,",",""))+1)</f>
        <v/>
      </c>
      <c r="H150" s="178" t="inlineStr">
        <is>
          <t>100, 83, 83</t>
        </is>
      </c>
      <c r="I150" s="201">
        <f>IF(H150="","",LEN(H150)-LEN(SUBSTITUTE(H150,",",""))+1)</f>
        <v/>
      </c>
      <c r="J150" s="202" t="inlineStr">
        <is>
          <t>升高改善</t>
        </is>
      </c>
      <c r="K150" s="203" t="n">
        <v>0.214285714285714</v>
      </c>
      <c r="L150" s="203" t="n">
        <v>0.512690760261924</v>
      </c>
      <c r="M150" s="201">
        <f>IF(OR(K150="",L150=""),"",IF(AND(L150&lt;0.05,OR(AND(J150="升高改善",K150&gt;0),AND(J150="降低改善",K150&lt;0))),"校正","不校正"))</f>
        <v/>
      </c>
      <c r="N150" s="178" t="inlineStr">
        <is>
          <t>Figure3，PDF19/250，自上而下第3面板，实心圆</t>
        </is>
      </c>
    </row>
    <row r="151" ht="45" customHeight="1" s="176">
      <c r="A151" s="201" t="inlineStr">
        <is>
          <t>K262</t>
        </is>
      </c>
      <c r="B151" s="201" t="inlineStr">
        <is>
          <t>035-二次</t>
        </is>
      </c>
      <c r="C151" s="201" t="inlineStr">
        <is>
          <t>Andrew</t>
        </is>
      </c>
      <c r="D151" s="202" t="inlineStr">
        <is>
          <t>泛化</t>
        </is>
      </c>
      <c r="E151" s="181" t="inlineStr">
        <is>
          <t>泛化 BL vs INT 期泛化探测（空心符号）</t>
        </is>
      </c>
      <c r="F151" s="178" t="inlineStr">
        <is>
          <t>0, 0, 0, 0, 0, 0</t>
        </is>
      </c>
      <c r="G151" s="201">
        <f>IF(F151="","",LEN(F151)-LEN(SUBSTITUTE(F151,",",""))+1)</f>
        <v/>
      </c>
      <c r="H151" s="178" t="inlineStr">
        <is>
          <t>100, 100, 100</t>
        </is>
      </c>
      <c r="I151" s="201">
        <f>IF(H151="","",LEN(H151)-LEN(SUBSTITUTE(H151,",",""))+1)</f>
        <v/>
      </c>
      <c r="J151" s="202" t="inlineStr">
        <is>
          <t>升高改善</t>
        </is>
      </c>
      <c r="K151" s="203" t="n">
        <v>0</v>
      </c>
      <c r="L151" s="203" t="n">
        <v>1</v>
      </c>
      <c r="M151" s="201">
        <f>IF(OR(K151="",L151=""),"",IF(AND(L151&lt;0.05,OR(AND(J151="升高改善",K151&gt;0),AND(J151="降低改善",K151&lt;0))),"校正","不校正"))</f>
        <v/>
      </c>
      <c r="N151" s="181" t="inlineStr">
        <is>
          <t>Figure3，PDF19/250，自上而下第3面板，空心倒三角</t>
        </is>
      </c>
    </row>
    <row r="152" ht="45" customHeight="1" s="176">
      <c r="A152" s="201" t="inlineStr">
        <is>
          <t>K263</t>
        </is>
      </c>
      <c r="B152" s="201" t="inlineStr">
        <is>
          <t>035-二次</t>
        </is>
      </c>
      <c r="C152" s="201" t="inlineStr">
        <is>
          <t>Andrew</t>
        </is>
      </c>
      <c r="D152" s="202" t="inlineStr">
        <is>
          <t>干预</t>
        </is>
      </c>
      <c r="E152" s="178" t="inlineStr">
        <is>
          <t>BL vs INT</t>
        </is>
      </c>
      <c r="F152" s="178" t="inlineStr">
        <is>
          <t>0, 0, 0, 50, 25, 25, 25, 25, 25</t>
        </is>
      </c>
      <c r="G152" s="201">
        <f>IF(F152="","",LEN(F152)-LEN(SUBSTITUTE(F152,",",""))+1)</f>
        <v/>
      </c>
      <c r="H152" s="178" t="inlineStr">
        <is>
          <t>100, 75, 100, 100, 100</t>
        </is>
      </c>
      <c r="I152" s="201">
        <f>IF(H152="","",LEN(H152)-LEN(SUBSTITUTE(H152,",",""))+1)</f>
        <v/>
      </c>
      <c r="J152" s="202" t="inlineStr">
        <is>
          <t>升高改善</t>
        </is>
      </c>
      <c r="K152" s="203" t="n">
        <v>0.451781230456995</v>
      </c>
      <c r="L152" s="203" t="n">
        <v>0.124630747076955</v>
      </c>
      <c r="M152" s="201">
        <f>IF(OR(K152="",L152=""),"",IF(AND(L152&lt;0.05,OR(AND(J152="升高改善",K152&gt;0),AND(J152="降低改善",K152&lt;0))),"校正","不校正"))</f>
        <v/>
      </c>
      <c r="N152" s="178" t="inlineStr">
        <is>
          <t>Figure3，PDF19/250，自上而下第4面板，实心圆</t>
        </is>
      </c>
    </row>
    <row r="153" ht="45" customHeight="1" s="176">
      <c r="A153" s="201" t="inlineStr">
        <is>
          <t>K264</t>
        </is>
      </c>
      <c r="B153" s="201" t="inlineStr">
        <is>
          <t>035-二次</t>
        </is>
      </c>
      <c r="C153" s="201" t="inlineStr">
        <is>
          <t>Andrew</t>
        </is>
      </c>
      <c r="D153" s="202" t="inlineStr">
        <is>
          <t>泛化</t>
        </is>
      </c>
      <c r="E153" s="181" t="inlineStr">
        <is>
          <t>泛化 BL vs INT 期泛化探测（空心符号）</t>
        </is>
      </c>
      <c r="F153" s="178" t="inlineStr">
        <is>
          <t>25, 75, 75, 0, 25, 25, 25</t>
        </is>
      </c>
      <c r="G153" s="201">
        <f>IF(F153="","",LEN(F153)-LEN(SUBSTITUTE(F153,",",""))+1)</f>
        <v/>
      </c>
      <c r="H153" s="178" t="inlineStr">
        <is>
          <t>75, 100, 75</t>
        </is>
      </c>
      <c r="I153" s="201">
        <f>IF(H153="","",LEN(H153)-LEN(SUBSTITUTE(H153,",",""))+1)</f>
        <v/>
      </c>
      <c r="J153" s="202" t="inlineStr">
        <is>
          <t>升高改善</t>
        </is>
      </c>
      <c r="K153" s="203" t="n">
        <v>-0.233284737407922</v>
      </c>
      <c r="L153" s="203" t="n">
        <v>0.496905847564768</v>
      </c>
      <c r="M153" s="201">
        <f>IF(OR(K153="",L153=""),"",IF(AND(L153&lt;0.05,OR(AND(J153="升高改善",K153&gt;0),AND(J153="降低改善",K153&lt;0))),"校正","不校正"))</f>
        <v/>
      </c>
      <c r="N153" s="181" t="inlineStr">
        <is>
          <t>Figure3，PDF19/250，自上而下第4面板，空心倒三角</t>
        </is>
      </c>
    </row>
    <row r="154" ht="45" customHeight="1" s="176">
      <c r="A154" s="201" t="inlineStr">
        <is>
          <t>K265</t>
        </is>
      </c>
      <c r="B154" s="201" t="inlineStr">
        <is>
          <t>037-二次</t>
        </is>
      </c>
      <c r="C154" s="201" t="inlineStr">
        <is>
          <t>Matt</t>
        </is>
      </c>
      <c r="D154" s="202" t="inlineStr">
        <is>
          <t>干预</t>
        </is>
      </c>
      <c r="E154" s="178" t="inlineStr">
        <is>
          <t>Baseline vs Intervention（VSM）</t>
        </is>
      </c>
      <c r="F154" s="208" t="inlineStr">
        <is>
          <t>13, 22, 13, 22, 22, 22, 33, 18, 33</t>
        </is>
      </c>
      <c r="G154" s="209">
        <f>IF(F154="","",LEN(F154)-LEN(SUBSTITUTE(F154,",",""))+1)</f>
        <v/>
      </c>
      <c r="H154" s="208" t="inlineStr">
        <is>
          <t>44, 33, 56, 32, 87, 46, 33, 43, 51, 33, 50, 55</t>
        </is>
      </c>
      <c r="I154" s="209">
        <f>IF(H154="","",LEN(H154)-LEN(SUBSTITUTE(H154,",",""))+1)</f>
        <v/>
      </c>
      <c r="J154" s="210" t="inlineStr">
        <is>
          <t>升高改善</t>
        </is>
      </c>
      <c r="K154" s="211" t="n">
        <v>0.5039526306789696</v>
      </c>
      <c r="L154" s="211" t="n">
        <v>0.07604147583024336</v>
      </c>
      <c r="M154" s="209">
        <f>IF(OR(K154="",L154=""),"",IF(AND(L154&lt;0.05,OR(AND(J154="升高改善",K154&gt;0),AND(J154="降低改善",K154&lt;0))),"校正","不校正"))</f>
        <v/>
      </c>
      <c r="N154" s="178" t="inlineStr">
        <is>
          <t>Figure2，PDF7/页211，自上而下第1面板Matt；实心圆；原图黑色阶段分界线</t>
        </is>
      </c>
    </row>
    <row r="155" ht="45" customHeight="1" s="176">
      <c r="A155" s="201" t="inlineStr">
        <is>
          <t>K266</t>
        </is>
      </c>
      <c r="B155" s="201" t="inlineStr">
        <is>
          <t>037-二次</t>
        </is>
      </c>
      <c r="C155" s="201" t="inlineStr">
        <is>
          <t>Matt</t>
        </is>
      </c>
      <c r="D155" s="202" t="inlineStr">
        <is>
          <t>维持</t>
        </is>
      </c>
      <c r="E155" s="178" t="inlineStr">
        <is>
          <t>Baseline vs Withdrawal</t>
        </is>
      </c>
      <c r="F155" s="208" t="inlineStr">
        <is>
          <t>13, 22, 13, 22, 22, 22, 33, 18, 33</t>
        </is>
      </c>
      <c r="G155" s="209">
        <f>IF(F155="","",LEN(F155)-LEN(SUBSTITUTE(F155,",",""))+1)</f>
        <v/>
      </c>
      <c r="H155" s="208" t="inlineStr">
        <is>
          <t>28, 52, 33</t>
        </is>
      </c>
      <c r="I155" s="209">
        <f>IF(H155="","",LEN(H155)-LEN(SUBSTITUTE(H155,",",""))+1)</f>
        <v/>
      </c>
      <c r="J155" s="210" t="inlineStr">
        <is>
          <t>升高改善</t>
        </is>
      </c>
      <c r="K155" s="211" t="n">
        <v>0.5039526306789696</v>
      </c>
      <c r="L155" s="211" t="n">
        <v>0.07604147583024336</v>
      </c>
      <c r="M155" s="209">
        <f>IF(OR(K155="",L155=""),"",IF(AND(L155&lt;0.05,OR(AND(J155="升高改善",K155&gt;0),AND(J155="降低改善",K155&lt;0))),"校正","不校正"))</f>
        <v/>
      </c>
      <c r="N155" s="178" t="inlineStr">
        <is>
          <t>Figure2，PDF7/页211，自上而下第1面板Matt；实心圆；原图黑色阶段分界线</t>
        </is>
      </c>
    </row>
    <row r="156" ht="45" customHeight="1" s="176">
      <c r="A156" s="201" t="inlineStr">
        <is>
          <t>K267</t>
        </is>
      </c>
      <c r="B156" s="201" t="inlineStr">
        <is>
          <t>037-二次</t>
        </is>
      </c>
      <c r="C156" s="201" t="inlineStr">
        <is>
          <t>Esther</t>
        </is>
      </c>
      <c r="D156" s="202" t="inlineStr">
        <is>
          <t>干预</t>
        </is>
      </c>
      <c r="E156" s="178" t="inlineStr">
        <is>
          <t>Baseline vs Intervention（VSM）</t>
        </is>
      </c>
      <c r="F156" s="208" t="inlineStr">
        <is>
          <t>0, 11, 23, 31, 39, 24, 24, 17, 37, 22, 24</t>
        </is>
      </c>
      <c r="G156" s="209">
        <f>IF(F156="","",LEN(F156)-LEN(SUBSTITUTE(F156,",",""))+1)</f>
        <v/>
      </c>
      <c r="H156" s="208" t="inlineStr">
        <is>
          <t>61, 46, 37, 50, 50, 44, 41</t>
        </is>
      </c>
      <c r="I156" s="209">
        <f>IF(H156="","",LEN(H156)-LEN(SUBSTITUTE(H156,",",""))+1)</f>
        <v/>
      </c>
      <c r="J156" s="210" t="inlineStr">
        <is>
          <t>升高改善</t>
        </is>
      </c>
      <c r="K156" s="211" t="n">
        <v>0.261785157202368</v>
      </c>
      <c r="L156" s="211" t="n">
        <v>0.2703685816257839</v>
      </c>
      <c r="M156" s="209">
        <f>IF(OR(K156="",L156=""),"",IF(AND(L156&lt;0.05,OR(AND(J156="升高改善",K156&gt;0),AND(J156="降低改善",K156&lt;0))),"校正","不校正"))</f>
        <v/>
      </c>
      <c r="N156" s="178" t="inlineStr">
        <is>
          <t>Figure2，PDF7/页211，自上而下第2面板Esther；实心圆；原图黑色阶段分界线</t>
        </is>
      </c>
    </row>
    <row r="157" ht="45" customHeight="1" s="176">
      <c r="A157" s="201" t="inlineStr">
        <is>
          <t>K268</t>
        </is>
      </c>
      <c r="B157" s="201" t="inlineStr">
        <is>
          <t>037-二次</t>
        </is>
      </c>
      <c r="C157" s="201" t="inlineStr">
        <is>
          <t>Fred</t>
        </is>
      </c>
      <c r="D157" s="202" t="inlineStr">
        <is>
          <t>干预</t>
        </is>
      </c>
      <c r="E157" s="178" t="inlineStr">
        <is>
          <t>Baseline vs Intervention（VSM）</t>
        </is>
      </c>
      <c r="F157" s="208" t="inlineStr">
        <is>
          <t>43, 25, 24, 41, 15, 28, 10, 43, 46, 53, 53, 65, 52, 26</t>
        </is>
      </c>
      <c r="G157" s="209">
        <f>IF(F157="","",LEN(F157)-LEN(SUBSTITUTE(F157,",",""))+1)</f>
        <v/>
      </c>
      <c r="H157" s="208" t="inlineStr">
        <is>
          <t>47, 61, 88, 80, 76, 79, 80</t>
        </is>
      </c>
      <c r="I157" s="209">
        <f>IF(H157="","",LEN(H157)-LEN(SUBSTITUTE(H157,",",""))+1)</f>
        <v/>
      </c>
      <c r="J157" s="210" t="inlineStr">
        <is>
          <t>升高改善</t>
        </is>
      </c>
      <c r="K157" s="211" t="n">
        <v>0.3666893025074554</v>
      </c>
      <c r="L157" s="211" t="n">
        <v>0.06998308046248114</v>
      </c>
      <c r="M157" s="209">
        <f>IF(OR(K157="",L157=""),"",IF(AND(L157&lt;0.05,OR(AND(J157="升高改善",K157&gt;0),AND(J157="降低改善",K157&lt;0))),"校正","不校正"))</f>
        <v/>
      </c>
      <c r="N157" s="178" t="inlineStr">
        <is>
          <t>Figure2，PDF7/页211，自上而下第3面板Fred；实心圆；原图黑色阶段分界线</t>
        </is>
      </c>
    </row>
    <row r="158" ht="45" customHeight="1" s="176">
      <c r="A158" s="201" t="inlineStr">
        <is>
          <t>K269</t>
        </is>
      </c>
      <c r="B158" s="201" t="inlineStr">
        <is>
          <t>038-滚雪球</t>
        </is>
      </c>
      <c r="C158" s="201" t="inlineStr">
        <is>
          <t>Ben</t>
        </is>
      </c>
      <c r="D158" s="202" t="inlineStr">
        <is>
          <t>干预</t>
        </is>
      </c>
      <c r="E158" s="178" t="inlineStr">
        <is>
          <t>BL vs INT</t>
        </is>
      </c>
      <c r="F158" s="178" t="inlineStr">
        <is>
          <t>20, 60, 40, 0, 0</t>
        </is>
      </c>
      <c r="G158" s="201">
        <f>IF(F158="","",LEN(F158)-LEN(SUBSTITUTE(F158,",",""))+1)</f>
        <v/>
      </c>
      <c r="H158" s="178" t="inlineStr">
        <is>
          <t>100, 80, 100, 100, 100</t>
        </is>
      </c>
      <c r="I158" s="201">
        <f>IF(H158="","",LEN(H158)-LEN(SUBSTITUTE(H158,",",""))+1)</f>
        <v/>
      </c>
      <c r="J158" s="202" t="inlineStr">
        <is>
          <t>升高改善</t>
        </is>
      </c>
      <c r="K158" s="203" t="n">
        <v>-0.52704627669473</v>
      </c>
      <c r="L158" s="203" t="n">
        <v>0.206507295485425</v>
      </c>
      <c r="M158" s="201">
        <f>IF(OR(K158="",L158=""),"",IF(AND(L158&lt;0.05,OR(AND(J158="升高改善",K158&gt;0),AND(J158="降低改善",K158&lt;0))),"校正","不校正"))</f>
        <v/>
      </c>
      <c r="N158" s="178" t="inlineStr">
        <is>
          <t>Figure1，PDF7/329，自上而下第1面板，实心圆</t>
        </is>
      </c>
    </row>
    <row r="159" ht="45" customHeight="1" s="176">
      <c r="A159" s="201" t="inlineStr">
        <is>
          <t>K270</t>
        </is>
      </c>
      <c r="B159" s="201" t="inlineStr">
        <is>
          <t>038-滚雪球</t>
        </is>
      </c>
      <c r="C159" s="201" t="inlineStr">
        <is>
          <t>Ben</t>
        </is>
      </c>
      <c r="D159" s="202" t="inlineStr">
        <is>
          <t>维持</t>
        </is>
      </c>
      <c r="E159" s="178" t="inlineStr">
        <is>
          <t>BL vs MT（训练情境）</t>
        </is>
      </c>
      <c r="F159" s="178" t="inlineStr">
        <is>
          <t>20, 60, 40, 0, 0</t>
        </is>
      </c>
      <c r="G159" s="201">
        <f>IF(F159="","",LEN(F159)-LEN(SUBSTITUTE(F159,",",""))+1)</f>
        <v/>
      </c>
      <c r="H159" s="178" t="inlineStr">
        <is>
          <t>100, 100, 100, 100, 80, 100</t>
        </is>
      </c>
      <c r="I159" s="201">
        <f>IF(H159="","",LEN(H159)-LEN(SUBSTITUTE(H159,",",""))+1)</f>
        <v/>
      </c>
      <c r="J159" s="202" t="inlineStr">
        <is>
          <t>升高改善</t>
        </is>
      </c>
      <c r="K159" s="203" t="n">
        <v>-0.52704627669473</v>
      </c>
      <c r="L159" s="203" t="n">
        <v>0.206507295485425</v>
      </c>
      <c r="M159" s="201">
        <f>IF(OR(K159="",L159=""),"",IF(AND(L159&lt;0.05,OR(AND(J159="升高改善",K159&gt;0),AND(J159="降低改善",K159&lt;0))),"校正","不校正"))</f>
        <v/>
      </c>
      <c r="N159" s="178" t="inlineStr">
        <is>
          <t>Figure1，PDF7/329，自上而下第1面板，实心圆</t>
        </is>
      </c>
    </row>
    <row r="160" ht="45" customHeight="1" s="176">
      <c r="A160" s="201" t="inlineStr">
        <is>
          <t>K271</t>
        </is>
      </c>
      <c r="B160" s="201" t="inlineStr">
        <is>
          <t>038-滚雪球</t>
        </is>
      </c>
      <c r="C160" s="201" t="inlineStr">
        <is>
          <t>Ben</t>
        </is>
      </c>
      <c r="D160" s="202" t="inlineStr">
        <is>
          <t>泛化</t>
        </is>
      </c>
      <c r="E160" s="181" t="inlineStr">
        <is>
          <t>泛化 BL vs INT 期泛化探测（空心符号）</t>
        </is>
      </c>
      <c r="F160" s="178" t="inlineStr">
        <is>
          <t>0, 0, 0</t>
        </is>
      </c>
      <c r="G160" s="201">
        <f>IF(F160="","",LEN(F160)-LEN(SUBSTITUTE(F160,",",""))+1)</f>
        <v/>
      </c>
      <c r="H160" s="178" t="inlineStr">
        <is>
          <t>100, 100, 100, 100, 100</t>
        </is>
      </c>
      <c r="I160" s="201">
        <f>IF(H160="","",LEN(H160)-LEN(SUBSTITUTE(H160,",",""))+1)</f>
        <v/>
      </c>
      <c r="J160" s="202" t="inlineStr">
        <is>
          <t>升高改善</t>
        </is>
      </c>
      <c r="K160" s="203" t="n">
        <v>0</v>
      </c>
      <c r="L160" s="203" t="n">
        <v>1</v>
      </c>
      <c r="M160" s="201">
        <f>IF(OR(K160="",L160=""),"",IF(AND(L160&lt;0.05,OR(AND(J160="升高改善",K160&gt;0),AND(J160="降低改善",K160&lt;0))),"校正","不校正"))</f>
        <v/>
      </c>
      <c r="N160" s="181" t="inlineStr">
        <is>
          <t>Figure1，PDF7/329，自上而下第1面板，空心方形</t>
        </is>
      </c>
    </row>
    <row r="161" ht="45" customHeight="1" s="176">
      <c r="A161" s="201" t="inlineStr">
        <is>
          <t>K272</t>
        </is>
      </c>
      <c r="B161" s="201" t="inlineStr">
        <is>
          <t>038-滚雪球</t>
        </is>
      </c>
      <c r="C161" s="201" t="inlineStr">
        <is>
          <t>Ben</t>
        </is>
      </c>
      <c r="D161" s="202" t="inlineStr">
        <is>
          <t>干预</t>
        </is>
      </c>
      <c r="E161" s="178" t="inlineStr">
        <is>
          <t>BL vs INT</t>
        </is>
      </c>
      <c r="F161" s="178" t="inlineStr">
        <is>
          <t>0, 0, 0, 0, 0, 0, 0</t>
        </is>
      </c>
      <c r="G161" s="201">
        <f>IF(F161="","",LEN(F161)-LEN(SUBSTITUTE(F161,",",""))+1)</f>
        <v/>
      </c>
      <c r="H161" s="178" t="inlineStr">
        <is>
          <t>100, 100, 0, 20, 0, 0, 0, 100, 0, 100, 100, 100, 100</t>
        </is>
      </c>
      <c r="I161" s="201">
        <f>IF(H161="","",LEN(H161)-LEN(SUBSTITUTE(H161,",",""))+1)</f>
        <v/>
      </c>
      <c r="J161" s="202" t="inlineStr">
        <is>
          <t>升高改善</t>
        </is>
      </c>
      <c r="K161" s="203" t="n">
        <v>0</v>
      </c>
      <c r="L161" s="203" t="n">
        <v>1</v>
      </c>
      <c r="M161" s="201">
        <f>IF(OR(K161="",L161=""),"",IF(AND(L161&lt;0.05,OR(AND(J161="升高改善",K161&gt;0),AND(J161="降低改善",K161&lt;0))),"校正","不校正"))</f>
        <v/>
      </c>
      <c r="N161" s="178" t="inlineStr">
        <is>
          <t>Figure1，PDF7/329，自上而下第2面板，实心圆</t>
        </is>
      </c>
    </row>
    <row r="162" ht="45" customHeight="1" s="176">
      <c r="A162" s="201" t="inlineStr">
        <is>
          <t>K273</t>
        </is>
      </c>
      <c r="B162" s="201" t="inlineStr">
        <is>
          <t>038-滚雪球</t>
        </is>
      </c>
      <c r="C162" s="201" t="inlineStr">
        <is>
          <t>Ben</t>
        </is>
      </c>
      <c r="D162" s="202" t="inlineStr">
        <is>
          <t>维持</t>
        </is>
      </c>
      <c r="E162" s="178" t="inlineStr">
        <is>
          <t>BL vs MT（训练情境）</t>
        </is>
      </c>
      <c r="F162" s="178" t="inlineStr">
        <is>
          <t>0, 0, 0, 0, 0, 0, 0</t>
        </is>
      </c>
      <c r="G162" s="201">
        <f>IF(F162="","",LEN(F162)-LEN(SUBSTITUTE(F162,",",""))+1)</f>
        <v/>
      </c>
      <c r="H162" s="178" t="inlineStr">
        <is>
          <t>100, 100, 0</t>
        </is>
      </c>
      <c r="I162" s="201">
        <f>IF(H162="","",LEN(H162)-LEN(SUBSTITUTE(H162,",",""))+1)</f>
        <v/>
      </c>
      <c r="J162" s="202" t="inlineStr">
        <is>
          <t>升高改善</t>
        </is>
      </c>
      <c r="K162" s="203" t="n">
        <v>0</v>
      </c>
      <c r="L162" s="203" t="n">
        <v>1</v>
      </c>
      <c r="M162" s="201">
        <f>IF(OR(K162="",L162=""),"",IF(AND(L162&lt;0.05,OR(AND(J162="升高改善",K162&gt;0),AND(J162="降低改善",K162&lt;0))),"校正","不校正"))</f>
        <v/>
      </c>
      <c r="N162" s="178" t="inlineStr">
        <is>
          <t>Figure1，PDF7/329，自上而下第2面板，实心圆</t>
        </is>
      </c>
    </row>
    <row r="163" ht="45" customHeight="1" s="176">
      <c r="A163" s="201" t="inlineStr">
        <is>
          <t>K274</t>
        </is>
      </c>
      <c r="B163" s="201" t="inlineStr">
        <is>
          <t>038-滚雪球</t>
        </is>
      </c>
      <c r="C163" s="201" t="inlineStr">
        <is>
          <t>Ben</t>
        </is>
      </c>
      <c r="D163" s="202" t="inlineStr">
        <is>
          <t>泛化</t>
        </is>
      </c>
      <c r="E163" s="181" t="inlineStr">
        <is>
          <t>泛化 BL vs INT 期泛化探测（空心符号）</t>
        </is>
      </c>
      <c r="F163" s="178" t="inlineStr">
        <is>
          <t>0, 0, 0</t>
        </is>
      </c>
      <c r="G163" s="201">
        <f>IF(F163="","",LEN(F163)-LEN(SUBSTITUTE(F163,",",""))+1)</f>
        <v/>
      </c>
      <c r="H163" s="178" t="inlineStr">
        <is>
          <t>100, 0, 0</t>
        </is>
      </c>
      <c r="I163" s="201">
        <f>IF(H163="","",LEN(H163)-LEN(SUBSTITUTE(H163,",",""))+1)</f>
        <v/>
      </c>
      <c r="J163" s="202" t="inlineStr">
        <is>
          <t>升高改善</t>
        </is>
      </c>
      <c r="K163" s="203" t="n">
        <v>0</v>
      </c>
      <c r="L163" s="203" t="n">
        <v>1</v>
      </c>
      <c r="M163" s="201">
        <f>IF(OR(K163="",L163=""),"",IF(AND(L163&lt;0.05,OR(AND(J163="升高改善",K163&gt;0),AND(J163="降低改善",K163&lt;0))),"校正","不校正"))</f>
        <v/>
      </c>
      <c r="N163" s="181" t="inlineStr">
        <is>
          <t>Figure1，PDF7/329，自上而下第2面板，空心方形</t>
        </is>
      </c>
    </row>
    <row r="164" ht="45" customHeight="1" s="176">
      <c r="A164" s="201" t="inlineStr">
        <is>
          <t>K275</t>
        </is>
      </c>
      <c r="B164" s="201" t="inlineStr">
        <is>
          <t>038-滚雪球</t>
        </is>
      </c>
      <c r="C164" s="201" t="inlineStr">
        <is>
          <t>Ben</t>
        </is>
      </c>
      <c r="D164" s="202" t="inlineStr">
        <is>
          <t>干预</t>
        </is>
      </c>
      <c r="E164" s="178" t="inlineStr">
        <is>
          <t>BL vs INT</t>
        </is>
      </c>
      <c r="F164" s="178" t="inlineStr">
        <is>
          <t>0, 0, 0, 0, 0, 0, 0, 0, 0</t>
        </is>
      </c>
      <c r="G164" s="201">
        <f>IF(F164="","",LEN(F164)-LEN(SUBSTITUTE(F164,",",""))+1)</f>
        <v/>
      </c>
      <c r="H164" s="178" t="inlineStr">
        <is>
          <t>100, 100, 100, 100, 0, 100</t>
        </is>
      </c>
      <c r="I164" s="201">
        <f>IF(H164="","",LEN(H164)-LEN(SUBSTITUTE(H164,",",""))+1)</f>
        <v/>
      </c>
      <c r="J164" s="202" t="inlineStr">
        <is>
          <t>升高改善</t>
        </is>
      </c>
      <c r="K164" s="203" t="n">
        <v>0</v>
      </c>
      <c r="L164" s="203" t="n">
        <v>1</v>
      </c>
      <c r="M164" s="201">
        <f>IF(OR(K164="",L164=""),"",IF(AND(L164&lt;0.05,OR(AND(J164="升高改善",K164&gt;0),AND(J164="降低改善",K164&lt;0))),"校正","不校正"))</f>
        <v/>
      </c>
      <c r="N164" s="178" t="inlineStr">
        <is>
          <t>Figure1，PDF7/329，自上而下第3面板，实心圆</t>
        </is>
      </c>
    </row>
    <row r="165" ht="45" customHeight="1" s="176">
      <c r="A165" s="201" t="inlineStr">
        <is>
          <t>K276</t>
        </is>
      </c>
      <c r="B165" s="201" t="inlineStr">
        <is>
          <t>038-滚雪球</t>
        </is>
      </c>
      <c r="C165" s="201" t="inlineStr">
        <is>
          <t>Ben</t>
        </is>
      </c>
      <c r="D165" s="202" t="inlineStr">
        <is>
          <t>泛化</t>
        </is>
      </c>
      <c r="E165" s="181" t="inlineStr">
        <is>
          <t>泛化 BL vs INT 期泛化探测（空心符号）</t>
        </is>
      </c>
      <c r="F165" s="178" t="inlineStr">
        <is>
          <t>0, 0, 0, 0, 0</t>
        </is>
      </c>
      <c r="G165" s="201">
        <f>IF(F165="","",LEN(F165)-LEN(SUBSTITUTE(F165,",",""))+1)</f>
        <v/>
      </c>
      <c r="H165" s="178" t="inlineStr">
        <is>
          <t>100, 75, 100</t>
        </is>
      </c>
      <c r="I165" s="201">
        <f>IF(H165="","",LEN(H165)-LEN(SUBSTITUTE(H165,",",""))+1)</f>
        <v/>
      </c>
      <c r="J165" s="202" t="inlineStr">
        <is>
          <t>升高改善</t>
        </is>
      </c>
      <c r="K165" s="203" t="n">
        <v>0</v>
      </c>
      <c r="L165" s="203" t="n">
        <v>1</v>
      </c>
      <c r="M165" s="201">
        <f>IF(OR(K165="",L165=""),"",IF(AND(L165&lt;0.05,OR(AND(J165="升高改善",K165&gt;0),AND(J165="降低改善",K165&lt;0))),"校正","不校正"))</f>
        <v/>
      </c>
      <c r="N165" s="181" t="inlineStr">
        <is>
          <t>Figure1，PDF7/329，自上而下第3面板，空心方形</t>
        </is>
      </c>
    </row>
    <row r="166" ht="45" customHeight="1" s="176">
      <c r="A166" s="201" t="inlineStr">
        <is>
          <t>K277</t>
        </is>
      </c>
      <c r="B166" s="201" t="inlineStr">
        <is>
          <t>038-滚雪球</t>
        </is>
      </c>
      <c r="C166" s="201" t="inlineStr">
        <is>
          <t>Nick</t>
        </is>
      </c>
      <c r="D166" s="202" t="inlineStr">
        <is>
          <t>干预</t>
        </is>
      </c>
      <c r="E166" s="178" t="inlineStr">
        <is>
          <t>BL vs INT</t>
        </is>
      </c>
      <c r="F166" s="178" t="inlineStr">
        <is>
          <t>0, 40, 0, 0, 0</t>
        </is>
      </c>
      <c r="G166" s="201">
        <f>IF(F166="","",LEN(F166)-LEN(SUBSTITUTE(F166,",",""))+1)</f>
        <v/>
      </c>
      <c r="H166" s="178" t="inlineStr">
        <is>
          <t>60, 100, 80, 100, 100</t>
        </is>
      </c>
      <c r="I166" s="201">
        <f>IF(H166="","",LEN(H166)-LEN(SUBSTITUTE(H166,",",""))+1)</f>
        <v/>
      </c>
      <c r="J166" s="202" t="inlineStr">
        <is>
          <t>升高改善</t>
        </is>
      </c>
      <c r="K166" s="203" t="n">
        <v>-0.316227766016838</v>
      </c>
      <c r="L166" s="203" t="n">
        <v>0.479500122186953</v>
      </c>
      <c r="M166" s="201">
        <f>IF(OR(K166="",L166=""),"",IF(AND(L166&lt;0.05,OR(AND(J166="升高改善",K166&gt;0),AND(J166="降低改善",K166&lt;0))),"校正","不校正"))</f>
        <v/>
      </c>
      <c r="N166" s="178" t="inlineStr">
        <is>
          <t>Figure2，PDF8/330，自上而下第1面板，实心圆</t>
        </is>
      </c>
    </row>
    <row r="167" ht="45" customHeight="1" s="176">
      <c r="A167" s="201" t="inlineStr">
        <is>
          <t>K278</t>
        </is>
      </c>
      <c r="B167" s="201" t="inlineStr">
        <is>
          <t>038-滚雪球</t>
        </is>
      </c>
      <c r="C167" s="201" t="inlineStr">
        <is>
          <t>Nick</t>
        </is>
      </c>
      <c r="D167" s="202" t="inlineStr">
        <is>
          <t>维持</t>
        </is>
      </c>
      <c r="E167" s="178" t="inlineStr">
        <is>
          <t>BL vs MT（训练情境）</t>
        </is>
      </c>
      <c r="F167" s="178" t="inlineStr">
        <is>
          <t>0, 40, 0, 0, 0</t>
        </is>
      </c>
      <c r="G167" s="201">
        <f>IF(F167="","",LEN(F167)-LEN(SUBSTITUTE(F167,",",""))+1)</f>
        <v/>
      </c>
      <c r="H167" s="178" t="inlineStr">
        <is>
          <t>100, 100, 100, 100, 100, 100, 100, 80</t>
        </is>
      </c>
      <c r="I167" s="201">
        <f>IF(H167="","",LEN(H167)-LEN(SUBSTITUTE(H167,",",""))+1)</f>
        <v/>
      </c>
      <c r="J167" s="202" t="inlineStr">
        <is>
          <t>升高改善</t>
        </is>
      </c>
      <c r="K167" s="203" t="n">
        <v>-0.316227766016838</v>
      </c>
      <c r="L167" s="203" t="n">
        <v>0.479500122186953</v>
      </c>
      <c r="M167" s="201">
        <f>IF(OR(K167="",L167=""),"",IF(AND(L167&lt;0.05,OR(AND(J167="升高改善",K167&gt;0),AND(J167="降低改善",K167&lt;0))),"校正","不校正"))</f>
        <v/>
      </c>
      <c r="N167" s="178" t="inlineStr">
        <is>
          <t>Figure2，PDF8/330，自上而下第1面板，实心圆</t>
        </is>
      </c>
    </row>
    <row r="168" ht="45" customHeight="1" s="176">
      <c r="A168" s="201" t="inlineStr">
        <is>
          <t>K279</t>
        </is>
      </c>
      <c r="B168" s="201" t="inlineStr">
        <is>
          <t>038-滚雪球</t>
        </is>
      </c>
      <c r="C168" s="201" t="inlineStr">
        <is>
          <t>Nick</t>
        </is>
      </c>
      <c r="D168" s="202" t="inlineStr">
        <is>
          <t>泛化</t>
        </is>
      </c>
      <c r="E168" s="181" t="inlineStr">
        <is>
          <t>泛化 BL vs INT 期泛化探测（空心符号）</t>
        </is>
      </c>
      <c r="F168" s="178" t="inlineStr">
        <is>
          <t>0, 0, 0</t>
        </is>
      </c>
      <c r="G168" s="201">
        <f>IF(F168="","",LEN(F168)-LEN(SUBSTITUTE(F168,",",""))+1)</f>
        <v/>
      </c>
      <c r="H168" s="178" t="inlineStr">
        <is>
          <t>100, 100, 0, 0, 0</t>
        </is>
      </c>
      <c r="I168" s="201">
        <f>IF(H168="","",LEN(H168)-LEN(SUBSTITUTE(H168,",",""))+1)</f>
        <v/>
      </c>
      <c r="J168" s="202" t="inlineStr">
        <is>
          <t>升高改善</t>
        </is>
      </c>
      <c r="K168" s="203" t="n">
        <v>0</v>
      </c>
      <c r="L168" s="203" t="n">
        <v>1</v>
      </c>
      <c r="M168" s="201">
        <f>IF(OR(K168="",L168=""),"",IF(AND(L168&lt;0.05,OR(AND(J168="升高改善",K168&gt;0),AND(J168="降低改善",K168&lt;0))),"校正","不校正"))</f>
        <v/>
      </c>
      <c r="N168" s="181" t="inlineStr">
        <is>
          <t>Figure2，PDF8/330，自上而下第1面板，空心方形</t>
        </is>
      </c>
    </row>
    <row r="169" ht="45" customHeight="1" s="176">
      <c r="A169" s="201" t="inlineStr">
        <is>
          <t>K280</t>
        </is>
      </c>
      <c r="B169" s="201" t="inlineStr">
        <is>
          <t>038-滚雪球</t>
        </is>
      </c>
      <c r="C169" s="201" t="inlineStr">
        <is>
          <t>Nick</t>
        </is>
      </c>
      <c r="D169" s="202" t="inlineStr">
        <is>
          <t>干预</t>
        </is>
      </c>
      <c r="E169" s="178" t="inlineStr">
        <is>
          <t>BL vs INT</t>
        </is>
      </c>
      <c r="F169" s="178" t="inlineStr">
        <is>
          <t>0, 0, 0, 0, 0, 0, 0</t>
        </is>
      </c>
      <c r="G169" s="201">
        <f>IF(F169="","",LEN(F169)-LEN(SUBSTITUTE(F169,",",""))+1)</f>
        <v/>
      </c>
      <c r="H169" s="178" t="inlineStr">
        <is>
          <t>100, 100, 100, 100, 100</t>
        </is>
      </c>
      <c r="I169" s="201">
        <f>IF(H169="","",LEN(H169)-LEN(SUBSTITUTE(H169,",",""))+1)</f>
        <v/>
      </c>
      <c r="J169" s="202" t="inlineStr">
        <is>
          <t>升高改善</t>
        </is>
      </c>
      <c r="K169" s="203" t="n">
        <v>0</v>
      </c>
      <c r="L169" s="203" t="n">
        <v>1</v>
      </c>
      <c r="M169" s="201">
        <f>IF(OR(K169="",L169=""),"",IF(AND(L169&lt;0.05,OR(AND(J169="升高改善",K169&gt;0),AND(J169="降低改善",K169&lt;0))),"校正","不校正"))</f>
        <v/>
      </c>
      <c r="N169" s="178" t="inlineStr">
        <is>
          <t>Figure2，PDF8/330，自上而下第2面板，实心圆</t>
        </is>
      </c>
    </row>
    <row r="170" ht="45" customHeight="1" s="176">
      <c r="A170" s="201" t="inlineStr">
        <is>
          <t>K281</t>
        </is>
      </c>
      <c r="B170" s="201" t="inlineStr">
        <is>
          <t>038-滚雪球</t>
        </is>
      </c>
      <c r="C170" s="201" t="inlineStr">
        <is>
          <t>Nick</t>
        </is>
      </c>
      <c r="D170" s="202" t="inlineStr">
        <is>
          <t>维持</t>
        </is>
      </c>
      <c r="E170" s="178" t="inlineStr">
        <is>
          <t>BL vs MT（训练情境）</t>
        </is>
      </c>
      <c r="F170" s="178" t="inlineStr">
        <is>
          <t>0, 0, 0, 0, 0, 0, 0</t>
        </is>
      </c>
      <c r="G170" s="201">
        <f>IF(F170="","",LEN(F170)-LEN(SUBSTITUTE(F170,",",""))+1)</f>
        <v/>
      </c>
      <c r="H170" s="178" t="inlineStr">
        <is>
          <t>100, 100, 100, 100, 100, 0</t>
        </is>
      </c>
      <c r="I170" s="201">
        <f>IF(H170="","",LEN(H170)-LEN(SUBSTITUTE(H170,",",""))+1)</f>
        <v/>
      </c>
      <c r="J170" s="202" t="inlineStr">
        <is>
          <t>升高改善</t>
        </is>
      </c>
      <c r="K170" s="203" t="n">
        <v>0</v>
      </c>
      <c r="L170" s="203" t="n">
        <v>1</v>
      </c>
      <c r="M170" s="201">
        <f>IF(OR(K170="",L170=""),"",IF(AND(L170&lt;0.05,OR(AND(J170="升高改善",K170&gt;0),AND(J170="降低改善",K170&lt;0))),"校正","不校正"))</f>
        <v/>
      </c>
      <c r="N170" s="178" t="inlineStr">
        <is>
          <t>Figure2，PDF8/330，自上而下第2面板，实心圆</t>
        </is>
      </c>
    </row>
    <row r="171" ht="45" customHeight="1" s="176">
      <c r="A171" s="201" t="inlineStr">
        <is>
          <t>K282</t>
        </is>
      </c>
      <c r="B171" s="201" t="inlineStr">
        <is>
          <t>038-滚雪球</t>
        </is>
      </c>
      <c r="C171" s="201" t="inlineStr">
        <is>
          <t>Nick</t>
        </is>
      </c>
      <c r="D171" s="202" t="inlineStr">
        <is>
          <t>泛化</t>
        </is>
      </c>
      <c r="E171" s="181" t="inlineStr">
        <is>
          <t>泛化 BL vs INT 期泛化探测（空心符号）</t>
        </is>
      </c>
      <c r="F171" s="178" t="inlineStr">
        <is>
          <t>0, 0, 0</t>
        </is>
      </c>
      <c r="G171" s="201">
        <f>IF(F171="","",LEN(F171)-LEN(SUBSTITUTE(F171,",",""))+1)</f>
        <v/>
      </c>
      <c r="H171" s="178" t="inlineStr">
        <is>
          <t>100, 100, 100</t>
        </is>
      </c>
      <c r="I171" s="201">
        <f>IF(H171="","",LEN(H171)-LEN(SUBSTITUTE(H171,",",""))+1)</f>
        <v/>
      </c>
      <c r="J171" s="202" t="inlineStr">
        <is>
          <t>升高改善</t>
        </is>
      </c>
      <c r="K171" s="203" t="n">
        <v>0</v>
      </c>
      <c r="L171" s="203" t="n">
        <v>1</v>
      </c>
      <c r="M171" s="201">
        <f>IF(OR(K171="",L171=""),"",IF(AND(L171&lt;0.05,OR(AND(J171="升高改善",K171&gt;0),AND(J171="降低改善",K171&lt;0))),"校正","不校正"))</f>
        <v/>
      </c>
      <c r="N171" s="181" t="inlineStr">
        <is>
          <t>Figure2，PDF8/330，自上而下第2面板，空心方形</t>
        </is>
      </c>
    </row>
    <row r="172" ht="45" customHeight="1" s="176">
      <c r="A172" s="201" t="inlineStr">
        <is>
          <t>K283</t>
        </is>
      </c>
      <c r="B172" s="201" t="inlineStr">
        <is>
          <t>038-滚雪球</t>
        </is>
      </c>
      <c r="C172" s="201" t="inlineStr">
        <is>
          <t>Nick</t>
        </is>
      </c>
      <c r="D172" s="202" t="inlineStr">
        <is>
          <t>干预</t>
        </is>
      </c>
      <c r="E172" s="178" t="inlineStr">
        <is>
          <t>BL vs INT</t>
        </is>
      </c>
      <c r="F172" s="178" t="inlineStr">
        <is>
          <t>0, 0, 0, 0, 0, 0, 0, 0, 0, 0, 0</t>
        </is>
      </c>
      <c r="G172" s="201">
        <f>IF(F172="","",LEN(F172)-LEN(SUBSTITUTE(F172,",",""))+1)</f>
        <v/>
      </c>
      <c r="H172" s="178" t="inlineStr">
        <is>
          <t>100, 100, 100, 100, 100</t>
        </is>
      </c>
      <c r="I172" s="201">
        <f>IF(H172="","",LEN(H172)-LEN(SUBSTITUTE(H172,",",""))+1)</f>
        <v/>
      </c>
      <c r="J172" s="202" t="inlineStr">
        <is>
          <t>升高改善</t>
        </is>
      </c>
      <c r="K172" s="203" t="n">
        <v>0</v>
      </c>
      <c r="L172" s="203" t="n">
        <v>1</v>
      </c>
      <c r="M172" s="201">
        <f>IF(OR(K172="",L172=""),"",IF(AND(L172&lt;0.05,OR(AND(J172="升高改善",K172&gt;0),AND(J172="降低改善",K172&lt;0))),"校正","不校正"))</f>
        <v/>
      </c>
      <c r="N172" s="178" t="inlineStr">
        <is>
          <t>Figure2，PDF8/330，自上而下第3面板，实心圆</t>
        </is>
      </c>
    </row>
    <row r="173" ht="45" customHeight="1" s="176">
      <c r="A173" s="201" t="inlineStr">
        <is>
          <t>K284</t>
        </is>
      </c>
      <c r="B173" s="201" t="inlineStr">
        <is>
          <t>038-滚雪球</t>
        </is>
      </c>
      <c r="C173" s="201" t="inlineStr">
        <is>
          <t>Nick</t>
        </is>
      </c>
      <c r="D173" s="202" t="inlineStr">
        <is>
          <t>泛化</t>
        </is>
      </c>
      <c r="E173" s="181" t="inlineStr">
        <is>
          <t>泛化 BL vs INT 期泛化探测（空心符号）</t>
        </is>
      </c>
      <c r="F173" s="178" t="inlineStr">
        <is>
          <t>0, 25, 25, 0, 0, 0</t>
        </is>
      </c>
      <c r="G173" s="201">
        <f>IF(F173="","",LEN(F173)-LEN(SUBSTITUTE(F173,",",""))+1)</f>
        <v/>
      </c>
      <c r="H173" s="178" t="inlineStr">
        <is>
          <t>100, 100, 100</t>
        </is>
      </c>
      <c r="I173" s="201">
        <f>IF(H173="","",LEN(H173)-LEN(SUBSTITUTE(H173,",",""))+1)</f>
        <v/>
      </c>
      <c r="J173" s="202" t="inlineStr">
        <is>
          <t>升高改善</t>
        </is>
      </c>
      <c r="K173" s="203" t="n">
        <v>-0.365148371670111</v>
      </c>
      <c r="L173" s="203" t="n">
        <v>0.354539479773501</v>
      </c>
      <c r="M173" s="201">
        <f>IF(OR(K173="",L173=""),"",IF(AND(L173&lt;0.05,OR(AND(J173="升高改善",K173&gt;0),AND(J173="降低改善",K173&lt;0))),"校正","不校正"))</f>
        <v/>
      </c>
      <c r="N173" s="181" t="inlineStr">
        <is>
          <t>Figure2，PDF8/330，自上而下第3面板，空心方形</t>
        </is>
      </c>
    </row>
    <row r="174" ht="45" customHeight="1" s="176">
      <c r="A174" s="212" t="inlineStr">
        <is>
          <t>K285</t>
        </is>
      </c>
      <c r="B174" s="212" t="inlineStr">
        <is>
          <t>039-二次</t>
        </is>
      </c>
      <c r="C174" s="212" t="inlineStr">
        <is>
          <t>J.</t>
        </is>
      </c>
      <c r="D174" s="213" t="inlineStr">
        <is>
          <t>干预</t>
        </is>
      </c>
      <c r="E174" s="214" t="inlineStr">
        <is>
          <t>Baseline A vs Video 1–3 合并段（Video 4 不用）</t>
        </is>
      </c>
      <c r="F174" s="214" t="inlineStr">
        <is>
          <t>300, 300, 300, 300, 300, 300</t>
        </is>
      </c>
      <c r="G174" s="212">
        <f>IF(F174="","",LEN(F174)-LEN(SUBSTITUTE(F174,",",""))+1)</f>
        <v/>
      </c>
      <c r="H174" s="214" t="inlineStr">
        <is>
          <t>300, 28, 13, 11, 3, 5, 30, 5, 5, 5</t>
        </is>
      </c>
      <c r="I174" s="212">
        <f>IF(H174="","",LEN(H174)-LEN(SUBSTITUTE(H174,",",""))+1)</f>
        <v/>
      </c>
      <c r="J174" s="213" t="inlineStr">
        <is>
          <t>降低改善</t>
        </is>
      </c>
      <c r="K174" s="215" t="n">
        <v>0</v>
      </c>
      <c r="L174" s="215" t="n">
        <v>1</v>
      </c>
      <c r="M174" s="212">
        <f>IF(OR(K174="",L174=""),"",IF(AND(L174&lt;0.05,OR(AND(J174="升高改善",K174&gt;0),AND(J174="降低改善",K174&lt;0))),"校正","不校正"))</f>
        <v/>
      </c>
      <c r="N174" s="214" t="inlineStr">
        <is>
          <t>Fig2，PDF7／印刷684，第1面板，空心圆 SI–Ball；参与者 J.；Baseline A 与所有 Video 1–3 段，按图中时间顺序池化</t>
        </is>
      </c>
    </row>
    <row r="175" ht="45" customHeight="1" s="176">
      <c r="A175" s="212" t="inlineStr">
        <is>
          <t>K286</t>
        </is>
      </c>
      <c r="B175" s="212" t="inlineStr">
        <is>
          <t>039-二次</t>
        </is>
      </c>
      <c r="C175" s="212" t="inlineStr">
        <is>
          <t>J.</t>
        </is>
      </c>
      <c r="D175" s="213" t="inlineStr">
        <is>
          <t>维持</t>
        </is>
      </c>
      <c r="E175" s="214" t="inlineStr">
        <is>
          <t>Baseline A vs 1 个月＋2 个月 Follow-up</t>
        </is>
      </c>
      <c r="F175" s="214" t="inlineStr">
        <is>
          <t>300, 300, 300, 300, 300, 300</t>
        </is>
      </c>
      <c r="G175" s="212">
        <f>IF(F175="","",LEN(F175)-LEN(SUBSTITUTE(F175,",",""))+1)</f>
        <v/>
      </c>
      <c r="H175" s="214" t="inlineStr">
        <is>
          <t>5, 7, 5, 19, 5, 10</t>
        </is>
      </c>
      <c r="I175" s="212">
        <f>IF(H175="","",LEN(H175)-LEN(SUBSTITUTE(H175,",",""))+1)</f>
        <v/>
      </c>
      <c r="J175" s="213" t="inlineStr">
        <is>
          <t>降低改善</t>
        </is>
      </c>
      <c r="K175" s="215" t="n">
        <v>0</v>
      </c>
      <c r="L175" s="215" t="n">
        <v>1</v>
      </c>
      <c r="M175" s="212">
        <f>IF(OR(K175="",L175=""),"",IF(AND(L175&lt;0.05,OR(AND(J175="升高改善",K175&gt;0),AND(J175="降低改善",K175&lt;0))),"校正","不校正"))</f>
        <v/>
      </c>
      <c r="N175" s="214" t="inlineStr">
        <is>
          <t>Fig2，PDF7／印刷684，第1面板，空心圆 SI–Ball；参与者 J.；Baseline A 与 1-month/2-month Follow-up，每月3点</t>
        </is>
      </c>
    </row>
    <row r="176" ht="45" customHeight="1" s="176">
      <c r="A176" s="212" t="inlineStr">
        <is>
          <t>K287</t>
        </is>
      </c>
      <c r="B176" s="212" t="inlineStr">
        <is>
          <t>039-二次</t>
        </is>
      </c>
      <c r="C176" s="212" t="inlineStr">
        <is>
          <t>J.</t>
        </is>
      </c>
      <c r="D176" s="213" t="inlineStr">
        <is>
          <t>干预</t>
        </is>
      </c>
      <c r="E176" s="214" t="inlineStr">
        <is>
          <t>Baseline A vs Video 1–3 合并段（Video 4 不用）</t>
        </is>
      </c>
      <c r="F176" s="216" t="inlineStr">
        <is>
          <t>300, 300, 300, 300, 300, 300, 300, 300, 300, 300, 300</t>
        </is>
      </c>
      <c r="G176" s="217">
        <f>IF(F176="","",LEN(F176)-LEN(SUBSTITUTE(F176,",",""))+1)</f>
        <v/>
      </c>
      <c r="H176" s="216" t="inlineStr">
        <is>
          <t>0, 0, 0, 0, 0</t>
        </is>
      </c>
      <c r="I176" s="217">
        <f>IF(H176="","",LEN(H176)-LEN(SUBSTITUTE(H176,",",""))+1)</f>
        <v/>
      </c>
      <c r="J176" s="218" t="inlineStr">
        <is>
          <t>降低改善</t>
        </is>
      </c>
      <c r="K176" s="219" t="n">
        <v>0</v>
      </c>
      <c r="L176" s="219" t="n">
        <v>1</v>
      </c>
      <c r="M176" s="217">
        <f>IF(OR(K176="",L176=""),"",IF(AND(L176&lt;0.05,OR(AND(J176="升高改善",K176&gt;0),AND(J176="降低改善",K176&lt;0))),"校正","不校正"))</f>
        <v/>
      </c>
      <c r="N176" s="214" t="inlineStr">
        <is>
          <t>Fig2，PDF7／印刷684，第1面板，实心三角 SI–Table；参与者 J.；Baseline A 与所有 Video 1–3 段，按图中时间顺序池化</t>
        </is>
      </c>
    </row>
    <row r="177" ht="45" customHeight="1" s="176">
      <c r="A177" s="212" t="inlineStr">
        <is>
          <t>K288</t>
        </is>
      </c>
      <c r="B177" s="212" t="inlineStr">
        <is>
          <t>039-二次</t>
        </is>
      </c>
      <c r="C177" s="212" t="inlineStr">
        <is>
          <t>J.</t>
        </is>
      </c>
      <c r="D177" s="213" t="inlineStr">
        <is>
          <t>维持</t>
        </is>
      </c>
      <c r="E177" s="214" t="inlineStr">
        <is>
          <t>Baseline A vs 1 个月＋2 个月 Follow-up</t>
        </is>
      </c>
      <c r="F177" s="216" t="inlineStr">
        <is>
          <t>300, 300, 300, 300, 300, 300, 300, 300, 300, 300, 300</t>
        </is>
      </c>
      <c r="G177" s="217">
        <f>IF(F177="","",LEN(F177)-LEN(SUBSTITUTE(F177,",",""))+1)</f>
        <v/>
      </c>
      <c r="H177" s="216" t="inlineStr">
        <is>
          <t>0, 0, 0, 0, 26, 0</t>
        </is>
      </c>
      <c r="I177" s="217">
        <f>IF(H177="","",LEN(H177)-LEN(SUBSTITUTE(H177,",",""))+1)</f>
        <v/>
      </c>
      <c r="J177" s="218" t="inlineStr">
        <is>
          <t>降低改善</t>
        </is>
      </c>
      <c r="K177" s="219" t="n">
        <v>0</v>
      </c>
      <c r="L177" s="219" t="n">
        <v>1</v>
      </c>
      <c r="M177" s="217">
        <f>IF(OR(K177="",L177=""),"",IF(AND(L177&lt;0.05,OR(AND(J177="升高改善",K177&gt;0),AND(J177="降低改善",K177&lt;0))),"校正","不校正"))</f>
        <v/>
      </c>
      <c r="N177" s="214" t="inlineStr">
        <is>
          <t>Fig2，PDF7／印刷684，第1面板，实心三角 SI–Table；参与者 J.；Baseline A 与 1-month/2-month Follow-up，每月3点</t>
        </is>
      </c>
    </row>
    <row r="178" ht="45" customHeight="1" s="176">
      <c r="A178" s="212" t="inlineStr">
        <is>
          <t>K289</t>
        </is>
      </c>
      <c r="B178" s="212" t="inlineStr">
        <is>
          <t>039-二次</t>
        </is>
      </c>
      <c r="C178" s="212" t="inlineStr">
        <is>
          <t>J.</t>
        </is>
      </c>
      <c r="D178" s="213" t="inlineStr">
        <is>
          <t>干预</t>
        </is>
      </c>
      <c r="E178" s="214" t="inlineStr">
        <is>
          <t>Baseline A vs Video 1–3 合并段（Video 4 不用）</t>
        </is>
      </c>
      <c r="F178" s="216" t="inlineStr">
        <is>
          <t>300, 300, 300, 300, 300, 300, 300, 300, 300, 300, 300</t>
        </is>
      </c>
      <c r="G178" s="217">
        <f>IF(F178="","",LEN(F178)-LEN(SUBSTITUTE(F178,",",""))+1)</f>
        <v/>
      </c>
      <c r="H178" s="216" t="inlineStr">
        <is>
          <t>2, 2, 2, 2, 2</t>
        </is>
      </c>
      <c r="I178" s="217">
        <f>IF(H178="","",LEN(H178)-LEN(SUBSTITUTE(H178,",",""))+1)</f>
        <v/>
      </c>
      <c r="J178" s="218" t="inlineStr">
        <is>
          <t>降低改善</t>
        </is>
      </c>
      <c r="K178" s="219" t="n">
        <v>0</v>
      </c>
      <c r="L178" s="219" t="n">
        <v>1</v>
      </c>
      <c r="M178" s="217">
        <f>IF(OR(K178="",L178=""),"",IF(AND(L178&lt;0.05,OR(AND(J178="升高改善",K178&gt;0),AND(J178="降低改善",K178&lt;0))),"校正","不校正"))</f>
        <v/>
      </c>
      <c r="N178" s="214" t="inlineStr">
        <is>
          <t>Fig2，PDF7／印刷684，第1面板，实心圆 SI–Rags；参与者 J.；Baseline A 与所有 Video 1–3 段，按图中时间顺序池化</t>
        </is>
      </c>
    </row>
    <row r="179" ht="45" customHeight="1" s="176">
      <c r="A179" s="212" t="inlineStr">
        <is>
          <t>K290</t>
        </is>
      </c>
      <c r="B179" s="212" t="inlineStr">
        <is>
          <t>039-二次</t>
        </is>
      </c>
      <c r="C179" s="212" t="inlineStr">
        <is>
          <t>J.</t>
        </is>
      </c>
      <c r="D179" s="213" t="inlineStr">
        <is>
          <t>维持</t>
        </is>
      </c>
      <c r="E179" s="214" t="inlineStr">
        <is>
          <t>Baseline A vs 1 个月＋2 个月 Follow-up</t>
        </is>
      </c>
      <c r="F179" s="216" t="inlineStr">
        <is>
          <t>300, 300, 300, 300, 300, 300, 300, 300, 300, 300, 300</t>
        </is>
      </c>
      <c r="G179" s="217">
        <f>IF(F179="","",LEN(F179)-LEN(SUBSTITUTE(F179,",",""))+1)</f>
        <v/>
      </c>
      <c r="H179" s="216" t="inlineStr">
        <is>
          <t>2, 2, 2, 2, 2, 2</t>
        </is>
      </c>
      <c r="I179" s="217">
        <f>IF(H179="","",LEN(H179)-LEN(SUBSTITUTE(H179,",",""))+1)</f>
        <v/>
      </c>
      <c r="J179" s="218" t="inlineStr">
        <is>
          <t>降低改善</t>
        </is>
      </c>
      <c r="K179" s="219" t="n">
        <v>0</v>
      </c>
      <c r="L179" s="219" t="n">
        <v>1</v>
      </c>
      <c r="M179" s="217">
        <f>IF(OR(K179="",L179=""),"",IF(AND(L179&lt;0.05,OR(AND(J179="升高改善",K179&gt;0),AND(J179="降低改善",K179&lt;0))),"校正","不校正"))</f>
        <v/>
      </c>
      <c r="N179" s="214" t="inlineStr">
        <is>
          <t>Fig2，PDF7／印刷684，第1面板，实心圆 SI–Rags；参与者 J.；Baseline A 与 1-month/2-month Follow-up，每月3点</t>
        </is>
      </c>
    </row>
    <row r="180" ht="45" customHeight="1" s="176">
      <c r="A180" s="201" t="inlineStr">
        <is>
          <t>K291</t>
        </is>
      </c>
      <c r="B180" s="201" t="inlineStr">
        <is>
          <t>039-二次</t>
        </is>
      </c>
      <c r="C180" s="201" t="inlineStr">
        <is>
          <t>J.</t>
        </is>
      </c>
      <c r="D180" s="202" t="inlineStr">
        <is>
          <t>干预</t>
        </is>
      </c>
      <c r="E180" s="178" t="inlineStr">
        <is>
          <t>Baseline A vs Video 1–3 合并段（Video 4 不用）</t>
        </is>
      </c>
      <c r="F180" s="178" t="inlineStr">
        <is>
          <t>0, 0, 0, 0, 0, 0</t>
        </is>
      </c>
      <c r="G180" s="201">
        <f>IF(F180="","",LEN(F180)-LEN(SUBSTITUTE(F180,",",""))+1)</f>
        <v/>
      </c>
      <c r="H180" s="178" t="inlineStr">
        <is>
          <t>0, 205, 275, 297, 165, 143, 107, 37, 299, 136</t>
        </is>
      </c>
      <c r="I180" s="201">
        <f>IF(H180="","",LEN(H180)-LEN(SUBSTITUTE(H180,",",""))+1)</f>
        <v/>
      </c>
      <c r="J180" s="202" t="inlineStr">
        <is>
          <t>升高改善</t>
        </is>
      </c>
      <c r="K180" s="203" t="n">
        <v>0</v>
      </c>
      <c r="L180" s="203" t="n">
        <v>1</v>
      </c>
      <c r="M180" s="201">
        <f>IF(OR(K180="",L180=""),"",IF(AND(L180&lt;0.05,OR(AND(J180="升高改善",K180&gt;0),AND(J180="降低改善",K180&lt;0))),"校正","不校正"))</f>
        <v/>
      </c>
      <c r="N180" s="178" t="inlineStr">
        <is>
          <t>Fig3，PDF8／印刷685，第1面板，空心方形主系列；参与者 J.；Baseline A 与所有 Video 1–3 段，按图中时间顺序池化</t>
        </is>
      </c>
    </row>
    <row r="181" ht="45" customHeight="1" s="176">
      <c r="A181" s="201" t="inlineStr">
        <is>
          <t>K292</t>
        </is>
      </c>
      <c r="B181" s="201" t="inlineStr">
        <is>
          <t>039-二次</t>
        </is>
      </c>
      <c r="C181" s="201" t="inlineStr">
        <is>
          <t>J.</t>
        </is>
      </c>
      <c r="D181" s="202" t="inlineStr">
        <is>
          <t>维持</t>
        </is>
      </c>
      <c r="E181" s="178" t="inlineStr">
        <is>
          <t>Baseline A vs 1 个月＋2 个月 Follow-up</t>
        </is>
      </c>
      <c r="F181" s="178" t="inlineStr">
        <is>
          <t>0, 0, 0, 0, 0, 0</t>
        </is>
      </c>
      <c r="G181" s="201">
        <f>IF(F181="","",LEN(F181)-LEN(SUBSTITUTE(F181,",",""))+1)</f>
        <v/>
      </c>
      <c r="H181" s="178" t="inlineStr">
        <is>
          <t>71, 80, 102, 58, 136, 75</t>
        </is>
      </c>
      <c r="I181" s="201">
        <f>IF(H181="","",LEN(H181)-LEN(SUBSTITUTE(H181,",",""))+1)</f>
        <v/>
      </c>
      <c r="J181" s="202" t="inlineStr">
        <is>
          <t>升高改善</t>
        </is>
      </c>
      <c r="K181" s="203" t="n">
        <v>0</v>
      </c>
      <c r="L181" s="203" t="n">
        <v>1</v>
      </c>
      <c r="M181" s="201">
        <f>IF(OR(K181="",L181=""),"",IF(AND(L181&lt;0.05,OR(AND(J181="升高改善",K181&gt;0),AND(J181="降低改善",K181&lt;0))),"校正","不校正"))</f>
        <v/>
      </c>
      <c r="N181" s="178" t="inlineStr">
        <is>
          <t>Fig3，PDF8／印刷685，第1面板，空心方形主系列；参与者 J.；Baseline A 与 1-month/2-month Follow-up，每月3点</t>
        </is>
      </c>
    </row>
    <row r="182" ht="45" customHeight="1" s="176">
      <c r="A182" s="212" t="inlineStr">
        <is>
          <t>K293</t>
        </is>
      </c>
      <c r="B182" s="212" t="inlineStr">
        <is>
          <t>039-二次</t>
        </is>
      </c>
      <c r="C182" s="212" t="inlineStr">
        <is>
          <t>P.</t>
        </is>
      </c>
      <c r="D182" s="213" t="inlineStr">
        <is>
          <t>干预</t>
        </is>
      </c>
      <c r="E182" s="214" t="inlineStr">
        <is>
          <t>Baseline A vs Video 1–3 合并段（Video 4 不用）</t>
        </is>
      </c>
      <c r="F182" s="204" t="inlineStr">
        <is>
          <t>300, 300, 300, 300, 300, 300, 300, 300, 300, 300, 300</t>
        </is>
      </c>
      <c r="G182" s="205">
        <f>IF(F182="","",LEN(F182)-LEN(SUBSTITUTE(F182,",",""))+1)</f>
        <v/>
      </c>
      <c r="H182" s="204" t="inlineStr">
        <is>
          <t>300, 17, 5, 3, 12, 12, 47, 2, 25, 3, 3, 3, 8, 2, 5, 2, 5, 3, 3</t>
        </is>
      </c>
      <c r="I182" s="205">
        <f>IF(H182="","",LEN(H182)-LEN(SUBSTITUTE(H182,",",""))+1)</f>
        <v/>
      </c>
      <c r="J182" s="206" t="inlineStr">
        <is>
          <t>降低改善</t>
        </is>
      </c>
      <c r="K182" s="207" t="n">
        <v>0</v>
      </c>
      <c r="L182" s="207" t="n">
        <v>1</v>
      </c>
      <c r="M182" s="205">
        <f>IF(OR(K182="",L182=""),"",IF(AND(L182&lt;0.05,OR(AND(J182="升高改善",K182&gt;0),AND(J182="降低改善",K182&lt;0))),"校正","不校正"))</f>
        <v/>
      </c>
      <c r="N182" s="214" t="inlineStr">
        <is>
          <t>Fig2，PDF7／印刷684，第2面板，空心圆 SI–Ball；参与者 P.；Baseline A 与所有 Video 1–3 段，按图中时间顺序池化</t>
        </is>
      </c>
    </row>
    <row r="183" ht="45" customHeight="1" s="176">
      <c r="A183" s="212" t="inlineStr">
        <is>
          <t>K294</t>
        </is>
      </c>
      <c r="B183" s="212" t="inlineStr">
        <is>
          <t>039-二次</t>
        </is>
      </c>
      <c r="C183" s="212" t="inlineStr">
        <is>
          <t>P.</t>
        </is>
      </c>
      <c r="D183" s="213" t="inlineStr">
        <is>
          <t>维持</t>
        </is>
      </c>
      <c r="E183" s="214" t="inlineStr">
        <is>
          <t>Baseline A vs 1 个月＋2 个月 Follow-up</t>
        </is>
      </c>
      <c r="F183" s="214" t="inlineStr">
        <is>
          <t>300, 300, 300, 300, 300, 300, 300, 300, 300, 300, 300</t>
        </is>
      </c>
      <c r="G183" s="212">
        <f>IF(F183="","",LEN(F183)-LEN(SUBSTITUTE(F183,",",""))+1)</f>
        <v/>
      </c>
      <c r="H183" s="214" t="inlineStr">
        <is>
          <t>8, 3, 3, 3, 12, 8</t>
        </is>
      </c>
      <c r="I183" s="212">
        <f>IF(H183="","",LEN(H183)-LEN(SUBSTITUTE(H183,",",""))+1)</f>
        <v/>
      </c>
      <c r="J183" s="213" t="inlineStr">
        <is>
          <t>降低改善</t>
        </is>
      </c>
      <c r="K183" s="215" t="n">
        <v>0</v>
      </c>
      <c r="L183" s="215" t="n">
        <v>1</v>
      </c>
      <c r="M183" s="212">
        <f>IF(OR(K183="",L183=""),"",IF(AND(L183&lt;0.05,OR(AND(J183="升高改善",K183&gt;0),AND(J183="降低改善",K183&lt;0))),"校正","不校正"))</f>
        <v/>
      </c>
      <c r="N183" s="214" t="inlineStr">
        <is>
          <t>Fig2，PDF7／印刷684，第2面板，空心圆 SI–Ball；参与者 P.；Baseline A 与 1-month/2-month Follow-up，每月3点</t>
        </is>
      </c>
    </row>
    <row r="184" ht="45" customHeight="1" s="176">
      <c r="A184" s="212" t="inlineStr">
        <is>
          <t>K295</t>
        </is>
      </c>
      <c r="B184" s="212" t="inlineStr">
        <is>
          <t>039-二次</t>
        </is>
      </c>
      <c r="C184" s="212" t="inlineStr">
        <is>
          <t>P.</t>
        </is>
      </c>
      <c r="D184" s="213" t="inlineStr">
        <is>
          <t>干预</t>
        </is>
      </c>
      <c r="E184" s="214" t="inlineStr">
        <is>
          <t>Baseline A vs Video 1–3 合并段（Video 4 不用）</t>
        </is>
      </c>
      <c r="F184" s="204" t="inlineStr">
        <is>
          <t>300, 300, 300, 300, 300, 300, 300, 300, 300, 300, 300, 300, 300, 300, 300, 300</t>
        </is>
      </c>
      <c r="G184" s="205">
        <f>IF(F184="","",LEN(F184)-LEN(SUBSTITUTE(F184,",",""))+1)</f>
        <v/>
      </c>
      <c r="H184" s="204" t="inlineStr">
        <is>
          <t>300, 300, 300, 300, 300, 300, 300, 300, 0, 3, 22, 3, 0, 0</t>
        </is>
      </c>
      <c r="I184" s="205">
        <f>IF(H184="","",LEN(H184)-LEN(SUBSTITUTE(H184,",",""))+1)</f>
        <v/>
      </c>
      <c r="J184" s="206" t="inlineStr">
        <is>
          <t>降低改善</t>
        </is>
      </c>
      <c r="K184" s="207" t="n">
        <v>0</v>
      </c>
      <c r="L184" s="207" t="n">
        <v>1</v>
      </c>
      <c r="M184" s="205">
        <f>IF(OR(K184="",L184=""),"",IF(AND(L184&lt;0.05,OR(AND(J184="升高改善",K184&gt;0),AND(J184="降低改善",K184&lt;0))),"校正","不校正"))</f>
        <v/>
      </c>
      <c r="N184" s="214" t="inlineStr">
        <is>
          <t>Fig2，PDF7／印刷684，第2面板，实心三角 SI–Table；参与者 P.；Baseline A 与所有 Video 1–3 段，按图中时间顺序池化</t>
        </is>
      </c>
    </row>
    <row r="185" ht="45" customHeight="1" s="176">
      <c r="A185" s="212" t="inlineStr">
        <is>
          <t>K296</t>
        </is>
      </c>
      <c r="B185" s="212" t="inlineStr">
        <is>
          <t>039-二次</t>
        </is>
      </c>
      <c r="C185" s="212" t="inlineStr">
        <is>
          <t>P.</t>
        </is>
      </c>
      <c r="D185" s="213" t="inlineStr">
        <is>
          <t>维持</t>
        </is>
      </c>
      <c r="E185" s="214" t="inlineStr">
        <is>
          <t>Baseline A vs 1 个月＋2 个月 Follow-up</t>
        </is>
      </c>
      <c r="F185" s="216" t="inlineStr">
        <is>
          <t>300, 300, 300, 300, 300, 300, 300, 300, 300, 300, 300, 300, 300, 300, 300, 300</t>
        </is>
      </c>
      <c r="G185" s="217">
        <f>IF(F185="","",LEN(F185)-LEN(SUBSTITUTE(F185,",",""))+1)</f>
        <v/>
      </c>
      <c r="H185" s="216" t="inlineStr">
        <is>
          <t>0, 0, 0, 8, 3, 3</t>
        </is>
      </c>
      <c r="I185" s="217">
        <f>IF(H185="","",LEN(H185)-LEN(SUBSTITUTE(H185,",",""))+1)</f>
        <v/>
      </c>
      <c r="J185" s="218" t="inlineStr">
        <is>
          <t>降低改善</t>
        </is>
      </c>
      <c r="K185" s="219" t="n">
        <v>0</v>
      </c>
      <c r="L185" s="219" t="n">
        <v>1</v>
      </c>
      <c r="M185" s="217">
        <f>IF(OR(K185="",L185=""),"",IF(AND(L185&lt;0.05,OR(AND(J185="升高改善",K185&gt;0),AND(J185="降低改善",K185&lt;0))),"校正","不校正"))</f>
        <v/>
      </c>
      <c r="N185" s="214" t="inlineStr">
        <is>
          <t>Fig2，PDF7／印刷684，第2面板，实心三角 SI–Table；参与者 P.；Baseline A 与 1-month/2-month Follow-up，每月3点</t>
        </is>
      </c>
    </row>
    <row r="186" ht="45" customHeight="1" s="176">
      <c r="A186" s="212" t="inlineStr">
        <is>
          <t>K297</t>
        </is>
      </c>
      <c r="B186" s="212" t="inlineStr">
        <is>
          <t>039-二次</t>
        </is>
      </c>
      <c r="C186" s="212" t="inlineStr">
        <is>
          <t>P.</t>
        </is>
      </c>
      <c r="D186" s="213" t="inlineStr">
        <is>
          <t>干预</t>
        </is>
      </c>
      <c r="E186" s="214" t="inlineStr">
        <is>
          <t>Baseline A vs Video 1–3 合并段（Video 4 不用）</t>
        </is>
      </c>
      <c r="F186" s="204" t="inlineStr">
        <is>
          <t>300, 300, 300, 300, 300, 300, 300, 300, 300, 300, 300, 300, 300, 300, 300, 300</t>
        </is>
      </c>
      <c r="G186" s="205">
        <f>IF(F186="","",LEN(F186)-LEN(SUBSTITUTE(F186,",",""))+1)</f>
        <v/>
      </c>
      <c r="H186" s="204" t="inlineStr">
        <is>
          <t>300, 300, 300, 300, 300, 300, 300, 300, 300, 15, 85, 12, 0, 0</t>
        </is>
      </c>
      <c r="I186" s="205">
        <f>IF(H186="","",LEN(H186)-LEN(SUBSTITUTE(H186,",",""))+1)</f>
        <v/>
      </c>
      <c r="J186" s="206" t="inlineStr">
        <is>
          <t>降低改善</t>
        </is>
      </c>
      <c r="K186" s="207" t="n">
        <v>0</v>
      </c>
      <c r="L186" s="207" t="n">
        <v>1</v>
      </c>
      <c r="M186" s="205">
        <f>IF(OR(K186="",L186=""),"",IF(AND(L186&lt;0.05,OR(AND(J186="升高改善",K186&gt;0),AND(J186="降低改善",K186&lt;0))),"校正","不校正"))</f>
        <v/>
      </c>
      <c r="N186" s="214" t="inlineStr">
        <is>
          <t>Fig2，PDF7／印刷684，第2面板，实心圆 SI–Rags；参与者 P.；Baseline A 与所有 Video 1–3 段，按图中时间顺序池化</t>
        </is>
      </c>
    </row>
    <row r="187" ht="45" customHeight="1" s="176">
      <c r="A187" s="212" t="inlineStr">
        <is>
          <t>K298</t>
        </is>
      </c>
      <c r="B187" s="212" t="inlineStr">
        <is>
          <t>039-二次</t>
        </is>
      </c>
      <c r="C187" s="212" t="inlineStr">
        <is>
          <t>P.</t>
        </is>
      </c>
      <c r="D187" s="213" t="inlineStr">
        <is>
          <t>维持</t>
        </is>
      </c>
      <c r="E187" s="214" t="inlineStr">
        <is>
          <t>Baseline A vs 1 个月＋2 个月 Follow-up</t>
        </is>
      </c>
      <c r="F187" s="216" t="inlineStr">
        <is>
          <t>300, 300, 300, 300, 300, 300, 300, 300, 300, 300, 300, 300, 300, 300, 300, 300</t>
        </is>
      </c>
      <c r="G187" s="217">
        <f>IF(F187="","",LEN(F187)-LEN(SUBSTITUTE(F187,",",""))+1)</f>
        <v/>
      </c>
      <c r="H187" s="216" t="inlineStr">
        <is>
          <t>2, 5, 2, 0, 0, 0</t>
        </is>
      </c>
      <c r="I187" s="217">
        <f>IF(H187="","",LEN(H187)-LEN(SUBSTITUTE(H187,",",""))+1)</f>
        <v/>
      </c>
      <c r="J187" s="218" t="inlineStr">
        <is>
          <t>降低改善</t>
        </is>
      </c>
      <c r="K187" s="219" t="n">
        <v>0</v>
      </c>
      <c r="L187" s="219" t="n">
        <v>1</v>
      </c>
      <c r="M187" s="217">
        <f>IF(OR(K187="",L187=""),"",IF(AND(L187&lt;0.05,OR(AND(J187="升高改善",K187&gt;0),AND(J187="降低改善",K187&lt;0))),"校正","不校正"))</f>
        <v/>
      </c>
      <c r="N187" s="214" t="inlineStr">
        <is>
          <t>Fig2，PDF7／印刷684，第2面板，实心圆 SI–Rags；参与者 P.；Baseline A 与 1-month/2-month Follow-up，每月3点</t>
        </is>
      </c>
    </row>
    <row r="188" ht="45" customHeight="1" s="176">
      <c r="A188" s="201" t="inlineStr">
        <is>
          <t>K299</t>
        </is>
      </c>
      <c r="B188" s="201" t="inlineStr">
        <is>
          <t>039-二次</t>
        </is>
      </c>
      <c r="C188" s="201" t="inlineStr">
        <is>
          <t>P.</t>
        </is>
      </c>
      <c r="D188" s="202" t="inlineStr">
        <is>
          <t>干预</t>
        </is>
      </c>
      <c r="E188" s="178" t="inlineStr">
        <is>
          <t>Baseline A vs Video 1–3 合并段（Video 4 不用）</t>
        </is>
      </c>
      <c r="F188" s="204" t="inlineStr">
        <is>
          <t>0, 0, 0, 0, 0, 0, 0, 0, 0, 0, 0</t>
        </is>
      </c>
      <c r="G188" s="205">
        <f>IF(F188="","",LEN(F188)-LEN(SUBSTITUTE(F188,",",""))+1)</f>
        <v/>
      </c>
      <c r="H188" s="204" t="inlineStr">
        <is>
          <t>0, 64, 67, 93, 96, 105, 108, 82, 108, 96, 127, 88, 64, 79, 72, 67, 110, 69, 60</t>
        </is>
      </c>
      <c r="I188" s="205">
        <f>IF(H188="","",LEN(H188)-LEN(SUBSTITUTE(H188,",",""))+1)</f>
        <v/>
      </c>
      <c r="J188" s="206" t="inlineStr">
        <is>
          <t>升高改善</t>
        </is>
      </c>
      <c r="K188" s="207" t="n">
        <v>0</v>
      </c>
      <c r="L188" s="207" t="n">
        <v>1</v>
      </c>
      <c r="M188" s="205">
        <f>IF(OR(K188="",L188=""),"",IF(AND(L188&lt;0.05,OR(AND(J188="升高改善",K188&gt;0),AND(J188="降低改善",K188&lt;0))),"校正","不校正"))</f>
        <v/>
      </c>
      <c r="N188" s="178" t="inlineStr">
        <is>
          <t>Fig3，PDF8／印刷685，第2面板，空心方形主系列；参与者 P.；Baseline A 与所有 Video 1–3 段，按图中时间顺序池化</t>
        </is>
      </c>
    </row>
    <row r="189" ht="45" customHeight="1" s="176">
      <c r="A189" s="201" t="inlineStr">
        <is>
          <t>K300</t>
        </is>
      </c>
      <c r="B189" s="201" t="inlineStr">
        <is>
          <t>039-二次</t>
        </is>
      </c>
      <c r="C189" s="201" t="inlineStr">
        <is>
          <t>P.</t>
        </is>
      </c>
      <c r="D189" s="202" t="inlineStr">
        <is>
          <t>维持</t>
        </is>
      </c>
      <c r="E189" s="178" t="inlineStr">
        <is>
          <t>Baseline A vs 1 个月＋2 个月 Follow-up</t>
        </is>
      </c>
      <c r="F189" s="178" t="inlineStr">
        <is>
          <t>0, 0, 0, 0, 0, 0, 0, 0, 0, 0, 0</t>
        </is>
      </c>
      <c r="G189" s="201">
        <f>IF(F189="","",LEN(F189)-LEN(SUBSTITUTE(F189,",",""))+1)</f>
        <v/>
      </c>
      <c r="H189" s="178" t="inlineStr">
        <is>
          <t>60, 53, 65, 76, 72, 45</t>
        </is>
      </c>
      <c r="I189" s="201">
        <f>IF(H189="","",LEN(H189)-LEN(SUBSTITUTE(H189,",",""))+1)</f>
        <v/>
      </c>
      <c r="J189" s="202" t="inlineStr">
        <is>
          <t>升高改善</t>
        </is>
      </c>
      <c r="K189" s="203" t="n">
        <v>0</v>
      </c>
      <c r="L189" s="203" t="n">
        <v>1</v>
      </c>
      <c r="M189" s="201">
        <f>IF(OR(K189="",L189=""),"",IF(AND(L189&lt;0.05,OR(AND(J189="升高改善",K189&gt;0),AND(J189="降低改善",K189&lt;0))),"校正","不校正"))</f>
        <v/>
      </c>
      <c r="N189" s="178" t="inlineStr">
        <is>
          <t>Fig3，PDF8／印刷685，第2面板，空心方形主系列；参与者 P.；Baseline A 与 1-month/2-month Follow-up，每月3点</t>
        </is>
      </c>
    </row>
    <row r="190" ht="45" customHeight="1" s="176">
      <c r="A190" s="212" t="inlineStr">
        <is>
          <t>K301</t>
        </is>
      </c>
      <c r="B190" s="212" t="inlineStr">
        <is>
          <t>039-二次</t>
        </is>
      </c>
      <c r="C190" s="212" t="inlineStr">
        <is>
          <t>S.</t>
        </is>
      </c>
      <c r="D190" s="213" t="inlineStr">
        <is>
          <t>干预</t>
        </is>
      </c>
      <c r="E190" s="214" t="inlineStr">
        <is>
          <t>Baseline A vs Video 1–3 合并段（Video 4 不用）</t>
        </is>
      </c>
      <c r="F190" s="214" t="inlineStr">
        <is>
          <t>300, 300, 300, 300, 300, 300, 300, 300, 300, 300, 300, 300, 300, 300, 300, 300</t>
        </is>
      </c>
      <c r="G190" s="212">
        <f>IF(F190="","",LEN(F190)-LEN(SUBSTITUTE(F190,",",""))+1)</f>
        <v/>
      </c>
      <c r="H190" s="214" t="inlineStr">
        <is>
          <t>98, 300, 12, 7, 9, 300, 300, 24, 7, 4, 4, 6, 2, 74, 2, 2, 2, 2, 2, 6, 7, 2, 11, 2</t>
        </is>
      </c>
      <c r="I190" s="212">
        <f>IF(H190="","",LEN(H190)-LEN(SUBSTITUTE(H190,",",""))+1)</f>
        <v/>
      </c>
      <c r="J190" s="213" t="inlineStr">
        <is>
          <t>降低改善</t>
        </is>
      </c>
      <c r="K190" s="215" t="n">
        <v>0</v>
      </c>
      <c r="L190" s="215" t="n">
        <v>1</v>
      </c>
      <c r="M190" s="212">
        <f>IF(OR(K190="",L190=""),"",IF(AND(L190&lt;0.05,OR(AND(J190="升高改善",K190&gt;0),AND(J190="降低改善",K190&lt;0))),"校正","不校正"))</f>
        <v/>
      </c>
      <c r="N190" s="214" t="inlineStr">
        <is>
          <t>Fig2，PDF7／印刷684，第3面板，空心圆 SI–Ball；参与者 S.；Baseline A 与所有 Video 1–3 段，按图中时间顺序池化</t>
        </is>
      </c>
    </row>
    <row r="191" ht="45" customHeight="1" s="176">
      <c r="A191" s="212" t="inlineStr">
        <is>
          <t>K302</t>
        </is>
      </c>
      <c r="B191" s="212" t="inlineStr">
        <is>
          <t>039-二次</t>
        </is>
      </c>
      <c r="C191" s="212" t="inlineStr">
        <is>
          <t>S.</t>
        </is>
      </c>
      <c r="D191" s="213" t="inlineStr">
        <is>
          <t>维持</t>
        </is>
      </c>
      <c r="E191" s="214" t="inlineStr">
        <is>
          <t>Baseline A vs 1 个月＋2 个月 Follow-up</t>
        </is>
      </c>
      <c r="F191" s="214" t="inlineStr">
        <is>
          <t>300, 300, 300, 300, 300, 300, 300, 300, 300, 300, 300, 300, 300, 300, 300, 300</t>
        </is>
      </c>
      <c r="G191" s="212">
        <f>IF(F191="","",LEN(F191)-LEN(SUBSTITUTE(F191,",",""))+1)</f>
        <v/>
      </c>
      <c r="H191" s="214" t="inlineStr">
        <is>
          <t>1, 1, 1, 4, 2, 10</t>
        </is>
      </c>
      <c r="I191" s="212">
        <f>IF(H191="","",LEN(H191)-LEN(SUBSTITUTE(H191,",",""))+1)</f>
        <v/>
      </c>
      <c r="J191" s="213" t="inlineStr">
        <is>
          <t>降低改善</t>
        </is>
      </c>
      <c r="K191" s="215" t="n">
        <v>0</v>
      </c>
      <c r="L191" s="215" t="n">
        <v>1</v>
      </c>
      <c r="M191" s="212">
        <f>IF(OR(K191="",L191=""),"",IF(AND(L191&lt;0.05,OR(AND(J191="升高改善",K191&gt;0),AND(J191="降低改善",K191&lt;0))),"校正","不校正"))</f>
        <v/>
      </c>
      <c r="N191" s="214" t="inlineStr">
        <is>
          <t>Fig2，PDF7／印刷684，第3面板，空心圆 SI–Ball；参与者 S.；Baseline A 与 1-month/2-month Follow-up，每月3点</t>
        </is>
      </c>
    </row>
    <row r="192" ht="45" customHeight="1" s="176">
      <c r="A192" s="212" t="inlineStr">
        <is>
          <t>K303</t>
        </is>
      </c>
      <c r="B192" s="212" t="inlineStr">
        <is>
          <t>039-二次</t>
        </is>
      </c>
      <c r="C192" s="212" t="inlineStr">
        <is>
          <t>S.</t>
        </is>
      </c>
      <c r="D192" s="213" t="inlineStr">
        <is>
          <t>干预</t>
        </is>
      </c>
      <c r="E192" s="214" t="inlineStr">
        <is>
          <t>Baseline A vs Video 1–3 合并段（Video 4 不用）</t>
        </is>
      </c>
      <c r="F192" s="216" t="inlineStr">
        <is>
          <t>300, 300, 300, 300, 300, 300, 300, 300, 300, 300, 300, 300, 300, 300, 300, 300, 300, 300, 300, 300, 300</t>
        </is>
      </c>
      <c r="G192" s="217">
        <f>IF(F192="","",LEN(F192)-LEN(SUBSTITUTE(F192,",",""))+1)</f>
        <v/>
      </c>
      <c r="H192" s="216" t="inlineStr">
        <is>
          <t>300, 300, 300, 300, 300, 300, 300, 300, 300, 300, 300, 300, 29, 5, 12, 2, 5, 5, 7</t>
        </is>
      </c>
      <c r="I192" s="217">
        <f>IF(H192="","",LEN(H192)-LEN(SUBSTITUTE(H192,",",""))+1)</f>
        <v/>
      </c>
      <c r="J192" s="218" t="inlineStr">
        <is>
          <t>降低改善</t>
        </is>
      </c>
      <c r="K192" s="219" t="n">
        <v>0</v>
      </c>
      <c r="L192" s="219" t="n">
        <v>1</v>
      </c>
      <c r="M192" s="217">
        <f>IF(OR(K192="",L192=""),"",IF(AND(L192&lt;0.05,OR(AND(J192="升高改善",K192&gt;0),AND(J192="降低改善",K192&lt;0))),"校正","不校正"))</f>
        <v/>
      </c>
      <c r="N192" s="214" t="inlineStr">
        <is>
          <t>Fig2，PDF7／印刷684，第3面板，实心三角 SI–Table；参与者 S.；Baseline A 与所有 Video 1–3 段，按图中时间顺序池化</t>
        </is>
      </c>
    </row>
    <row r="193" ht="45" customHeight="1" s="176">
      <c r="A193" s="212" t="inlineStr">
        <is>
          <t>K304</t>
        </is>
      </c>
      <c r="B193" s="212" t="inlineStr">
        <is>
          <t>039-二次</t>
        </is>
      </c>
      <c r="C193" s="212" t="inlineStr">
        <is>
          <t>S.</t>
        </is>
      </c>
      <c r="D193" s="213" t="inlineStr">
        <is>
          <t>维持</t>
        </is>
      </c>
      <c r="E193" s="214" t="inlineStr">
        <is>
          <t>Baseline A vs 1 个月＋2 个月 Follow-up</t>
        </is>
      </c>
      <c r="F193" s="216" t="inlineStr">
        <is>
          <t>300, 300, 300, 300, 300, 300, 300, 300, 300, 300, 300, 300, 300, 300, 300, 300, 300, 300, 300, 300, 300</t>
        </is>
      </c>
      <c r="G193" s="217">
        <f>IF(F193="","",LEN(F193)-LEN(SUBSTITUTE(F193,",",""))+1)</f>
        <v/>
      </c>
      <c r="H193" s="216" t="inlineStr">
        <is>
          <t>0, 0, 0, 10, 30, 5</t>
        </is>
      </c>
      <c r="I193" s="217">
        <f>IF(H193="","",LEN(H193)-LEN(SUBSTITUTE(H193,",",""))+1)</f>
        <v/>
      </c>
      <c r="J193" s="218" t="inlineStr">
        <is>
          <t>降低改善</t>
        </is>
      </c>
      <c r="K193" s="219" t="n">
        <v>0</v>
      </c>
      <c r="L193" s="219" t="n">
        <v>1</v>
      </c>
      <c r="M193" s="217">
        <f>IF(OR(K193="",L193=""),"",IF(AND(L193&lt;0.05,OR(AND(J193="升高改善",K193&gt;0),AND(J193="降低改善",K193&lt;0))),"校正","不校正"))</f>
        <v/>
      </c>
      <c r="N193" s="214" t="inlineStr">
        <is>
          <t>Fig2，PDF7／印刷684，第3面板，实心三角 SI–Table；参与者 S.；Baseline A 与 1-month/2-month Follow-up，每月3点</t>
        </is>
      </c>
    </row>
    <row r="194" ht="45" customHeight="1" s="176">
      <c r="A194" s="212" t="inlineStr">
        <is>
          <t>K305</t>
        </is>
      </c>
      <c r="B194" s="212" t="inlineStr">
        <is>
          <t>039-二次</t>
        </is>
      </c>
      <c r="C194" s="212" t="inlineStr">
        <is>
          <t>S.</t>
        </is>
      </c>
      <c r="D194" s="213" t="inlineStr">
        <is>
          <t>干预</t>
        </is>
      </c>
      <c r="E194" s="214" t="inlineStr">
        <is>
          <t>Baseline A vs Video 1–3 合并段（Video 4 不用）</t>
        </is>
      </c>
      <c r="F194" s="204" t="inlineStr">
        <is>
          <t>300, 300, 300, 300, 300, 300, 300, 300, 300, 300, 300, 300, 300, 300, 300, 300, 300, 300, 300, 300, 300</t>
        </is>
      </c>
      <c r="G194" s="205">
        <f>IF(F194="","",LEN(F194)-LEN(SUBSTITUTE(F194,",",""))+1)</f>
        <v/>
      </c>
      <c r="H194" s="204" t="inlineStr">
        <is>
          <t>300, 300, 300, 300, 300, 300, 55, 300, 300, 300, 300, 300, 300, 300, 300, 300, 14, 14, 5</t>
        </is>
      </c>
      <c r="I194" s="205">
        <f>IF(H194="","",LEN(H194)-LEN(SUBSTITUTE(H194,",",""))+1)</f>
        <v/>
      </c>
      <c r="J194" s="206" t="inlineStr">
        <is>
          <t>降低改善</t>
        </is>
      </c>
      <c r="K194" s="207" t="n">
        <v>0</v>
      </c>
      <c r="L194" s="207" t="n">
        <v>1</v>
      </c>
      <c r="M194" s="205">
        <f>IF(OR(K194="",L194=""),"",IF(AND(L194&lt;0.05,OR(AND(J194="升高改善",K194&gt;0),AND(J194="降低改善",K194&lt;0))),"校正","不校正"))</f>
        <v/>
      </c>
      <c r="N194" s="214" t="inlineStr">
        <is>
          <t>Fig2，PDF7／印刷684，第3面板，实心圆 SI–Rags；参与者 S.；Baseline A 与所有 Video 1–3 段，按图中时间顺序池化</t>
        </is>
      </c>
    </row>
    <row r="195" ht="45" customHeight="1" s="176">
      <c r="A195" s="212" t="inlineStr">
        <is>
          <t>K306</t>
        </is>
      </c>
      <c r="B195" s="212" t="inlineStr">
        <is>
          <t>039-二次</t>
        </is>
      </c>
      <c r="C195" s="212" t="inlineStr">
        <is>
          <t>S.</t>
        </is>
      </c>
      <c r="D195" s="213" t="inlineStr">
        <is>
          <t>维持</t>
        </is>
      </c>
      <c r="E195" s="214" t="inlineStr">
        <is>
          <t>Baseline A vs 1 个月＋2 个月 Follow-up</t>
        </is>
      </c>
      <c r="F195" s="216" t="inlineStr">
        <is>
          <t>300, 300, 300, 300, 300, 300, 300, 300, 300, 300, 300, 300, 300, 300, 300, 300, 300, 300, 300, 300, 300</t>
        </is>
      </c>
      <c r="G195" s="217">
        <f>IF(F195="","",LEN(F195)-LEN(SUBSTITUTE(F195,",",""))+1)</f>
        <v/>
      </c>
      <c r="H195" s="216" t="inlineStr">
        <is>
          <t>12, 5, 12, 6, 24, 0</t>
        </is>
      </c>
      <c r="I195" s="217">
        <f>IF(H195="","",LEN(H195)-LEN(SUBSTITUTE(H195,",",""))+1)</f>
        <v/>
      </c>
      <c r="J195" s="218" t="inlineStr">
        <is>
          <t>降低改善</t>
        </is>
      </c>
      <c r="K195" s="219" t="n">
        <v>0</v>
      </c>
      <c r="L195" s="219" t="n">
        <v>1</v>
      </c>
      <c r="M195" s="217">
        <f>IF(OR(K195="",L195=""),"",IF(AND(L195&lt;0.05,OR(AND(J195="升高改善",K195&gt;0),AND(J195="降低改善",K195&lt;0))),"校正","不校正"))</f>
        <v/>
      </c>
      <c r="N195" s="214" t="inlineStr">
        <is>
          <t>Fig2，PDF7／印刷684，第3面板，实心圆 SI–Rags；参与者 S.；Baseline A 与 1-month/2-month Follow-up，每月3点</t>
        </is>
      </c>
    </row>
    <row r="196" ht="45" customHeight="1" s="176">
      <c r="A196" s="201" t="inlineStr">
        <is>
          <t>K307</t>
        </is>
      </c>
      <c r="B196" s="201" t="inlineStr">
        <is>
          <t>039-二次</t>
        </is>
      </c>
      <c r="C196" s="201" t="inlineStr">
        <is>
          <t>S.</t>
        </is>
      </c>
      <c r="D196" s="202" t="inlineStr">
        <is>
          <t>干预</t>
        </is>
      </c>
      <c r="E196" s="178" t="inlineStr">
        <is>
          <t>Baseline A vs Video 1–3 合并段（Video 4 不用）</t>
        </is>
      </c>
      <c r="F196" s="178" t="inlineStr">
        <is>
          <t>0, 0, 0, 0, 0, 0, 0, 0, 0, 0, 0, 0, 0, 0, 0, 0</t>
        </is>
      </c>
      <c r="G196" s="201">
        <f>IF(F196="","",LEN(F196)-LEN(SUBSTITUTE(F196,",",""))+1)</f>
        <v/>
      </c>
      <c r="H196" s="178" t="inlineStr">
        <is>
          <t>175, 0, 148, 32, 34, 0, 0, 68, 66, 150, 56, 59, 66, 81, 66, 86, 39, 108, 89, 68, 36, 46, 68, 58</t>
        </is>
      </c>
      <c r="I196" s="201">
        <f>IF(H196="","",LEN(H196)-LEN(SUBSTITUTE(H196,",",""))+1)</f>
        <v/>
      </c>
      <c r="J196" s="202" t="inlineStr">
        <is>
          <t>升高改善</t>
        </is>
      </c>
      <c r="K196" s="203" t="n">
        <v>0</v>
      </c>
      <c r="L196" s="203" t="n">
        <v>1</v>
      </c>
      <c r="M196" s="201">
        <f>IF(OR(K196="",L196=""),"",IF(AND(L196&lt;0.05,OR(AND(J196="升高改善",K196&gt;0),AND(J196="降低改善",K196&lt;0))),"校正","不校正"))</f>
        <v/>
      </c>
      <c r="N196" s="178" t="inlineStr">
        <is>
          <t>Fig3，PDF8／印刷685，第3面板，空心方形主系列；参与者 S.；Baseline A 与所有 Video 1–3 段，按图中时间顺序池化</t>
        </is>
      </c>
    </row>
    <row r="197" ht="45" customHeight="1" s="176">
      <c r="A197" s="201" t="inlineStr">
        <is>
          <t>K308</t>
        </is>
      </c>
      <c r="B197" s="201" t="inlineStr">
        <is>
          <t>039-二次</t>
        </is>
      </c>
      <c r="C197" s="201" t="inlineStr">
        <is>
          <t>S.</t>
        </is>
      </c>
      <c r="D197" s="202" t="inlineStr">
        <is>
          <t>维持</t>
        </is>
      </c>
      <c r="E197" s="178" t="inlineStr">
        <is>
          <t>Baseline A vs 1 个月＋2 个月 Follow-up</t>
        </is>
      </c>
      <c r="F197" s="178" t="inlineStr">
        <is>
          <t>0, 0, 0, 0, 0, 0, 0, 0, 0, 0, 0, 0, 0, 0, 0, 0</t>
        </is>
      </c>
      <c r="G197" s="201">
        <f>IF(F197="","",LEN(F197)-LEN(SUBSTITUTE(F197,",",""))+1)</f>
        <v/>
      </c>
      <c r="H197" s="178" t="inlineStr">
        <is>
          <t>49, 50, 54, 123, 60, 129</t>
        </is>
      </c>
      <c r="I197" s="201">
        <f>IF(H197="","",LEN(H197)-LEN(SUBSTITUTE(H197,",",""))+1)</f>
        <v/>
      </c>
      <c r="J197" s="202" t="inlineStr">
        <is>
          <t>升高改善</t>
        </is>
      </c>
      <c r="K197" s="203" t="n">
        <v>0</v>
      </c>
      <c r="L197" s="203" t="n">
        <v>1</v>
      </c>
      <c r="M197" s="201">
        <f>IF(OR(K197="",L197=""),"",IF(AND(L197&lt;0.05,OR(AND(J197="升高改善",K197&gt;0),AND(J197="降低改善",K197&lt;0))),"校正","不校正"))</f>
        <v/>
      </c>
      <c r="N197" s="178" t="inlineStr">
        <is>
          <t>Fig3，PDF8／印刷685，第3面板，空心方形主系列；参与者 S.；Baseline A 与 1-month/2-month Follow-up，每月3点</t>
        </is>
      </c>
    </row>
    <row r="198" ht="45" customHeight="1" s="176">
      <c r="A198" s="212" t="inlineStr">
        <is>
          <t>K341</t>
        </is>
      </c>
      <c r="B198" s="212" t="inlineStr">
        <is>
          <t>043-二次</t>
        </is>
      </c>
      <c r="C198" s="212" t="inlineStr">
        <is>
          <t>Daniel</t>
        </is>
      </c>
      <c r="D198" s="213" t="inlineStr">
        <is>
          <t>干预</t>
        </is>
      </c>
      <c r="E198" s="214" t="inlineStr">
        <is>
          <t>A vs B1/B2/C 视频示范期合并</t>
        </is>
      </c>
      <c r="F198" s="208" t="inlineStr">
        <is>
          <t>300, 300, 300, 300, 300, 300</t>
        </is>
      </c>
      <c r="G198" s="209">
        <f>IF(F198="","",LEN(F198)-LEN(SUBSTITUTE(F198,",",""))+1)</f>
        <v/>
      </c>
      <c r="H198" s="208" t="inlineStr">
        <is>
          <t>6, 4, 7, 6, 11, 7</t>
        </is>
      </c>
      <c r="I198" s="209">
        <f>IF(H198="","",LEN(H198)-LEN(SUBSTITUTE(H198,",",""))+1)</f>
        <v/>
      </c>
      <c r="J198" s="210" t="inlineStr">
        <is>
          <t>降低改善</t>
        </is>
      </c>
      <c r="K198" s="211" t="n">
        <v>0</v>
      </c>
      <c r="L198" s="211" t="n">
        <v>1</v>
      </c>
      <c r="M198" s="209">
        <f>IF(OR(K198="",L198=""),"",IF(AND(L198&lt;0.05,OR(AND(J198="升高改善",K198&gt;0),AND(J198="降低改善",K198&lt;0))),"校正","不校正"))</f>
        <v/>
      </c>
      <c r="N198" s="214" t="inlineStr">
        <is>
          <t>Figure1，PDF3/页95，第1面板Daniel；B1-C1图例系列</t>
        </is>
      </c>
    </row>
    <row r="199" ht="45" customHeight="1" s="176">
      <c r="A199" s="212" t="inlineStr">
        <is>
          <t>K342</t>
        </is>
      </c>
      <c r="B199" s="212" t="inlineStr">
        <is>
          <t>043-二次</t>
        </is>
      </c>
      <c r="C199" s="212" t="inlineStr">
        <is>
          <t>Daniel</t>
        </is>
      </c>
      <c r="D199" s="213" t="inlineStr">
        <is>
          <t>维持</t>
        </is>
      </c>
      <c r="E199" s="214" t="inlineStr">
        <is>
          <t>A vs 1 个月＋3 个月 Follow-up</t>
        </is>
      </c>
      <c r="F199" s="208" t="inlineStr">
        <is>
          <t>300, 300, 300, 300, 300, 300</t>
        </is>
      </c>
      <c r="G199" s="209">
        <f>IF(F199="","",LEN(F199)-LEN(SUBSTITUTE(F199,",",""))+1)</f>
        <v/>
      </c>
      <c r="H199" s="208" t="inlineStr">
        <is>
          <t>9, 8, 7, 5</t>
        </is>
      </c>
      <c r="I199" s="209">
        <f>IF(H199="","",LEN(H199)-LEN(SUBSTITUTE(H199,",",""))+1)</f>
        <v/>
      </c>
      <c r="J199" s="210" t="inlineStr">
        <is>
          <t>降低改善</t>
        </is>
      </c>
      <c r="K199" s="211" t="n">
        <v>0</v>
      </c>
      <c r="L199" s="211" t="n">
        <v>1</v>
      </c>
      <c r="M199" s="209">
        <f>IF(OR(K199="",L199=""),"",IF(AND(L199&lt;0.05,OR(AND(J199="升高改善",K199&gt;0),AND(J199="降低改善",K199&lt;0))),"校正","不校正"))</f>
        <v/>
      </c>
      <c r="N199" s="214" t="inlineStr">
        <is>
          <t>Figure1，PDF3/页95，第1面板Daniel；B1-C1图例系列</t>
        </is>
      </c>
    </row>
    <row r="200" ht="45" customHeight="1" s="176">
      <c r="A200" s="201" t="inlineStr">
        <is>
          <t>K343</t>
        </is>
      </c>
      <c r="B200" s="201" t="inlineStr">
        <is>
          <t>043-二次</t>
        </is>
      </c>
      <c r="C200" s="201" t="inlineStr">
        <is>
          <t>Daniel</t>
        </is>
      </c>
      <c r="D200" s="202" t="inlineStr">
        <is>
          <t>干预</t>
        </is>
      </c>
      <c r="E200" s="178" t="inlineStr">
        <is>
          <t>A vs B1/B2/C 视频示范期合并</t>
        </is>
      </c>
      <c r="F200" s="208" t="inlineStr">
        <is>
          <t>0, 0, 0, 0, 0, 0</t>
        </is>
      </c>
      <c r="G200" s="209">
        <f>IF(F200="","",LEN(F200)-LEN(SUBSTITUTE(F200,",",""))+1)</f>
        <v/>
      </c>
      <c r="H200" s="208" t="inlineStr">
        <is>
          <t>58, 38, 23, 68, 33, 38</t>
        </is>
      </c>
      <c r="I200" s="209">
        <f>IF(H200="","",LEN(H200)-LEN(SUBSTITUTE(H200,",",""))+1)</f>
        <v/>
      </c>
      <c r="J200" s="210" t="inlineStr">
        <is>
          <t>升高改善</t>
        </is>
      </c>
      <c r="K200" s="211" t="n">
        <v>0</v>
      </c>
      <c r="L200" s="211" t="n">
        <v>1</v>
      </c>
      <c r="M200" s="209">
        <f>IF(OR(K200="",L200=""),"",IF(AND(L200&lt;0.05,OR(AND(J200="升高改善",K200&gt;0),AND(J200="降低改善",K200&lt;0))),"校正","不校正"))</f>
        <v/>
      </c>
      <c r="N200" s="178" t="inlineStr">
        <is>
          <t>Figure1，PDF3/页95，第1面板Daniel；B2-C3图例系列</t>
        </is>
      </c>
    </row>
    <row r="201" ht="45" customHeight="1" s="176">
      <c r="A201" s="201" t="inlineStr">
        <is>
          <t>K344</t>
        </is>
      </c>
      <c r="B201" s="201" t="inlineStr">
        <is>
          <t>043-二次</t>
        </is>
      </c>
      <c r="C201" s="201" t="inlineStr">
        <is>
          <t>Daniel</t>
        </is>
      </c>
      <c r="D201" s="202" t="inlineStr">
        <is>
          <t>维持</t>
        </is>
      </c>
      <c r="E201" s="178" t="inlineStr">
        <is>
          <t>A vs 1 个月＋3 个月 Follow-up</t>
        </is>
      </c>
      <c r="F201" s="208" t="inlineStr">
        <is>
          <t>0, 0, 0, 0, 0, 0</t>
        </is>
      </c>
      <c r="G201" s="209">
        <f>IF(F201="","",LEN(F201)-LEN(SUBSTITUTE(F201,",",""))+1)</f>
        <v/>
      </c>
      <c r="H201" s="208" t="inlineStr">
        <is>
          <t>22, 44, 300, 165</t>
        </is>
      </c>
      <c r="I201" s="209">
        <f>IF(H201="","",LEN(H201)-LEN(SUBSTITUTE(H201,",",""))+1)</f>
        <v/>
      </c>
      <c r="J201" s="210" t="inlineStr">
        <is>
          <t>升高改善</t>
        </is>
      </c>
      <c r="K201" s="211" t="n">
        <v>0</v>
      </c>
      <c r="L201" s="211" t="n">
        <v>1</v>
      </c>
      <c r="M201" s="209">
        <f>IF(OR(K201="",L201=""),"",IF(AND(L201&lt;0.05,OR(AND(J201="升高改善",K201&gt;0),AND(J201="降低改善",K201&lt;0))),"校正","不校正"))</f>
        <v/>
      </c>
      <c r="N201" s="178" t="inlineStr">
        <is>
          <t>Figure1，PDF3/页95，第1面板Daniel；B2-C3图例系列</t>
        </is>
      </c>
    </row>
    <row r="202" ht="45" customHeight="1" s="176">
      <c r="A202" s="212" t="inlineStr">
        <is>
          <t>K345</t>
        </is>
      </c>
      <c r="B202" s="212" t="inlineStr">
        <is>
          <t>043-二次</t>
        </is>
      </c>
      <c r="C202" s="212" t="inlineStr">
        <is>
          <t>Christopher</t>
        </is>
      </c>
      <c r="D202" s="213" t="inlineStr">
        <is>
          <t>干预</t>
        </is>
      </c>
      <c r="E202" s="214" t="inlineStr">
        <is>
          <t>A vs B1/B2/C 视频示范期合并</t>
        </is>
      </c>
      <c r="F202" s="208" t="inlineStr">
        <is>
          <t>300, 300, 300, 300, 300, 300, 300, 300, 300</t>
        </is>
      </c>
      <c r="G202" s="209">
        <f>IF(F202="","",LEN(F202)-LEN(SUBSTITUTE(F202,",",""))+1)</f>
        <v/>
      </c>
      <c r="H202" s="208" t="inlineStr">
        <is>
          <t>300, 300, 300, 5, 300, 6, 6, 5, 5, 5, 4, 7</t>
        </is>
      </c>
      <c r="I202" s="209">
        <f>IF(H202="","",LEN(H202)-LEN(SUBSTITUTE(H202,",",""))+1)</f>
        <v/>
      </c>
      <c r="J202" s="210" t="inlineStr">
        <is>
          <t>降低改善</t>
        </is>
      </c>
      <c r="K202" s="211" t="n">
        <v>0</v>
      </c>
      <c r="L202" s="211" t="n">
        <v>1</v>
      </c>
      <c r="M202" s="209">
        <f>IF(OR(K202="",L202=""),"",IF(AND(L202&lt;0.05,OR(AND(J202="升高改善",K202&gt;0),AND(J202="降低改善",K202&lt;0))),"校正","不校正"))</f>
        <v/>
      </c>
      <c r="N202" s="214" t="inlineStr">
        <is>
          <t>Figure1，PDF3/页95，第2面板Christopher；B1-C1图例系列</t>
        </is>
      </c>
    </row>
    <row r="203" ht="45" customHeight="1" s="176">
      <c r="A203" s="212" t="inlineStr">
        <is>
          <t>K346</t>
        </is>
      </c>
      <c r="B203" s="212" t="inlineStr">
        <is>
          <t>043-二次</t>
        </is>
      </c>
      <c r="C203" s="212" t="inlineStr">
        <is>
          <t>Christopher</t>
        </is>
      </c>
      <c r="D203" s="213" t="inlineStr">
        <is>
          <t>维持</t>
        </is>
      </c>
      <c r="E203" s="214" t="inlineStr">
        <is>
          <t>A vs 1 个月＋3 个月 Follow-up</t>
        </is>
      </c>
      <c r="F203" s="208" t="inlineStr">
        <is>
          <t>300, 300, 300, 300, 300, 300, 300, 300, 300</t>
        </is>
      </c>
      <c r="G203" s="209">
        <f>IF(F203="","",LEN(F203)-LEN(SUBSTITUTE(F203,",",""))+1)</f>
        <v/>
      </c>
      <c r="H203" s="208" t="inlineStr">
        <is>
          <t>8, 9, 6, 7</t>
        </is>
      </c>
      <c r="I203" s="209">
        <f>IF(H203="","",LEN(H203)-LEN(SUBSTITUTE(H203,",",""))+1)</f>
        <v/>
      </c>
      <c r="J203" s="210" t="inlineStr">
        <is>
          <t>降低改善</t>
        </is>
      </c>
      <c r="K203" s="211" t="n">
        <v>0</v>
      </c>
      <c r="L203" s="211" t="n">
        <v>1</v>
      </c>
      <c r="M203" s="209">
        <f>IF(OR(K203="",L203=""),"",IF(AND(L203&lt;0.05,OR(AND(J203="升高改善",K203&gt;0),AND(J203="降低改善",K203&lt;0))),"校正","不校正"))</f>
        <v/>
      </c>
      <c r="N203" s="214" t="inlineStr">
        <is>
          <t>Figure1，PDF3/页95，第2面板Christopher；B1-C1图例系列</t>
        </is>
      </c>
    </row>
    <row r="204" ht="45" customHeight="1" s="176">
      <c r="A204" s="201" t="inlineStr">
        <is>
          <t>K347</t>
        </is>
      </c>
      <c r="B204" s="201" t="inlineStr">
        <is>
          <t>043-二次</t>
        </is>
      </c>
      <c r="C204" s="201" t="inlineStr">
        <is>
          <t>Christopher</t>
        </is>
      </c>
      <c r="D204" s="202" t="inlineStr">
        <is>
          <t>干预</t>
        </is>
      </c>
      <c r="E204" s="178" t="inlineStr">
        <is>
          <t>A vs B1/B2/C 视频示范期合并</t>
        </is>
      </c>
      <c r="F204" s="208" t="inlineStr">
        <is>
          <t>0, 0, 0, 0, 0, 0, 0, 0, 0</t>
        </is>
      </c>
      <c r="G204" s="209">
        <f>IF(F204="","",LEN(F204)-LEN(SUBSTITUTE(F204,",",""))+1)</f>
        <v/>
      </c>
      <c r="H204" s="208" t="inlineStr">
        <is>
          <t>0, 0, 0, 90, 0, 99, 45, 45, 52, 179, 163, 162</t>
        </is>
      </c>
      <c r="I204" s="209">
        <f>IF(H204="","",LEN(H204)-LEN(SUBSTITUTE(H204,",",""))+1)</f>
        <v/>
      </c>
      <c r="J204" s="210" t="inlineStr">
        <is>
          <t>升高改善</t>
        </is>
      </c>
      <c r="K204" s="211" t="n">
        <v>0</v>
      </c>
      <c r="L204" s="211" t="n">
        <v>1</v>
      </c>
      <c r="M204" s="209">
        <f>IF(OR(K204="",L204=""),"",IF(AND(L204&lt;0.05,OR(AND(J204="升高改善",K204&gt;0),AND(J204="降低改善",K204&lt;0))),"校正","不校正"))</f>
        <v/>
      </c>
      <c r="N204" s="178" t="inlineStr">
        <is>
          <t>Figure1，PDF3/页95，第2面板Christopher；B2-C3图例系列</t>
        </is>
      </c>
    </row>
    <row r="205" ht="45" customHeight="1" s="176">
      <c r="A205" s="201" t="inlineStr">
        <is>
          <t>K348</t>
        </is>
      </c>
      <c r="B205" s="201" t="inlineStr">
        <is>
          <t>043-二次</t>
        </is>
      </c>
      <c r="C205" s="201" t="inlineStr">
        <is>
          <t>Christopher</t>
        </is>
      </c>
      <c r="D205" s="202" t="inlineStr">
        <is>
          <t>维持</t>
        </is>
      </c>
      <c r="E205" s="178" t="inlineStr">
        <is>
          <t>A vs 1 个月＋3 个月 Follow-up</t>
        </is>
      </c>
      <c r="F205" s="208" t="inlineStr">
        <is>
          <t>0, 0, 0, 0, 0, 0, 0, 0, 0</t>
        </is>
      </c>
      <c r="G205" s="209">
        <f>IF(F205="","",LEN(F205)-LEN(SUBSTITUTE(F205,",",""))+1)</f>
        <v/>
      </c>
      <c r="H205" s="208" t="inlineStr">
        <is>
          <t>31, 65, 84, 121</t>
        </is>
      </c>
      <c r="I205" s="209">
        <f>IF(H205="","",LEN(H205)-LEN(SUBSTITUTE(H205,",",""))+1)</f>
        <v/>
      </c>
      <c r="J205" s="210" t="inlineStr">
        <is>
          <t>升高改善</t>
        </is>
      </c>
      <c r="K205" s="211" t="n">
        <v>0</v>
      </c>
      <c r="L205" s="211" t="n">
        <v>1</v>
      </c>
      <c r="M205" s="209">
        <f>IF(OR(K205="",L205=""),"",IF(AND(L205&lt;0.05,OR(AND(J205="升高改善",K205&gt;0),AND(J205="降低改善",K205&lt;0))),"校正","不校正"))</f>
        <v/>
      </c>
      <c r="N205" s="178" t="inlineStr">
        <is>
          <t>Figure1，PDF3/页95，第2面板Christopher；B2-C3图例系列</t>
        </is>
      </c>
    </row>
    <row r="206" ht="45" customHeight="1" s="176">
      <c r="A206" s="212" t="inlineStr">
        <is>
          <t>K349</t>
        </is>
      </c>
      <c r="B206" s="212" t="inlineStr">
        <is>
          <t>043-二次</t>
        </is>
      </c>
      <c r="C206" s="212" t="inlineStr">
        <is>
          <t>Andrew</t>
        </is>
      </c>
      <c r="D206" s="213" t="inlineStr">
        <is>
          <t>干预</t>
        </is>
      </c>
      <c r="E206" s="214" t="inlineStr">
        <is>
          <t>A vs B1/B2/C 视频示范期合并</t>
        </is>
      </c>
      <c r="F206" s="208" t="inlineStr">
        <is>
          <t>300, 300, 300, 300, 300, 300, 300, 300, 300, 300, 300, 300, 300, 300, 300, 300, 300</t>
        </is>
      </c>
      <c r="G206" s="209">
        <f>IF(F206="","",LEN(F206)-LEN(SUBSTITUTE(F206,",",""))+1)</f>
        <v/>
      </c>
      <c r="H206" s="208" t="inlineStr">
        <is>
          <t>300, 300, 300, 300, 8, 7, 7, 5, 4, 4, 4</t>
        </is>
      </c>
      <c r="I206" s="209">
        <f>IF(H206="","",LEN(H206)-LEN(SUBSTITUTE(H206,",",""))+1)</f>
        <v/>
      </c>
      <c r="J206" s="210" t="inlineStr">
        <is>
          <t>降低改善</t>
        </is>
      </c>
      <c r="K206" s="211" t="n">
        <v>0</v>
      </c>
      <c r="L206" s="211" t="n">
        <v>1</v>
      </c>
      <c r="M206" s="209">
        <f>IF(OR(K206="",L206=""),"",IF(AND(L206&lt;0.05,OR(AND(J206="升高改善",K206&gt;0),AND(J206="降低改善",K206&lt;0))),"校正","不校正"))</f>
        <v/>
      </c>
      <c r="N206" s="214" t="inlineStr">
        <is>
          <t>Figure1，PDF3/页95，第3面板Andrew；B1-C1图例系列</t>
        </is>
      </c>
    </row>
    <row r="207" ht="45" customHeight="1" s="176">
      <c r="A207" s="212" t="inlineStr">
        <is>
          <t>K350</t>
        </is>
      </c>
      <c r="B207" s="212" t="inlineStr">
        <is>
          <t>043-二次</t>
        </is>
      </c>
      <c r="C207" s="212" t="inlineStr">
        <is>
          <t>Andrew</t>
        </is>
      </c>
      <c r="D207" s="213" t="inlineStr">
        <is>
          <t>维持</t>
        </is>
      </c>
      <c r="E207" s="214" t="inlineStr">
        <is>
          <t>A vs 1 个月＋3 个月 Follow-up</t>
        </is>
      </c>
      <c r="F207" s="208" t="inlineStr">
        <is>
          <t>300, 300, 300, 300, 300, 300, 300, 300, 300, 300, 300, 300, 300, 300, 300, 300, 300</t>
        </is>
      </c>
      <c r="G207" s="209">
        <f>IF(F207="","",LEN(F207)-LEN(SUBSTITUTE(F207,",",""))+1)</f>
        <v/>
      </c>
      <c r="H207" s="208" t="inlineStr">
        <is>
          <t>7, 6, 7, 5</t>
        </is>
      </c>
      <c r="I207" s="209">
        <f>IF(H207="","",LEN(H207)-LEN(SUBSTITUTE(H207,",",""))+1)</f>
        <v/>
      </c>
      <c r="J207" s="210" t="inlineStr">
        <is>
          <t>降低改善</t>
        </is>
      </c>
      <c r="K207" s="211" t="n">
        <v>0</v>
      </c>
      <c r="L207" s="211" t="n">
        <v>1</v>
      </c>
      <c r="M207" s="209">
        <f>IF(OR(K207="",L207=""),"",IF(AND(L207&lt;0.05,OR(AND(J207="升高改善",K207&gt;0),AND(J207="降低改善",K207&lt;0))),"校正","不校正"))</f>
        <v/>
      </c>
      <c r="N207" s="214" t="inlineStr">
        <is>
          <t>Figure1，PDF3/页95，第3面板Andrew；B1-C1图例系列</t>
        </is>
      </c>
    </row>
    <row r="208" ht="45" customHeight="1" s="176">
      <c r="A208" s="201" t="inlineStr">
        <is>
          <t>K351</t>
        </is>
      </c>
      <c r="B208" s="201" t="inlineStr">
        <is>
          <t>043-二次</t>
        </is>
      </c>
      <c r="C208" s="201" t="inlineStr">
        <is>
          <t>Andrew</t>
        </is>
      </c>
      <c r="D208" s="202" t="inlineStr">
        <is>
          <t>干预</t>
        </is>
      </c>
      <c r="E208" s="178" t="inlineStr">
        <is>
          <t>A vs B1/B2/C 视频示范期合并</t>
        </is>
      </c>
      <c r="F208" s="208" t="inlineStr">
        <is>
          <t>0, 0, 0, 0, 0, 0, 0, 0, 0, 0, 0, 0, 0, 0, 0, 0, 0</t>
        </is>
      </c>
      <c r="G208" s="209">
        <f>IF(F208="","",LEN(F208)-LEN(SUBSTITUTE(F208,",",""))+1)</f>
        <v/>
      </c>
      <c r="H208" s="208" t="inlineStr">
        <is>
          <t>0, 0, 0, 0, 51, 88, 64, 106, 212, 198, 126</t>
        </is>
      </c>
      <c r="I208" s="209">
        <f>IF(H208="","",LEN(H208)-LEN(SUBSTITUTE(H208,",",""))+1)</f>
        <v/>
      </c>
      <c r="J208" s="210" t="inlineStr">
        <is>
          <t>升高改善</t>
        </is>
      </c>
      <c r="K208" s="211" t="n">
        <v>0</v>
      </c>
      <c r="L208" s="211" t="n">
        <v>1</v>
      </c>
      <c r="M208" s="209">
        <f>IF(OR(K208="",L208=""),"",IF(AND(L208&lt;0.05,OR(AND(J208="升高改善",K208&gt;0),AND(J208="降低改善",K208&lt;0))),"校正","不校正"))</f>
        <v/>
      </c>
      <c r="N208" s="178" t="inlineStr">
        <is>
          <t>Figure1，PDF3/页95，第3面板Andrew；B2-C3图例系列</t>
        </is>
      </c>
    </row>
    <row r="209" ht="45" customHeight="1" s="176">
      <c r="A209" s="201" t="inlineStr">
        <is>
          <t>K352</t>
        </is>
      </c>
      <c r="B209" s="201" t="inlineStr">
        <is>
          <t>043-二次</t>
        </is>
      </c>
      <c r="C209" s="201" t="inlineStr">
        <is>
          <t>Andrew</t>
        </is>
      </c>
      <c r="D209" s="202" t="inlineStr">
        <is>
          <t>维持</t>
        </is>
      </c>
      <c r="E209" s="178" t="inlineStr">
        <is>
          <t>A vs 1 个月＋3 个月 Follow-up</t>
        </is>
      </c>
      <c r="F209" s="208" t="inlineStr">
        <is>
          <t>0, 0, 0, 0, 0, 0, 0, 0, 0, 0, 0, 0, 0, 0, 0, 0, 0</t>
        </is>
      </c>
      <c r="G209" s="209">
        <f>IF(F209="","",LEN(F209)-LEN(SUBSTITUTE(F209,",",""))+1)</f>
        <v/>
      </c>
      <c r="H209" s="208" t="inlineStr">
        <is>
          <t>61, 156, 103, 160</t>
        </is>
      </c>
      <c r="I209" s="209">
        <f>IF(H209="","",LEN(H209)-LEN(SUBSTITUTE(H209,",",""))+1)</f>
        <v/>
      </c>
      <c r="J209" s="210" t="inlineStr">
        <is>
          <t>升高改善</t>
        </is>
      </c>
      <c r="K209" s="211" t="n">
        <v>0</v>
      </c>
      <c r="L209" s="211" t="n">
        <v>1</v>
      </c>
      <c r="M209" s="209">
        <f>IF(OR(K209="",L209=""),"",IF(AND(L209&lt;0.05,OR(AND(J209="升高改善",K209&gt;0),AND(J209="降低改善",K209&lt;0))),"校正","不校正"))</f>
        <v/>
      </c>
      <c r="N209" s="178" t="inlineStr">
        <is>
          <t>Figure1，PDF3/页95，第3面板Andrew；B2-C3图例系列</t>
        </is>
      </c>
    </row>
    <row r="210" ht="45" customHeight="1" s="176">
      <c r="A210" s="212" t="inlineStr">
        <is>
          <t>K353</t>
        </is>
      </c>
      <c r="B210" s="212" t="inlineStr">
        <is>
          <t>044-二次</t>
        </is>
      </c>
      <c r="C210" s="212" t="inlineStr">
        <is>
          <t>Kirsty</t>
        </is>
      </c>
      <c r="D210" s="213" t="inlineStr">
        <is>
          <t>干预</t>
        </is>
      </c>
      <c r="E210" s="220" t="inlineStr">
        <is>
          <t>条件 A 基线 vs 条件 B（视频示范）</t>
        </is>
      </c>
      <c r="F210" s="208" t="inlineStr">
        <is>
          <t>300, 300, 300, 300, 300</t>
        </is>
      </c>
      <c r="G210" s="209">
        <f>IF(F210="","",LEN(F210)-LEN(SUBSTITUTE(F210,",",""))+1)</f>
        <v/>
      </c>
      <c r="H210" s="208" t="inlineStr">
        <is>
          <t>4, 5, 3</t>
        </is>
      </c>
      <c r="I210" s="209">
        <f>IF(H210="","",LEN(H210)-LEN(SUBSTITUTE(H210,",",""))+1)</f>
        <v/>
      </c>
      <c r="J210" s="210" t="inlineStr">
        <is>
          <t>降低改善</t>
        </is>
      </c>
      <c r="K210" s="211" t="n">
        <v>0</v>
      </c>
      <c r="L210" s="211" t="n">
        <v>1</v>
      </c>
      <c r="M210" s="209">
        <f>IF(OR(K210="",L210=""),"",IF(AND(L210&lt;0.05,OR(AND(J210="升高改善",K210&gt;0),AND(J210="降低改善",K210&lt;0))),"校正","不校正"))</f>
        <v/>
      </c>
      <c r="N210" s="220" t="inlineStr">
        <is>
          <t>图1，PDF第9页/手稿第9页，Kirsty面板，左纵轴黑圆</t>
        </is>
      </c>
    </row>
    <row r="211" ht="45" customHeight="1" s="176">
      <c r="A211" s="212" t="inlineStr">
        <is>
          <t>K354</t>
        </is>
      </c>
      <c r="B211" s="212" t="inlineStr">
        <is>
          <t>044-二次</t>
        </is>
      </c>
      <c r="C211" s="212" t="inlineStr">
        <is>
          <t>Kirsty</t>
        </is>
      </c>
      <c r="D211" s="213" t="inlineStr">
        <is>
          <t>维持</t>
        </is>
      </c>
      <c r="E211" s="220" t="inlineStr">
        <is>
          <t>条件 A 基线 vs 1 个月＋3 个月 Follow-up</t>
        </is>
      </c>
      <c r="F211" s="208" t="inlineStr">
        <is>
          <t>300, 300, 300, 300, 300</t>
        </is>
      </c>
      <c r="G211" s="209">
        <f>IF(F211="","",LEN(F211)-LEN(SUBSTITUTE(F211,",",""))+1)</f>
        <v/>
      </c>
      <c r="H211" s="208" t="inlineStr">
        <is>
          <t>6, 5, 4, 6, 6, 5, 6, 7, 8, 6</t>
        </is>
      </c>
      <c r="I211" s="209">
        <f>IF(H211="","",LEN(H211)-LEN(SUBSTITUTE(H211,",",""))+1)</f>
        <v/>
      </c>
      <c r="J211" s="210" t="inlineStr">
        <is>
          <t>降低改善</t>
        </is>
      </c>
      <c r="K211" s="211" t="n">
        <v>0</v>
      </c>
      <c r="L211" s="211" t="n">
        <v>1</v>
      </c>
      <c r="M211" s="209">
        <f>IF(OR(K211="",L211=""),"",IF(AND(L211&lt;0.05,OR(AND(J211="升高改善",K211&gt;0),AND(J211="降低改善",K211&lt;0))),"校正","不校正"))</f>
        <v/>
      </c>
      <c r="N211" s="220" t="inlineStr">
        <is>
          <t>图1，PDF第9页/手稿第9页，Kirsty面板，左纵轴黑圆</t>
        </is>
      </c>
    </row>
    <row r="212" ht="45" customHeight="1" s="176">
      <c r="A212" s="212" t="inlineStr">
        <is>
          <t>K355</t>
        </is>
      </c>
      <c r="B212" s="212" t="inlineStr">
        <is>
          <t>044-二次</t>
        </is>
      </c>
      <c r="C212" s="212" t="inlineStr">
        <is>
          <t>Kirsty</t>
        </is>
      </c>
      <c r="D212" s="213" t="inlineStr">
        <is>
          <t>泛化</t>
        </is>
      </c>
      <c r="E212" s="220" t="inlineStr">
        <is>
          <t>条件 A 基线 vs 条件 C–F（球、手鼓、蹦床、火车；换玩具、不看视频）合并</t>
        </is>
      </c>
      <c r="F212" s="208" t="inlineStr">
        <is>
          <t>300, 300, 300, 300, 300</t>
        </is>
      </c>
      <c r="G212" s="209">
        <f>IF(F212="","",LEN(F212)-LEN(SUBSTITUTE(F212,",",""))+1)</f>
        <v/>
      </c>
      <c r="H212" s="208" t="inlineStr">
        <is>
          <t>21, 4, 3, 6, 300, 300, 174, 4, 9, 6, 300, 19, 6, 7, 4, 5, 4, 4</t>
        </is>
      </c>
      <c r="I212" s="209">
        <f>IF(H212="","",LEN(H212)-LEN(SUBSTITUTE(H212,",",""))+1)</f>
        <v/>
      </c>
      <c r="J212" s="210" t="inlineStr">
        <is>
          <t>降低改善</t>
        </is>
      </c>
      <c r="K212" s="211" t="n">
        <v>0</v>
      </c>
      <c r="L212" s="211" t="n">
        <v>1</v>
      </c>
      <c r="M212" s="209">
        <f>IF(OR(K212="",L212=""),"",IF(AND(L212&lt;0.05,OR(AND(J212="升高改善",K212&gt;0),AND(J212="降低改善",K212&lt;0))),"校正","不校正"))</f>
        <v/>
      </c>
      <c r="N212" s="220" t="inlineStr">
        <is>
          <t>图1，PDF第9页/手稿第9页，Kirsty面板，左纵轴黑圆</t>
        </is>
      </c>
    </row>
    <row r="213" ht="45" customHeight="1" s="176">
      <c r="A213" s="201" t="inlineStr">
        <is>
          <t>K359</t>
        </is>
      </c>
      <c r="B213" s="201" t="inlineStr">
        <is>
          <t>044-二次</t>
        </is>
      </c>
      <c r="C213" s="201" t="inlineStr">
        <is>
          <t>Kirsty</t>
        </is>
      </c>
      <c r="D213" s="202" t="inlineStr">
        <is>
          <t>干预</t>
        </is>
      </c>
      <c r="E213" s="181" t="inlineStr">
        <is>
          <t>条件 A 基线 vs 条件 B（视频示范）</t>
        </is>
      </c>
      <c r="F213" s="208" t="inlineStr">
        <is>
          <t>0, 0, 0, 0, 0</t>
        </is>
      </c>
      <c r="G213" s="209">
        <f>IF(F213="","",LEN(F213)-LEN(SUBSTITUTE(F213,",",""))+1)</f>
        <v/>
      </c>
      <c r="H213" s="208" t="inlineStr">
        <is>
          <t>293, 291, 296</t>
        </is>
      </c>
      <c r="I213" s="209">
        <f>IF(H213="","",LEN(H213)-LEN(SUBSTITUTE(H213,",",""))+1)</f>
        <v/>
      </c>
      <c r="J213" s="210" t="inlineStr">
        <is>
          <t>升高改善</t>
        </is>
      </c>
      <c r="K213" s="211" t="n">
        <v>0</v>
      </c>
      <c r="L213" s="211" t="n">
        <v>1</v>
      </c>
      <c r="M213" s="209">
        <f>IF(OR(K213="",L213=""),"",IF(AND(L213&lt;0.05,OR(AND(J213="升高改善",K213&gt;0),AND(J213="降低改善",K213&lt;0))),"校正","不校正"))</f>
        <v/>
      </c>
      <c r="N213" s="181" t="inlineStr">
        <is>
          <t>图1，PDF第9页/手稿第9页，Kirsty面板，右纵轴空方</t>
        </is>
      </c>
    </row>
    <row r="214" ht="45" customHeight="1" s="176">
      <c r="A214" s="201" t="inlineStr">
        <is>
          <t>K360</t>
        </is>
      </c>
      <c r="B214" s="201" t="inlineStr">
        <is>
          <t>044-二次</t>
        </is>
      </c>
      <c r="C214" s="201" t="inlineStr">
        <is>
          <t>Kirsty</t>
        </is>
      </c>
      <c r="D214" s="202" t="inlineStr">
        <is>
          <t>维持</t>
        </is>
      </c>
      <c r="E214" s="181" t="inlineStr">
        <is>
          <t>条件 A 基线 vs 1 个月＋3 个月 Follow-up</t>
        </is>
      </c>
      <c r="F214" s="208" t="inlineStr">
        <is>
          <t>0, 0, 0, 0, 0</t>
        </is>
      </c>
      <c r="G214" s="209">
        <f>IF(F214="","",LEN(F214)-LEN(SUBSTITUTE(F214,",",""))+1)</f>
        <v/>
      </c>
      <c r="H214" s="208" t="inlineStr">
        <is>
          <t>291, 292, 293, 271, 285, 296, 291, 291, 287, 291</t>
        </is>
      </c>
      <c r="I214" s="209">
        <f>IF(H214="","",LEN(H214)-LEN(SUBSTITUTE(H214,",",""))+1)</f>
        <v/>
      </c>
      <c r="J214" s="210" t="inlineStr">
        <is>
          <t>升高改善</t>
        </is>
      </c>
      <c r="K214" s="211" t="n">
        <v>0</v>
      </c>
      <c r="L214" s="211" t="n">
        <v>1</v>
      </c>
      <c r="M214" s="209">
        <f>IF(OR(K214="",L214=""),"",IF(AND(L214&lt;0.05,OR(AND(J214="升高改善",K214&gt;0),AND(J214="降低改善",K214&lt;0))),"校正","不校正"))</f>
        <v/>
      </c>
      <c r="N214" s="181" t="inlineStr">
        <is>
          <t>图1，PDF第9页/手稿第9页，Kirsty面板，右纵轴空方</t>
        </is>
      </c>
    </row>
    <row r="215" ht="45" customHeight="1" s="176">
      <c r="A215" s="201" t="inlineStr">
        <is>
          <t>K361</t>
        </is>
      </c>
      <c r="B215" s="201" t="inlineStr">
        <is>
          <t>044-二次</t>
        </is>
      </c>
      <c r="C215" s="201" t="inlineStr">
        <is>
          <t>Kirsty</t>
        </is>
      </c>
      <c r="D215" s="202" t="inlineStr">
        <is>
          <t>泛化</t>
        </is>
      </c>
      <c r="E215" s="181" t="inlineStr">
        <is>
          <t>条件 A 基线 vs 条件 C–F（球、手鼓、蹦床、火车；换玩具、不看视频）合并</t>
        </is>
      </c>
      <c r="F215" s="208" t="inlineStr">
        <is>
          <t>0, 0, 0, 0, 0</t>
        </is>
      </c>
      <c r="G215" s="209">
        <f>IF(F215="","",LEN(F215)-LEN(SUBSTITUTE(F215,",",""))+1)</f>
        <v/>
      </c>
      <c r="H215" s="208" t="inlineStr">
        <is>
          <t>246, 291, 292, 291, 0, 0, 97, 293, 287, 287, 0, 260, 293, 287, 292, 291, 291, 291</t>
        </is>
      </c>
      <c r="I215" s="209">
        <f>IF(H215="","",LEN(H215)-LEN(SUBSTITUTE(H215,",",""))+1)</f>
        <v/>
      </c>
      <c r="J215" s="210" t="inlineStr">
        <is>
          <t>升高改善</t>
        </is>
      </c>
      <c r="K215" s="211" t="n">
        <v>0</v>
      </c>
      <c r="L215" s="211" t="n">
        <v>1</v>
      </c>
      <c r="M215" s="209">
        <f>IF(OR(K215="",L215=""),"",IF(AND(L215&lt;0.05,OR(AND(J215="升高改善",K215&gt;0),AND(J215="降低改善",K215&lt;0))),"校正","不校正"))</f>
        <v/>
      </c>
      <c r="N215" s="181" t="inlineStr">
        <is>
          <t>图1，PDF第9页/手稿第9页，Kirsty面板，右纵轴空方</t>
        </is>
      </c>
    </row>
    <row r="216" ht="45" customHeight="1" s="176">
      <c r="A216" s="212" t="inlineStr">
        <is>
          <t>K365</t>
        </is>
      </c>
      <c r="B216" s="212" t="inlineStr">
        <is>
          <t>044-二次</t>
        </is>
      </c>
      <c r="C216" s="212" t="inlineStr">
        <is>
          <t>Niko</t>
        </is>
      </c>
      <c r="D216" s="213" t="inlineStr">
        <is>
          <t>干预</t>
        </is>
      </c>
      <c r="E216" s="220" t="inlineStr">
        <is>
          <t>条件 A 基线 vs 条件 B（视频示范）</t>
        </is>
      </c>
      <c r="F216" s="208" t="inlineStr">
        <is>
          <t>300, 300, 300, 300, 300, 300, 300, 300</t>
        </is>
      </c>
      <c r="G216" s="209">
        <f>IF(F216="","",LEN(F216)-LEN(SUBSTITUTE(F216,",",""))+1)</f>
        <v/>
      </c>
      <c r="H216" s="208" t="inlineStr">
        <is>
          <t>7, 8, 7</t>
        </is>
      </c>
      <c r="I216" s="209">
        <f>IF(H216="","",LEN(H216)-LEN(SUBSTITUTE(H216,",",""))+1)</f>
        <v/>
      </c>
      <c r="J216" s="210" t="inlineStr">
        <is>
          <t>降低改善</t>
        </is>
      </c>
      <c r="K216" s="211" t="n">
        <v>0</v>
      </c>
      <c r="L216" s="211" t="n">
        <v>1</v>
      </c>
      <c r="M216" s="209">
        <f>IF(OR(K216="",L216=""),"",IF(AND(L216&lt;0.05,OR(AND(J216="升高改善",K216&gt;0),AND(J216="降低改善",K216&lt;0))),"校正","不校正"))</f>
        <v/>
      </c>
      <c r="N216" s="220" t="inlineStr">
        <is>
          <t>图1，PDF第9页/手稿第9页，Niko面板，左纵轴黑圆</t>
        </is>
      </c>
    </row>
    <row r="217" ht="45" customHeight="1" s="176">
      <c r="A217" s="212" t="inlineStr">
        <is>
          <t>K366</t>
        </is>
      </c>
      <c r="B217" s="212" t="inlineStr">
        <is>
          <t>044-二次</t>
        </is>
      </c>
      <c r="C217" s="212" t="inlineStr">
        <is>
          <t>Niko</t>
        </is>
      </c>
      <c r="D217" s="213" t="inlineStr">
        <is>
          <t>维持</t>
        </is>
      </c>
      <c r="E217" s="220" t="inlineStr">
        <is>
          <t>条件 A 基线 vs 1 个月＋3 个月 Follow-up</t>
        </is>
      </c>
      <c r="F217" s="208" t="inlineStr">
        <is>
          <t>300, 300, 300, 300, 300, 300, 300, 300</t>
        </is>
      </c>
      <c r="G217" s="209">
        <f>IF(F217="","",LEN(F217)-LEN(SUBSTITUTE(F217,",",""))+1)</f>
        <v/>
      </c>
      <c r="H217" s="208" t="inlineStr">
        <is>
          <t>7, 9, 7, 6, 5, 5, 5, 6, 2, 4</t>
        </is>
      </c>
      <c r="I217" s="209">
        <f>IF(H217="","",LEN(H217)-LEN(SUBSTITUTE(H217,",",""))+1)</f>
        <v/>
      </c>
      <c r="J217" s="210" t="inlineStr">
        <is>
          <t>降低改善</t>
        </is>
      </c>
      <c r="K217" s="211" t="n">
        <v>0</v>
      </c>
      <c r="L217" s="211" t="n">
        <v>1</v>
      </c>
      <c r="M217" s="209">
        <f>IF(OR(K217="",L217=""),"",IF(AND(L217&lt;0.05,OR(AND(J217="升高改善",K217&gt;0),AND(J217="降低改善",K217&lt;0))),"校正","不校正"))</f>
        <v/>
      </c>
      <c r="N217" s="220" t="inlineStr">
        <is>
          <t>图1，PDF第9页/手稿第9页，Niko面板，左纵轴黑圆</t>
        </is>
      </c>
    </row>
    <row r="218" ht="45" customHeight="1" s="176">
      <c r="A218" s="212" t="inlineStr">
        <is>
          <t>K367</t>
        </is>
      </c>
      <c r="B218" s="212" t="inlineStr">
        <is>
          <t>044-二次</t>
        </is>
      </c>
      <c r="C218" s="212" t="inlineStr">
        <is>
          <t>Niko</t>
        </is>
      </c>
      <c r="D218" s="213" t="inlineStr">
        <is>
          <t>泛化</t>
        </is>
      </c>
      <c r="E218" s="220" t="inlineStr">
        <is>
          <t>条件 A 基线 vs 条件 C–F（球、手鼓、蹦床、火车；换玩具、不看视频）合并</t>
        </is>
      </c>
      <c r="F218" s="208" t="inlineStr">
        <is>
          <t>300, 300, 300, 300, 300, 300, 300, 300</t>
        </is>
      </c>
      <c r="G218" s="209">
        <f>IF(F218="","",LEN(F218)-LEN(SUBSTITUTE(F218,",",""))+1)</f>
        <v/>
      </c>
      <c r="H218" s="208" t="inlineStr">
        <is>
          <t>9, 7, 7, 7, 9, 8, 9, 10, 8, 7, 9, 8</t>
        </is>
      </c>
      <c r="I218" s="209">
        <f>IF(H218="","",LEN(H218)-LEN(SUBSTITUTE(H218,",",""))+1)</f>
        <v/>
      </c>
      <c r="J218" s="210" t="inlineStr">
        <is>
          <t>降低改善</t>
        </is>
      </c>
      <c r="K218" s="211" t="n">
        <v>0</v>
      </c>
      <c r="L218" s="211" t="n">
        <v>1</v>
      </c>
      <c r="M218" s="209">
        <f>IF(OR(K218="",L218=""),"",IF(AND(L218&lt;0.05,OR(AND(J218="升高改善",K218&gt;0),AND(J218="降低改善",K218&lt;0))),"校正","不校正"))</f>
        <v/>
      </c>
      <c r="N218" s="220" t="inlineStr">
        <is>
          <t>图1，PDF第9页/手稿第9页，Niko面板，左纵轴黑圆</t>
        </is>
      </c>
    </row>
    <row r="219" ht="45" customHeight="1" s="176">
      <c r="A219" s="201" t="inlineStr">
        <is>
          <t>K371</t>
        </is>
      </c>
      <c r="B219" s="201" t="inlineStr">
        <is>
          <t>044-二次</t>
        </is>
      </c>
      <c r="C219" s="201" t="inlineStr">
        <is>
          <t>Niko</t>
        </is>
      </c>
      <c r="D219" s="202" t="inlineStr">
        <is>
          <t>干预</t>
        </is>
      </c>
      <c r="E219" s="181" t="inlineStr">
        <is>
          <t>条件 A 基线 vs 条件 B（视频示范）</t>
        </is>
      </c>
      <c r="F219" s="208" t="inlineStr">
        <is>
          <t>0, 0, 0, 0, 0, 0, 0, 0</t>
        </is>
      </c>
      <c r="G219" s="209">
        <f>IF(F219="","",LEN(F219)-LEN(SUBSTITUTE(F219,",",""))+1)</f>
        <v/>
      </c>
      <c r="H219" s="208" t="inlineStr">
        <is>
          <t>291, 289, 291</t>
        </is>
      </c>
      <c r="I219" s="209">
        <f>IF(H219="","",LEN(H219)-LEN(SUBSTITUTE(H219,",",""))+1)</f>
        <v/>
      </c>
      <c r="J219" s="210" t="inlineStr">
        <is>
          <t>升高改善</t>
        </is>
      </c>
      <c r="K219" s="211" t="n">
        <v>0</v>
      </c>
      <c r="L219" s="211" t="n">
        <v>1</v>
      </c>
      <c r="M219" s="209">
        <f>IF(OR(K219="",L219=""),"",IF(AND(L219&lt;0.05,OR(AND(J219="升高改善",K219&gt;0),AND(J219="降低改善",K219&lt;0))),"校正","不校正"))</f>
        <v/>
      </c>
      <c r="N219" s="181" t="inlineStr">
        <is>
          <t>图1，PDF第9页/手稿第9页，Niko面板，右纵轴空方</t>
        </is>
      </c>
    </row>
    <row r="220" ht="45" customHeight="1" s="176">
      <c r="A220" s="201" t="inlineStr">
        <is>
          <t>K372</t>
        </is>
      </c>
      <c r="B220" s="201" t="inlineStr">
        <is>
          <t>044-二次</t>
        </is>
      </c>
      <c r="C220" s="201" t="inlineStr">
        <is>
          <t>Niko</t>
        </is>
      </c>
      <c r="D220" s="202" t="inlineStr">
        <is>
          <t>维持</t>
        </is>
      </c>
      <c r="E220" s="181" t="inlineStr">
        <is>
          <t>条件 A 基线 vs 1 个月＋3 个月 Follow-up</t>
        </is>
      </c>
      <c r="F220" s="208" t="inlineStr">
        <is>
          <t>0, 0, 0, 0, 0, 0, 0, 0</t>
        </is>
      </c>
      <c r="G220" s="209">
        <f>IF(F220="","",LEN(F220)-LEN(SUBSTITUTE(F220,",",""))+1)</f>
        <v/>
      </c>
      <c r="H220" s="208" t="inlineStr">
        <is>
          <t>289, 285, 289, 291, 291, 290, 295, 289, 295, 290</t>
        </is>
      </c>
      <c r="I220" s="209">
        <f>IF(H220="","",LEN(H220)-LEN(SUBSTITUTE(H220,",",""))+1)</f>
        <v/>
      </c>
      <c r="J220" s="210" t="inlineStr">
        <is>
          <t>升高改善</t>
        </is>
      </c>
      <c r="K220" s="211" t="n">
        <v>0</v>
      </c>
      <c r="L220" s="211" t="n">
        <v>1</v>
      </c>
      <c r="M220" s="209">
        <f>IF(OR(K220="",L220=""),"",IF(AND(L220&lt;0.05,OR(AND(J220="升高改善",K220&gt;0),AND(J220="降低改善",K220&lt;0))),"校正","不校正"))</f>
        <v/>
      </c>
      <c r="N220" s="181" t="inlineStr">
        <is>
          <t>图1，PDF第9页/手稿第9页，Niko面板，右纵轴空方</t>
        </is>
      </c>
    </row>
    <row r="221" ht="45" customHeight="1" s="176">
      <c r="A221" s="201" t="inlineStr">
        <is>
          <t>K373</t>
        </is>
      </c>
      <c r="B221" s="201" t="inlineStr">
        <is>
          <t>044-二次</t>
        </is>
      </c>
      <c r="C221" s="201" t="inlineStr">
        <is>
          <t>Niko</t>
        </is>
      </c>
      <c r="D221" s="202" t="inlineStr">
        <is>
          <t>泛化</t>
        </is>
      </c>
      <c r="E221" s="181" t="inlineStr">
        <is>
          <t>条件 A 基线 vs 条件 C–F（球、手鼓、蹦床、火车；换玩具、不看视频）合并</t>
        </is>
      </c>
      <c r="F221" s="208" t="inlineStr">
        <is>
          <t>0, 0, 0, 0, 0, 0, 0, 0</t>
        </is>
      </c>
      <c r="G221" s="209">
        <f>IF(F221="","",LEN(F221)-LEN(SUBSTITUTE(F221,",",""))+1)</f>
        <v/>
      </c>
      <c r="H221" s="208" t="inlineStr">
        <is>
          <t>285, 290, 290, 291, 289, 289, 291, 289, 291, 291, 289, 291</t>
        </is>
      </c>
      <c r="I221" s="209">
        <f>IF(H221="","",LEN(H221)-LEN(SUBSTITUTE(H221,",",""))+1)</f>
        <v/>
      </c>
      <c r="J221" s="210" t="inlineStr">
        <is>
          <t>升高改善</t>
        </is>
      </c>
      <c r="K221" s="211" t="n">
        <v>0</v>
      </c>
      <c r="L221" s="211" t="n">
        <v>1</v>
      </c>
      <c r="M221" s="209">
        <f>IF(OR(K221="",L221=""),"",IF(AND(L221&lt;0.05,OR(AND(J221="升高改善",K221&gt;0),AND(J221="降低改善",K221&lt;0))),"校正","不校正"))</f>
        <v/>
      </c>
      <c r="N221" s="181" t="inlineStr">
        <is>
          <t>图1，PDF第9页/手稿第9页，Niko面板，右纵轴空方</t>
        </is>
      </c>
    </row>
    <row r="222" ht="45" customHeight="1" s="176">
      <c r="A222" s="212" t="inlineStr">
        <is>
          <t>K377</t>
        </is>
      </c>
      <c r="B222" s="212" t="inlineStr">
        <is>
          <t>044-二次</t>
        </is>
      </c>
      <c r="C222" s="212" t="inlineStr">
        <is>
          <t>Jamie</t>
        </is>
      </c>
      <c r="D222" s="213" t="inlineStr">
        <is>
          <t>干预</t>
        </is>
      </c>
      <c r="E222" s="220" t="inlineStr">
        <is>
          <t>条件 A 基线 vs 条件 B（视频示范）</t>
        </is>
      </c>
      <c r="F222" s="208" t="inlineStr">
        <is>
          <t>300, 300, 300, 300, 300, 300, 300, 300, 300, 300, 300</t>
        </is>
      </c>
      <c r="G222" s="209">
        <f>IF(F222="","",LEN(F222)-LEN(SUBSTITUTE(F222,",",""))+1)</f>
        <v/>
      </c>
      <c r="H222" s="208" t="inlineStr">
        <is>
          <t>2, 0, 3</t>
        </is>
      </c>
      <c r="I222" s="209">
        <f>IF(H222="","",LEN(H222)-LEN(SUBSTITUTE(H222,",",""))+1)</f>
        <v/>
      </c>
      <c r="J222" s="210" t="inlineStr">
        <is>
          <t>降低改善</t>
        </is>
      </c>
      <c r="K222" s="211" t="n">
        <v>0</v>
      </c>
      <c r="L222" s="211" t="n">
        <v>1</v>
      </c>
      <c r="M222" s="209">
        <f>IF(OR(K222="",L222=""),"",IF(AND(L222&lt;0.05,OR(AND(J222="升高改善",K222&gt;0),AND(J222="降低改善",K222&lt;0))),"校正","不校正"))</f>
        <v/>
      </c>
      <c r="N222" s="220" t="inlineStr">
        <is>
          <t>图1，PDF第9页/手稿第9页，Jamie面板，左纵轴黑圆</t>
        </is>
      </c>
    </row>
    <row r="223" ht="45" customHeight="1" s="176">
      <c r="A223" s="212" t="inlineStr">
        <is>
          <t>K378</t>
        </is>
      </c>
      <c r="B223" s="212" t="inlineStr">
        <is>
          <t>044-二次</t>
        </is>
      </c>
      <c r="C223" s="212" t="inlineStr">
        <is>
          <t>Jamie</t>
        </is>
      </c>
      <c r="D223" s="213" t="inlineStr">
        <is>
          <t>维持</t>
        </is>
      </c>
      <c r="E223" s="220" t="inlineStr">
        <is>
          <t>条件 A 基线 vs 1 个月＋3 个月 Follow-up</t>
        </is>
      </c>
      <c r="F223" s="208" t="inlineStr">
        <is>
          <t>300, 300, 300, 300, 300, 300, 300, 300, 300, 300, 300</t>
        </is>
      </c>
      <c r="G223" s="209">
        <f>IF(F223="","",LEN(F223)-LEN(SUBSTITUTE(F223,",",""))+1)</f>
        <v/>
      </c>
      <c r="H223" s="208" t="inlineStr">
        <is>
          <t>2, 4, 3, 3, 0, 3, 3, 4, 3, 3</t>
        </is>
      </c>
      <c r="I223" s="209">
        <f>IF(H223="","",LEN(H223)-LEN(SUBSTITUTE(H223,",",""))+1)</f>
        <v/>
      </c>
      <c r="J223" s="210" t="inlineStr">
        <is>
          <t>降低改善</t>
        </is>
      </c>
      <c r="K223" s="211" t="n">
        <v>0</v>
      </c>
      <c r="L223" s="211" t="n">
        <v>1</v>
      </c>
      <c r="M223" s="209">
        <f>IF(OR(K223="",L223=""),"",IF(AND(L223&lt;0.05,OR(AND(J223="升高改善",K223&gt;0),AND(J223="降低改善",K223&lt;0))),"校正","不校正"))</f>
        <v/>
      </c>
      <c r="N223" s="220" t="inlineStr">
        <is>
          <t>图1，PDF第9页/手稿第9页，Jamie面板，左纵轴黑圆</t>
        </is>
      </c>
    </row>
    <row r="224" ht="45" customHeight="1" s="176">
      <c r="A224" s="212" t="inlineStr">
        <is>
          <t>K380</t>
        </is>
      </c>
      <c r="B224" s="212" t="inlineStr">
        <is>
          <t>044-二次</t>
        </is>
      </c>
      <c r="C224" s="212" t="inlineStr">
        <is>
          <t>Jamie</t>
        </is>
      </c>
      <c r="D224" s="213" t="inlineStr">
        <is>
          <t>泛化</t>
        </is>
      </c>
      <c r="E224" s="220" t="inlineStr">
        <is>
          <t>条件 A 基线 vs 条件 D–F（换玩具、不看视频）合并；Jamie条件C无法与视频示范期分开，未取</t>
        </is>
      </c>
      <c r="F224" s="208" t="inlineStr">
        <is>
          <t>300, 300, 300, 300, 300, 300, 300, 300, 300, 300, 300</t>
        </is>
      </c>
      <c r="G224" s="209">
        <f>IF(F224="","",LEN(F224)-LEN(SUBSTITUTE(F224,",",""))+1)</f>
        <v/>
      </c>
      <c r="H224" s="208" t="inlineStr">
        <is>
          <t>4, 0, 0, 0, 3, 6, 0, 4, 6</t>
        </is>
      </c>
      <c r="I224" s="209">
        <f>IF(H224="","",LEN(H224)-LEN(SUBSTITUTE(H224,",",""))+1)</f>
        <v/>
      </c>
      <c r="J224" s="210" t="inlineStr">
        <is>
          <t>降低改善</t>
        </is>
      </c>
      <c r="K224" s="211" t="n">
        <v>0</v>
      </c>
      <c r="L224" s="211" t="n">
        <v>1</v>
      </c>
      <c r="M224" s="209">
        <f>IF(OR(K224="",L224=""),"",IF(AND(L224&lt;0.05,OR(AND(J224="升高改善",K224&gt;0),AND(J224="降低改善",K224&lt;0))),"校正","不校正"))</f>
        <v/>
      </c>
      <c r="N224" s="220" t="inlineStr">
        <is>
          <t>图1，PDF第9页/手稿第9页，Jamie面板，左纵轴黑圆</t>
        </is>
      </c>
    </row>
    <row r="225" ht="45" customHeight="1" s="176">
      <c r="A225" s="201" t="inlineStr">
        <is>
          <t>K383</t>
        </is>
      </c>
      <c r="B225" s="201" t="inlineStr">
        <is>
          <t>044-二次</t>
        </is>
      </c>
      <c r="C225" s="201" t="inlineStr">
        <is>
          <t>Jamie</t>
        </is>
      </c>
      <c r="D225" s="202" t="inlineStr">
        <is>
          <t>干预</t>
        </is>
      </c>
      <c r="E225" s="181" t="inlineStr">
        <is>
          <t>条件 A 基线 vs 条件 B（视频示范）</t>
        </is>
      </c>
      <c r="F225" s="208" t="inlineStr">
        <is>
          <t>0, 0, 0, 0, 0, 0, 0, 0, 0, 0, 0</t>
        </is>
      </c>
      <c r="G225" s="209">
        <f>IF(F225="","",LEN(F225)-LEN(SUBSTITUTE(F225,",",""))+1)</f>
        <v/>
      </c>
      <c r="H225" s="208" t="inlineStr">
        <is>
          <t>290, 292, 285</t>
        </is>
      </c>
      <c r="I225" s="209">
        <f>IF(H225="","",LEN(H225)-LEN(SUBSTITUTE(H225,",",""))+1)</f>
        <v/>
      </c>
      <c r="J225" s="210" t="inlineStr">
        <is>
          <t>升高改善</t>
        </is>
      </c>
      <c r="K225" s="211" t="n">
        <v>0</v>
      </c>
      <c r="L225" s="211" t="n">
        <v>1</v>
      </c>
      <c r="M225" s="209">
        <f>IF(OR(K225="",L225=""),"",IF(AND(L225&lt;0.05,OR(AND(J225="升高改善",K225&gt;0),AND(J225="降低改善",K225&lt;0))),"校正","不校正"))</f>
        <v/>
      </c>
      <c r="N225" s="181" t="inlineStr">
        <is>
          <t>图1，PDF第9页/手稿第9页，Jamie面板，右纵轴空方</t>
        </is>
      </c>
    </row>
    <row r="226" ht="45" customHeight="1" s="176">
      <c r="A226" s="201" t="inlineStr">
        <is>
          <t>K384</t>
        </is>
      </c>
      <c r="B226" s="201" t="inlineStr">
        <is>
          <t>044-二次</t>
        </is>
      </c>
      <c r="C226" s="201" t="inlineStr">
        <is>
          <t>Jamie</t>
        </is>
      </c>
      <c r="D226" s="202" t="inlineStr">
        <is>
          <t>维持</t>
        </is>
      </c>
      <c r="E226" s="181" t="inlineStr">
        <is>
          <t>条件 A 基线 vs 1 个月＋3 个月 Follow-up</t>
        </is>
      </c>
      <c r="F226" s="208" t="inlineStr">
        <is>
          <t>0, 0, 0, 0, 0, 0, 0, 0, 0, 0, 0</t>
        </is>
      </c>
      <c r="G226" s="209">
        <f>IF(F226="","",LEN(F226)-LEN(SUBSTITUTE(F226,",",""))+1)</f>
        <v/>
      </c>
      <c r="H226" s="208" t="inlineStr">
        <is>
          <t>291, 287, 292, 242, 292, 292, 292, 290, 281, 292</t>
        </is>
      </c>
      <c r="I226" s="209">
        <f>IF(H226="","",LEN(H226)-LEN(SUBSTITUTE(H226,",",""))+1)</f>
        <v/>
      </c>
      <c r="J226" s="210" t="inlineStr">
        <is>
          <t>升高改善</t>
        </is>
      </c>
      <c r="K226" s="211" t="n">
        <v>0</v>
      </c>
      <c r="L226" s="211" t="n">
        <v>1</v>
      </c>
      <c r="M226" s="209">
        <f>IF(OR(K226="",L226=""),"",IF(AND(L226&lt;0.05,OR(AND(J226="升高改善",K226&gt;0),AND(J226="降低改善",K226&lt;0))),"校正","不校正"))</f>
        <v/>
      </c>
      <c r="N226" s="181" t="inlineStr">
        <is>
          <t>图1，PDF第9页/手稿第9页，Jamie面板，右纵轴空方</t>
        </is>
      </c>
    </row>
    <row r="227" ht="45" customHeight="1" s="176">
      <c r="A227" s="201" t="inlineStr">
        <is>
          <t>K386</t>
        </is>
      </c>
      <c r="B227" s="201" t="inlineStr">
        <is>
          <t>044-二次</t>
        </is>
      </c>
      <c r="C227" s="201" t="inlineStr">
        <is>
          <t>Jamie</t>
        </is>
      </c>
      <c r="D227" s="202" t="inlineStr">
        <is>
          <t>泛化</t>
        </is>
      </c>
      <c r="E227" s="181" t="inlineStr">
        <is>
          <t>条件 A 基线 vs 条件 D–F（换玩具、不看视频）合并；Jamie条件C无法与视频示范期分开，未取</t>
        </is>
      </c>
      <c r="F227" s="208" t="inlineStr">
        <is>
          <t>0, 0, 0, 0, 0, 0, 0, 0, 0, 0, 0</t>
        </is>
      </c>
      <c r="G227" s="209">
        <f>IF(F227="","",LEN(F227)-LEN(SUBSTITUTE(F227,",",""))+1)</f>
        <v/>
      </c>
      <c r="H227" s="208" t="inlineStr">
        <is>
          <t>284, 286, 292, 255, 250, 241, 292, 290, 290</t>
        </is>
      </c>
      <c r="I227" s="209">
        <f>IF(H227="","",LEN(H227)-LEN(SUBSTITUTE(H227,",",""))+1)</f>
        <v/>
      </c>
      <c r="J227" s="210" t="inlineStr">
        <is>
          <t>升高改善</t>
        </is>
      </c>
      <c r="K227" s="211" t="n">
        <v>0</v>
      </c>
      <c r="L227" s="211" t="n">
        <v>1</v>
      </c>
      <c r="M227" s="209">
        <f>IF(OR(K227="",L227=""),"",IF(AND(L227&lt;0.05,OR(AND(J227="升高改善",K227&gt;0),AND(J227="降低改善",K227&lt;0))),"校正","不校正"))</f>
        <v/>
      </c>
      <c r="N227" s="181" t="inlineStr">
        <is>
          <t>图1，PDF第9页/手稿第9页，Jamie面板，右纵轴空方</t>
        </is>
      </c>
    </row>
    <row r="228" ht="45" customHeight="1" s="176">
      <c r="A228" s="201" t="inlineStr">
        <is>
          <t>K395</t>
        </is>
      </c>
      <c r="B228" s="201" t="inlineStr">
        <is>
          <t>048-二次</t>
        </is>
      </c>
      <c r="C228" s="201" t="inlineStr">
        <is>
          <t>Jack</t>
        </is>
      </c>
      <c r="D228" s="202" t="inlineStr">
        <is>
          <t>干预</t>
        </is>
      </c>
      <c r="E228" s="178" t="inlineStr">
        <is>
          <t>Baseline vs VM Intervention 期每日无视频探测</t>
        </is>
      </c>
      <c r="F228" s="178" t="inlineStr">
        <is>
          <t>0, 0, 0</t>
        </is>
      </c>
      <c r="G228" s="201">
        <f>IF(F228="","",LEN(F228)-LEN(SUBSTITUTE(F228,",",""))+1)</f>
        <v/>
      </c>
      <c r="H228" s="178" t="inlineStr">
        <is>
          <t>0, 20, 0, 0, 60, 100, 100, 100, 100, 100, 100, 100, 100, 80, 100, 60, 100, 100</t>
        </is>
      </c>
      <c r="I228" s="201">
        <f>IF(H228="","",LEN(H228)-LEN(SUBSTITUTE(H228,",",""))+1)</f>
        <v/>
      </c>
      <c r="J228" s="202" t="inlineStr">
        <is>
          <t>升高改善</t>
        </is>
      </c>
      <c r="K228" s="203" t="n">
        <v>0</v>
      </c>
      <c r="L228" s="203" t="n">
        <v>1</v>
      </c>
      <c r="M228" s="201">
        <f>IF(OR(K228="",L228=""),"",IF(AND(L228&lt;0.05,OR(AND(J228="升高改善",K228&gt;0),AND(J228="降低改善",K228&lt;0))),"校正","不校正"))</f>
        <v/>
      </c>
      <c r="N228" s="181" t="inlineStr">
        <is>
          <t>图1，PDF第7页/期刊第259页，Airplanes面板，黑圆</t>
        </is>
      </c>
    </row>
    <row r="229" ht="45" customHeight="1" s="176">
      <c r="A229" s="201" t="inlineStr">
        <is>
          <t>K396</t>
        </is>
      </c>
      <c r="B229" s="201" t="inlineStr">
        <is>
          <t>048-二次</t>
        </is>
      </c>
      <c r="C229" s="201" t="inlineStr">
        <is>
          <t>Jack</t>
        </is>
      </c>
      <c r="D229" s="202" t="inlineStr">
        <is>
          <t>干预</t>
        </is>
      </c>
      <c r="E229" s="178" t="inlineStr">
        <is>
          <t>Baseline vs VM Intervention 期每日无视频探测</t>
        </is>
      </c>
      <c r="F229" s="208" t="inlineStr">
        <is>
          <t>0, 0, 0, 0, 0, 0, 0, 0, 0</t>
        </is>
      </c>
      <c r="G229" s="209">
        <f>IF(F229="","",LEN(F229)-LEN(SUBSTITUTE(F229,",",""))+1)</f>
        <v/>
      </c>
      <c r="H229" s="208" t="inlineStr">
        <is>
          <t>15, 30, 65, 30, 65, 65, 65, 80, 100, 45, 65, 80, 80</t>
        </is>
      </c>
      <c r="I229" s="209">
        <f>IF(H229="","",LEN(H229)-LEN(SUBSTITUTE(H229,",",""))+1)</f>
        <v/>
      </c>
      <c r="J229" s="210" t="inlineStr">
        <is>
          <t>升高改善</t>
        </is>
      </c>
      <c r="K229" s="211" t="n">
        <v>0</v>
      </c>
      <c r="L229" s="211" t="n">
        <v>1</v>
      </c>
      <c r="M229" s="209">
        <f>IF(OR(K229="",L229=""),"",IF(AND(L229&lt;0.05,OR(AND(J229="升高改善",K229&gt;0),AND(J229="降低改善",K229&lt;0))),"校正","不校正"))</f>
        <v/>
      </c>
      <c r="N229" s="181" t="inlineStr">
        <is>
          <t>图1，PDF第7页/期刊第259页，Picnic面板，黑圆</t>
        </is>
      </c>
    </row>
    <row r="230" ht="45" customHeight="1" s="176">
      <c r="A230" s="201" t="inlineStr">
        <is>
          <t>K397</t>
        </is>
      </c>
      <c r="B230" s="201" t="inlineStr">
        <is>
          <t>048-二次</t>
        </is>
      </c>
      <c r="C230" s="201" t="inlineStr">
        <is>
          <t>Jack</t>
        </is>
      </c>
      <c r="D230" s="202" t="inlineStr">
        <is>
          <t>干预</t>
        </is>
      </c>
      <c r="E230" s="178" t="inlineStr">
        <is>
          <t>Baseline vs VM Intervention 期每日无视频探测</t>
        </is>
      </c>
      <c r="F230" s="178" t="inlineStr">
        <is>
          <t>0, 0, 0, 0, 0, 0, 0, 0, 0, 0, 0, 0, 0, 0, 0</t>
        </is>
      </c>
      <c r="G230" s="201">
        <f>IF(F230="","",LEN(F230)-LEN(SUBSTITUTE(F230,",",""))+1)</f>
        <v/>
      </c>
      <c r="H230" s="178" t="inlineStr">
        <is>
          <t>0, 0, 80, 100, 100</t>
        </is>
      </c>
      <c r="I230" s="201">
        <f>IF(H230="","",LEN(H230)-LEN(SUBSTITUTE(H230,",",""))+1)</f>
        <v/>
      </c>
      <c r="J230" s="202" t="inlineStr">
        <is>
          <t>升高改善</t>
        </is>
      </c>
      <c r="K230" s="203" t="n">
        <v>0</v>
      </c>
      <c r="L230" s="203" t="n">
        <v>1</v>
      </c>
      <c r="M230" s="201">
        <f>IF(OR(K230="",L230=""),"",IF(AND(L230&lt;0.05,OR(AND(J230="升高改善",K230&gt;0),AND(J230="降低改善",K230&lt;0))),"校正","不校正"))</f>
        <v/>
      </c>
      <c r="N230" s="181" t="inlineStr">
        <is>
          <t>图1，PDF第7页/期刊第259页，Dinosaur Cars面板，黑圆</t>
        </is>
      </c>
    </row>
    <row r="231" ht="45" customHeight="1" s="176">
      <c r="A231" s="201" t="inlineStr">
        <is>
          <t>K398</t>
        </is>
      </c>
      <c r="B231" s="201" t="inlineStr">
        <is>
          <t>048-二次</t>
        </is>
      </c>
      <c r="C231" s="201" t="inlineStr">
        <is>
          <t>Manuel</t>
        </is>
      </c>
      <c r="D231" s="202" t="inlineStr">
        <is>
          <t>干预</t>
        </is>
      </c>
      <c r="E231" s="178" t="inlineStr">
        <is>
          <t>Baseline vs VM 后的保留探测（Retention Probes）</t>
        </is>
      </c>
      <c r="F231" s="178" t="inlineStr">
        <is>
          <t>0, 0, 0</t>
        </is>
      </c>
      <c r="G231" s="201">
        <f>IF(F231="","",LEN(F231)-LEN(SUBSTITUTE(F231,",",""))+1)</f>
        <v/>
      </c>
      <c r="H231" s="178" t="inlineStr">
        <is>
          <t>8, 3, 11, 6, 6, 7, 11, 7, 12, 12</t>
        </is>
      </c>
      <c r="I231" s="201">
        <f>IF(H231="","",LEN(H231)-LEN(SUBSTITUTE(H231,",",""))+1)</f>
        <v/>
      </c>
      <c r="J231" s="202" t="inlineStr">
        <is>
          <t>升高改善</t>
        </is>
      </c>
      <c r="K231" s="203" t="n">
        <v>0</v>
      </c>
      <c r="L231" s="203" t="n">
        <v>1</v>
      </c>
      <c r="M231" s="201">
        <f>IF(OR(K231="",L231=""),"",IF(AND(L231&lt;0.05,OR(AND(J231="升高改善",K231&gt;0),AND(J231="降低改善",K231&lt;0))),"校正","不校正"))</f>
        <v/>
      </c>
      <c r="N231" s="181" t="inlineStr">
        <is>
          <t>图2，PDF第10页/期刊第262页，Batman Colorforms面板，黑圆</t>
        </is>
      </c>
    </row>
    <row r="232" ht="45" customHeight="1" s="176">
      <c r="A232" s="201" t="inlineStr">
        <is>
          <t>K399</t>
        </is>
      </c>
      <c r="B232" s="201" t="inlineStr">
        <is>
          <t>048-二次</t>
        </is>
      </c>
      <c r="C232" s="201" t="inlineStr">
        <is>
          <t>Manuel</t>
        </is>
      </c>
      <c r="D232" s="202" t="inlineStr">
        <is>
          <t>干预</t>
        </is>
      </c>
      <c r="E232" s="178" t="inlineStr">
        <is>
          <t>Baseline vs VM 后的保留探测（Retention Probes）</t>
        </is>
      </c>
      <c r="F232" s="178" t="inlineStr">
        <is>
          <t>7, 3, 2, 0, 2, 1</t>
        </is>
      </c>
      <c r="G232" s="201">
        <f>IF(F232="","",LEN(F232)-LEN(SUBSTITUTE(F232,",",""))+1)</f>
        <v/>
      </c>
      <c r="H232" s="178" t="inlineStr">
        <is>
          <t>14, 4, 14, 7, 8</t>
        </is>
      </c>
      <c r="I232" s="201">
        <f>IF(H232="","",LEN(H232)-LEN(SUBSTITUTE(H232,",",""))+1)</f>
        <v/>
      </c>
      <c r="J232" s="202" t="inlineStr">
        <is>
          <t>升高改善</t>
        </is>
      </c>
      <c r="K232" s="203" t="n">
        <v>-0.690065559342354</v>
      </c>
      <c r="L232" s="203" t="n">
        <v>0.0557826087068441</v>
      </c>
      <c r="M232" s="201">
        <f>IF(OR(K232="",L232=""),"",IF(AND(L232&lt;0.05,OR(AND(J232="升高改善",K232&gt;0),AND(J232="降低改善",K232&lt;0))),"校正","不校正"))</f>
        <v/>
      </c>
      <c r="N232" s="181" t="inlineStr">
        <is>
          <t>图2，PDF第10页/期刊第262页，Cars and Loops Track面板，黑圆</t>
        </is>
      </c>
    </row>
    <row r="233" ht="45" customHeight="1" s="176">
      <c r="A233" s="201" t="inlineStr">
        <is>
          <t>K400</t>
        </is>
      </c>
      <c r="B233" s="201" t="inlineStr">
        <is>
          <t>048-二次</t>
        </is>
      </c>
      <c r="C233" s="201" t="inlineStr">
        <is>
          <t>Manuel</t>
        </is>
      </c>
      <c r="D233" s="202" t="inlineStr">
        <is>
          <t>干预</t>
        </is>
      </c>
      <c r="E233" s="178" t="inlineStr">
        <is>
          <t>Baseline vs VM 后的保留探测（Retention Probes）</t>
        </is>
      </c>
      <c r="F233" s="178" t="inlineStr">
        <is>
          <t>0, 0, 1, 0, 0, 1, 2, 1</t>
        </is>
      </c>
      <c r="G233" s="201">
        <f>IF(F233="","",LEN(F233)-LEN(SUBSTITUTE(F233,",",""))+1)</f>
        <v/>
      </c>
      <c r="H233" s="178" t="inlineStr">
        <is>
          <t>11, 7, 8</t>
        </is>
      </c>
      <c r="I233" s="201">
        <f>IF(H233="","",LEN(H233)-LEN(SUBSTITUTE(H233,",",""))+1)</f>
        <v/>
      </c>
      <c r="J233" s="202" t="inlineStr">
        <is>
          <t>升高改善</t>
        </is>
      </c>
      <c r="K233" s="203" t="n">
        <v>0.563621480190678</v>
      </c>
      <c r="L233" s="203" t="n">
        <v>0.0741498977382223</v>
      </c>
      <c r="M233" s="201">
        <f>IF(OR(K233="",L233=""),"",IF(AND(L233&lt;0.05,OR(AND(J233="升高改善",K233&gt;0),AND(J233="降低改善",K233&lt;0))),"校正","不校正"))</f>
        <v/>
      </c>
      <c r="N233" s="181" t="inlineStr">
        <is>
          <t>图2，PDF第10页/期刊第262页，Marines面板，黑圆</t>
        </is>
      </c>
    </row>
    <row r="234" ht="45" customHeight="1" s="176">
      <c r="A234" s="201" t="inlineStr">
        <is>
          <t>K401</t>
        </is>
      </c>
      <c r="B234" s="201" t="inlineStr">
        <is>
          <t>051-二次</t>
        </is>
      </c>
      <c r="C234" s="201" t="inlineStr">
        <is>
          <t>Bob</t>
        </is>
      </c>
      <c r="D234" s="202" t="inlineStr">
        <is>
          <t>干预</t>
        </is>
      </c>
      <c r="E234" s="181" t="inlineStr">
        <is>
          <t>两轮合并：Stage 1 Baseline vs VSM ＋ Stage 2 Baseline vs VSM</t>
        </is>
      </c>
      <c r="F234" s="204" t="inlineStr">
        <is>
          <t>0, 0, 0, 0, 0, 0, 0, 0, 1, 0, 0, 0, 1, 0, 0, 0, 0, 0, 0, 0, 0, 0, 0, 0, 0, 0, 0, 0, 0, 0, 1, 0, 0, 0, 0, 1, 0, 0, 0, 0, 0, 0, 0, 0, 0, 0, 0, 0, 0, 0, 0, 0</t>
        </is>
      </c>
      <c r="G234" s="205">
        <f>IF(F234="","",LEN(F234)-LEN(SUBSTITUTE(F234,",",""))+1)</f>
        <v/>
      </c>
      <c r="H234" s="204" t="inlineStr">
        <is>
          <t>0, 2, 0, 0, 0, 0, 0, 1, 0, 0, 0, 0, 0</t>
        </is>
      </c>
      <c r="I234" s="205">
        <f>IF(H234="","",LEN(H234)-LEN(SUBSTITUTE(H234,",",""))+1)</f>
        <v/>
      </c>
      <c r="J234" s="206" t="inlineStr">
        <is>
          <t>升高改善</t>
        </is>
      </c>
      <c r="K234" s="207" t="n">
        <v>-0.06738396167188671</v>
      </c>
      <c r="L234" s="207" t="n">
        <v>0.559366723001915</v>
      </c>
      <c r="M234" s="205">
        <f>IF(OR(K234="",L234=""),"",IF(AND(L234&lt;0.05,OR(AND(J234="升高改善",K234&gt;0),AND(J234="降低改善",K234&lt;0))),"校正","不校正"))</f>
        <v/>
      </c>
      <c r="N234" s="181" t="inlineStr">
        <is>
          <t>PDF7/印刷108页；Bob
Figure1：第1面板；Figure2：第2面板；符号见原图图例</t>
        </is>
      </c>
    </row>
    <row r="235" ht="45" customHeight="1" s="176">
      <c r="A235" s="201" t="inlineStr">
        <is>
          <t>K402</t>
        </is>
      </c>
      <c r="B235" s="201" t="inlineStr">
        <is>
          <t>051-二次</t>
        </is>
      </c>
      <c r="C235" s="201" t="inlineStr">
        <is>
          <t>Bob</t>
        </is>
      </c>
      <c r="D235" s="202" t="inlineStr">
        <is>
          <t>维持</t>
        </is>
      </c>
      <c r="E235" s="181" t="inlineStr">
        <is>
          <t>两轮合并：Stage 1 Baseline vs Maintenance ＋ Stage 2 Baseline vs Maintenance</t>
        </is>
      </c>
      <c r="F235" s="178" t="inlineStr">
        <is>
          <t>0, 0, 0, 0, 0, 0, 0, 0, 1, 0, 0, 0, 1, 0, 0, 0, 0, 0, 0, 0, 0, 0, 0, 0, 0, 0, 0, 0, 0, 0, 1, 0, 0, 0, 0, 1, 0, 0, 0, 0, 0, 0, 0, 0, 0, 0, 0, 0, 0, 0, 0, 0</t>
        </is>
      </c>
      <c r="G235" s="201">
        <f>IF(F235="","",LEN(F235)-LEN(SUBSTITUTE(F235,",",""))+1)</f>
        <v/>
      </c>
      <c r="H235" s="178" t="inlineStr">
        <is>
          <t>0, 0, 0, 0, 0, 0, 0, 0, 0, 0, 0, 0, 0, 0, 0, 0, 0, 0, 0, 0, 0, 0, 0, 0, 0</t>
        </is>
      </c>
      <c r="I235" s="201">
        <f>IF(H235="","",LEN(H235)-LEN(SUBSTITUTE(H235,",",""))+1)</f>
        <v/>
      </c>
      <c r="J235" s="202" t="inlineStr">
        <is>
          <t>升高改善</t>
        </is>
      </c>
      <c r="K235" s="203" t="n">
        <v>-0.06738396167188671</v>
      </c>
      <c r="L235" s="203" t="n">
        <v>0.559366723001915</v>
      </c>
      <c r="M235" s="201">
        <f>IF(OR(K235="",L235=""),"",IF(AND(L235&lt;0.05,OR(AND(J235="升高改善",K235&gt;0),AND(J235="降低改善",K235&lt;0))),"校正","不校正"))</f>
        <v/>
      </c>
      <c r="N235" s="181" t="inlineStr">
        <is>
          <t>PDF7/印刷108页；Bob
Figure1：第1面板；Figure2：第2面板；符号见原图图例</t>
        </is>
      </c>
    </row>
    <row r="236" ht="45" customHeight="1" s="176">
      <c r="A236" s="201" t="inlineStr">
        <is>
          <t>K403</t>
        </is>
      </c>
      <c r="B236" s="201" t="inlineStr">
        <is>
          <t>051-二次</t>
        </is>
      </c>
      <c r="C236" s="201" t="inlineStr">
        <is>
          <t>Tevon</t>
        </is>
      </c>
      <c r="D236" s="202" t="inlineStr">
        <is>
          <t>干预</t>
        </is>
      </c>
      <c r="E236" s="181" t="inlineStr">
        <is>
          <t>两轮合并：Stage 1 Baseline vs VSM ＋ Stage 2 Baseline vs VSM</t>
        </is>
      </c>
      <c r="F236" s="178" t="inlineStr">
        <is>
          <t>2, 0, 0, 3, 1, 0, 1, 0, 2, 2, 1, 0, 0, 3, 0, 1, 0, 2, 0, 1, 2, 0, 1, 1, 0, 1, 0, 0, 2, 3, 1, 2, 0, 0, 1, 1, 0, 2, 2, 1, 3, 1, 1, 0, 0, 0, 1, 0, 5, 6, 0, 5, 2, 4, 0, 3, 1, 0, 4, 4, 0, 5, 1, 4, 1</t>
        </is>
      </c>
      <c r="G236" s="201">
        <f>IF(F236="","",LEN(F236)-LEN(SUBSTITUTE(F236,",",""))+1)</f>
        <v/>
      </c>
      <c r="H236" s="178" t="inlineStr">
        <is>
          <t>0, 4, 3, 5, 3, 3, 2, 1, 3, 1, 4, 3</t>
        </is>
      </c>
      <c r="I236" s="201">
        <f>IF(H236="","",LEN(H236)-LEN(SUBSTITUTE(H236,",",""))+1)</f>
        <v/>
      </c>
      <c r="J236" s="202" t="inlineStr">
        <is>
          <t>升高改善</t>
        </is>
      </c>
      <c r="K236" s="203" t="n">
        <v>0.173376576430084</v>
      </c>
      <c r="L236" s="203" t="n">
        <v>0.0630810149759511</v>
      </c>
      <c r="M236" s="201">
        <f>IF(OR(K236="",L236=""),"",IF(AND(L236&lt;0.05,OR(AND(J236="升高改善",K236&gt;0),AND(J236="降低改善",K236&lt;0))),"校正","不校正"))</f>
        <v/>
      </c>
      <c r="N236" s="181" t="inlineStr">
        <is>
          <t>PDF7/印刷108页；Tevon
Figure1：第2面板；Figure2：第3面板；符号见原图图例</t>
        </is>
      </c>
    </row>
    <row r="237" ht="45" customHeight="1" s="176">
      <c r="A237" s="201" t="inlineStr">
        <is>
          <t>K404</t>
        </is>
      </c>
      <c r="B237" s="201" t="inlineStr">
        <is>
          <t>051-二次</t>
        </is>
      </c>
      <c r="C237" s="201" t="inlineStr">
        <is>
          <t>Tevon</t>
        </is>
      </c>
      <c r="D237" s="202" t="inlineStr">
        <is>
          <t>维持</t>
        </is>
      </c>
      <c r="E237" s="181" t="inlineStr">
        <is>
          <t>两轮合并：Stage 1 Baseline vs Maintenance ＋ Stage 2 Baseline vs Maintenance</t>
        </is>
      </c>
      <c r="F237" s="204" t="inlineStr">
        <is>
          <t>2, 0, 0, 3, 1, 0, 1, 0, 2, 2, 1, 0, 0, 3, 0, 1, 0, 2, 0, 1, 2, 0, 1, 1, 0, 1, 0, 0, 2, 3, 1, 2, 0, 0, 1, 1, 0, 2, 2, 1, 3, 1, 1, 0, 0, 0, 1, 0, 5, 6, 0, 5, 2, 4, 0, 3, 1, 0, 4, 4, 0, 5, 1, 4, 1</t>
        </is>
      </c>
      <c r="G237" s="205">
        <f>IF(F237="","",LEN(F237)-LEN(SUBSTITUTE(F237,",",""))+1)</f>
        <v/>
      </c>
      <c r="H237" s="204" t="inlineStr">
        <is>
          <t>2, 3, 2, 3, 4, 3, 2, 4, 5, 4, 1, 3, 2, 1, 5, 2</t>
        </is>
      </c>
      <c r="I237" s="205">
        <f>IF(H237="","",LEN(H237)-LEN(SUBSTITUTE(H237,",",""))+1)</f>
        <v/>
      </c>
      <c r="J237" s="206" t="inlineStr">
        <is>
          <t>升高改善</t>
        </is>
      </c>
      <c r="K237" s="207" t="n">
        <v>0.173376576430084</v>
      </c>
      <c r="L237" s="207" t="n">
        <v>0.0630810149759511</v>
      </c>
      <c r="M237" s="205">
        <f>IF(OR(K237="",L237=""),"",IF(AND(L237&lt;0.05,OR(AND(J237="升高改善",K237&gt;0),AND(J237="降低改善",K237&lt;0))),"校正","不校正"))</f>
        <v/>
      </c>
      <c r="N237" s="181" t="inlineStr">
        <is>
          <t>PDF7/印刷108页；Tevon
Figure1：第2面板；Figure2：第3面板；符号见原图图例</t>
        </is>
      </c>
    </row>
    <row r="238" ht="45" customHeight="1" s="176">
      <c r="A238" s="201" t="inlineStr">
        <is>
          <t>K405</t>
        </is>
      </c>
      <c r="B238" s="201" t="inlineStr">
        <is>
          <t>051-二次</t>
        </is>
      </c>
      <c r="C238" s="201" t="inlineStr">
        <is>
          <t>Josh</t>
        </is>
      </c>
      <c r="D238" s="202" t="inlineStr">
        <is>
          <t>干预</t>
        </is>
      </c>
      <c r="E238" s="181" t="inlineStr">
        <is>
          <t>两轮合并：Stage 1 Baseline vs VSM ＋ Stage 2 Baseline vs VSM</t>
        </is>
      </c>
      <c r="F238" s="204" t="inlineStr">
        <is>
          <t>1, 1, 0, 0, 0, 0, 0, 1, 1, 0, 0, 0, 0, 0, 0, 0, 0, 0, 0, 1, 2, 1, 1, 0, 0, 0, 0, 0, 0, 0, 0, 0, 0, 0, 0, 0, 0, 0, 0, 0, 0, 0, 0, 0, 1, 0, 0, 0, 1, 1, 0, 0, 0, 0, 1, 0, 0, 0, 1, 0, 0, 0</t>
        </is>
      </c>
      <c r="G238" s="205">
        <f>IF(F238="","",LEN(F238)-LEN(SUBSTITUTE(F238,",",""))+1)</f>
        <v/>
      </c>
      <c r="H238" s="204" t="inlineStr">
        <is>
          <t>0, 0, 0, 0, 0, 0, 0, 0, 0, 0, 0, 0, 1</t>
        </is>
      </c>
      <c r="I238" s="205">
        <f>IF(H238="","",LEN(H238)-LEN(SUBSTITUTE(H238,",",""))+1)</f>
        <v/>
      </c>
      <c r="J238" s="206" t="inlineStr">
        <is>
          <t>升高改善</t>
        </is>
      </c>
      <c r="K238" s="207" t="n">
        <v>-0.0839488663410258</v>
      </c>
      <c r="L238" s="207" t="n">
        <v>0.422315714216397</v>
      </c>
      <c r="M238" s="205">
        <f>IF(OR(K238="",L238=""),"",IF(AND(L238&lt;0.05,OR(AND(J238="升高改善",K238&gt;0),AND(J238="降低改善",K238&lt;0))),"校正","不校正"))</f>
        <v/>
      </c>
      <c r="N238" s="181" t="inlineStr">
        <is>
          <t>PDF7/印刷108页；Josh
Figure1：第3面板；Figure2：第1面板；符号见原图图例</t>
        </is>
      </c>
    </row>
    <row r="239" ht="45" customHeight="1" s="176">
      <c r="A239" s="201" t="inlineStr">
        <is>
          <t>K406</t>
        </is>
      </c>
      <c r="B239" s="201" t="inlineStr">
        <is>
          <t>051-二次</t>
        </is>
      </c>
      <c r="C239" s="201" t="inlineStr">
        <is>
          <t>Josh</t>
        </is>
      </c>
      <c r="D239" s="202" t="inlineStr">
        <is>
          <t>维持</t>
        </is>
      </c>
      <c r="E239" s="181" t="inlineStr">
        <is>
          <t>两轮合并：Stage 1 Baseline vs Maintenance ＋ Stage 2 Baseline vs Maintenance</t>
        </is>
      </c>
      <c r="F239" s="178" t="inlineStr">
        <is>
          <t>1, 1, 0, 0, 0, 0, 0, 1, 1, 0, 0, 0, 0, 0, 0, 0, 0, 0, 0, 1, 2, 1, 1, 0, 0, 0, 0, 0, 0, 0, 0, 0, 0, 0, 0, 0, 0, 0, 0, 0, 0, 0, 0, 0, 1, 0, 0, 0, 1, 1, 0, 0, 0, 0, 1, 0, 0, 0, 1, 0, 0, 0</t>
        </is>
      </c>
      <c r="G239" s="201">
        <f>IF(F239="","",LEN(F239)-LEN(SUBSTITUTE(F239,",",""))+1)</f>
        <v/>
      </c>
      <c r="H239" s="178" t="inlineStr">
        <is>
          <t>0, 0, 0, 0, 0, 0, 0, 1, 0, 0, 0, 0, 0, 0, 0, 0, 0</t>
        </is>
      </c>
      <c r="I239" s="201">
        <f>IF(H239="","",LEN(H239)-LEN(SUBSTITUTE(H239,",",""))+1)</f>
        <v/>
      </c>
      <c r="J239" s="202" t="inlineStr">
        <is>
          <t>升高改善</t>
        </is>
      </c>
      <c r="K239" s="203" t="n">
        <v>-0.0839488663410258</v>
      </c>
      <c r="L239" s="203" t="n">
        <v>0.422315714216397</v>
      </c>
      <c r="M239" s="201">
        <f>IF(OR(K239="",L239=""),"",IF(AND(L239&lt;0.05,OR(AND(J239="升高改善",K239&gt;0),AND(J239="降低改善",K239&lt;0))),"校正","不校正"))</f>
        <v/>
      </c>
      <c r="N239" s="181" t="inlineStr">
        <is>
          <t>PDF7/印刷108页；Josh
Figure1：第3面板；Figure2：第1面板；符号见原图图例</t>
        </is>
      </c>
    </row>
    <row r="240" ht="45" customHeight="1" s="176">
      <c r="A240" s="201" t="inlineStr">
        <is>
          <t>K407</t>
        </is>
      </c>
      <c r="B240" s="201" t="inlineStr">
        <is>
          <t>051-滚雪球</t>
        </is>
      </c>
      <c r="C240" s="201" t="inlineStr">
        <is>
          <t>Ned</t>
        </is>
      </c>
      <c r="D240" s="202" t="inlineStr">
        <is>
          <t>干预</t>
        </is>
      </c>
      <c r="E240" s="178" t="inlineStr">
        <is>
          <t>Baseline vs Intervention（L1–L5 合并）</t>
        </is>
      </c>
      <c r="F240" s="178" t="inlineStr">
        <is>
          <t>1, 0, 0, 0, 0, 0</t>
        </is>
      </c>
      <c r="G240" s="201">
        <f>IF(F240="","",LEN(F240)-LEN(SUBSTITUTE(F240,",",""))+1)</f>
        <v/>
      </c>
      <c r="H240" s="178" t="inlineStr">
        <is>
          <t>8, 10, 10, 10, 10, 10</t>
        </is>
      </c>
      <c r="I240" s="201">
        <f>IF(H240="","",LEN(H240)-LEN(SUBSTITUTE(H240,",",""))+1)</f>
        <v/>
      </c>
      <c r="J240" s="202" t="inlineStr">
        <is>
          <t>升高改善</t>
        </is>
      </c>
      <c r="K240" s="203" t="n">
        <v>-0.577350269189626</v>
      </c>
      <c r="L240" s="203" t="n">
        <v>0.14323490752467</v>
      </c>
      <c r="M240" s="201">
        <f>IF(OR(K240="",L240=""),"",IF(AND(L240&lt;0.05,OR(AND(J240="升高改善",K240&gt;0),AND(J240="降低改善",K240&lt;0))),"校正","不校正"))</f>
        <v/>
      </c>
      <c r="N240" s="178" t="inlineStr">
        <is>
          <t>Figure1，PDF12（无正式印刷页码），自上而下第1面板，实心圆，左轴</t>
        </is>
      </c>
    </row>
    <row r="241" ht="45" customHeight="1" s="176">
      <c r="A241" s="201" t="inlineStr">
        <is>
          <t>K408</t>
        </is>
      </c>
      <c r="B241" s="201" t="inlineStr">
        <is>
          <t>051-滚雪球</t>
        </is>
      </c>
      <c r="C241" s="201" t="inlineStr">
        <is>
          <t>Ned</t>
        </is>
      </c>
      <c r="D241" s="202" t="inlineStr">
        <is>
          <t>维持</t>
        </is>
      </c>
      <c r="E241" s="178" t="inlineStr">
        <is>
          <t>Baseline vs Maintenance</t>
        </is>
      </c>
      <c r="F241" s="178" t="inlineStr">
        <is>
          <t>1, 0, 0, 0, 0, 0</t>
        </is>
      </c>
      <c r="G241" s="201">
        <f>IF(F241="","",LEN(F241)-LEN(SUBSTITUTE(F241,",",""))+1)</f>
        <v/>
      </c>
      <c r="H241" s="178" t="inlineStr">
        <is>
          <t>10, 10, 10, 9, 9, 8, 9, 9, 9, 9, 8, 7, 10, 10, 8, 9, 9, 9</t>
        </is>
      </c>
      <c r="I241" s="201">
        <f>IF(H241="","",LEN(H241)-LEN(SUBSTITUTE(H241,",",""))+1)</f>
        <v/>
      </c>
      <c r="J241" s="202" t="inlineStr">
        <is>
          <t>升高改善</t>
        </is>
      </c>
      <c r="K241" s="203" t="n">
        <v>-0.577350269189626</v>
      </c>
      <c r="L241" s="203" t="n">
        <v>0.14323490752467</v>
      </c>
      <c r="M241" s="201">
        <f>IF(OR(K241="",L241=""),"",IF(AND(L241&lt;0.05,OR(AND(J241="升高改善",K241&gt;0),AND(J241="降低改善",K241&lt;0))),"校正","不校正"))</f>
        <v/>
      </c>
      <c r="N241" s="178" t="inlineStr">
        <is>
          <t>Figure1，PDF12（无正式印刷页码），自上而下第1面板，实心圆，左轴</t>
        </is>
      </c>
    </row>
    <row r="242" ht="45" customHeight="1" s="176">
      <c r="A242" s="201" t="inlineStr">
        <is>
          <t>K409</t>
        </is>
      </c>
      <c r="B242" s="201" t="inlineStr">
        <is>
          <t>051-滚雪球</t>
        </is>
      </c>
      <c r="C242" s="201" t="inlineStr">
        <is>
          <t>Ned</t>
        </is>
      </c>
      <c r="D242" s="202" t="inlineStr">
        <is>
          <t>干预</t>
        </is>
      </c>
      <c r="E242" s="178" t="inlineStr">
        <is>
          <t>Baseline vs Intervention（L1–L5 合并）</t>
        </is>
      </c>
      <c r="F242" s="178" t="inlineStr">
        <is>
          <t>0, 0, 0, 0, 0, 0, 0, 0, 0, 0, 0, 0</t>
        </is>
      </c>
      <c r="G242" s="201">
        <f>IF(F242="","",LEN(F242)-LEN(SUBSTITUTE(F242,",",""))+1)</f>
        <v/>
      </c>
      <c r="H242" s="178" t="inlineStr">
        <is>
          <t>10, 10, 10, 9, 8, 9</t>
        </is>
      </c>
      <c r="I242" s="201">
        <f>IF(H242="","",LEN(H242)-LEN(SUBSTITUTE(H242,",",""))+1)</f>
        <v/>
      </c>
      <c r="J242" s="202" t="inlineStr">
        <is>
          <t>升高改善</t>
        </is>
      </c>
      <c r="K242" s="203" t="n">
        <v>0</v>
      </c>
      <c r="L242" s="203" t="n">
        <v>1</v>
      </c>
      <c r="M242" s="201">
        <f>IF(OR(K242="",L242=""),"",IF(AND(L242&lt;0.05,OR(AND(J242="升高改善",K242&gt;0),AND(J242="降低改善",K242&lt;0))),"校正","不校正"))</f>
        <v/>
      </c>
      <c r="N242" s="178" t="inlineStr">
        <is>
          <t>Figure1，PDF12（无正式印刷页码），自上而下第2面板，实心圆，左轴</t>
        </is>
      </c>
    </row>
    <row r="243" ht="45" customHeight="1" s="176">
      <c r="A243" s="201" t="inlineStr">
        <is>
          <t>K410</t>
        </is>
      </c>
      <c r="B243" s="201" t="inlineStr">
        <is>
          <t>051-滚雪球</t>
        </is>
      </c>
      <c r="C243" s="201" t="inlineStr">
        <is>
          <t>Ned</t>
        </is>
      </c>
      <c r="D243" s="202" t="inlineStr">
        <is>
          <t>维持</t>
        </is>
      </c>
      <c r="E243" s="178" t="inlineStr">
        <is>
          <t>Baseline vs Maintenance</t>
        </is>
      </c>
      <c r="F243" s="178" t="inlineStr">
        <is>
          <t>0, 0, 0, 0, 0, 0, 0, 0, 0, 0, 0, 0</t>
        </is>
      </c>
      <c r="G243" s="201">
        <f>IF(F243="","",LEN(F243)-LEN(SUBSTITUTE(F243,",",""))+1)</f>
        <v/>
      </c>
      <c r="H243" s="178" t="inlineStr">
        <is>
          <t>8, 8, 6, 10, 7, 7, 6, 9, 8, 9, 7, 5</t>
        </is>
      </c>
      <c r="I243" s="201">
        <f>IF(H243="","",LEN(H243)-LEN(SUBSTITUTE(H243,",",""))+1)</f>
        <v/>
      </c>
      <c r="J243" s="202" t="inlineStr">
        <is>
          <t>升高改善</t>
        </is>
      </c>
      <c r="K243" s="203" t="n">
        <v>0</v>
      </c>
      <c r="L243" s="203" t="n">
        <v>1</v>
      </c>
      <c r="M243" s="201">
        <f>IF(OR(K243="",L243=""),"",IF(AND(L243&lt;0.05,OR(AND(J243="升高改善",K243&gt;0),AND(J243="降低改善",K243&lt;0))),"校正","不校正"))</f>
        <v/>
      </c>
      <c r="N243" s="178" t="inlineStr">
        <is>
          <t>Figure1，PDF12（无正式印刷页码），自上而下第2面板，实心圆，左轴</t>
        </is>
      </c>
    </row>
    <row r="244" ht="45" customHeight="1" s="176">
      <c r="A244" s="201" t="inlineStr">
        <is>
          <t>K411</t>
        </is>
      </c>
      <c r="B244" s="201" t="inlineStr">
        <is>
          <t>051-滚雪球</t>
        </is>
      </c>
      <c r="C244" s="201" t="inlineStr">
        <is>
          <t>Ned</t>
        </is>
      </c>
      <c r="D244" s="202" t="inlineStr">
        <is>
          <t>干预</t>
        </is>
      </c>
      <c r="E244" s="178" t="inlineStr">
        <is>
          <t>Baseline vs Intervention（L1–L5 合并）</t>
        </is>
      </c>
      <c r="F244" s="178" t="inlineStr">
        <is>
          <t>9, 9, 7, 6, 6, 7, 4, 7, 6, 6, 8, 5, 9, 8, 7, 5, 7, 7</t>
        </is>
      </c>
      <c r="G244" s="201">
        <f>IF(F244="","",LEN(F244)-LEN(SUBSTITUTE(F244,",",""))+1)</f>
        <v/>
      </c>
      <c r="H244" s="178" t="inlineStr">
        <is>
          <t>10, 9, 10, 10, 9, 8, 10, 10</t>
        </is>
      </c>
      <c r="I244" s="201">
        <f>IF(H244="","",LEN(H244)-LEN(SUBSTITUTE(H244,",",""))+1)</f>
        <v/>
      </c>
      <c r="J244" s="202" t="inlineStr">
        <is>
          <t>升高改善</t>
        </is>
      </c>
      <c r="K244" s="203" t="n">
        <v>-0.107607782820648</v>
      </c>
      <c r="L244" s="203" t="n">
        <v>0.557608762738836</v>
      </c>
      <c r="M244" s="201">
        <f>IF(OR(K244="",L244=""),"",IF(AND(L244&lt;0.05,OR(AND(J244="升高改善",K244&gt;0),AND(J244="降低改善",K244&lt;0))),"校正","不校正"))</f>
        <v/>
      </c>
      <c r="N244" s="178" t="inlineStr">
        <is>
          <t>Figure1，PDF12（无正式印刷页码），自上而下第3面板，实心圆，左轴</t>
        </is>
      </c>
    </row>
    <row r="245" ht="45" customHeight="1" s="176">
      <c r="A245" s="201" t="inlineStr">
        <is>
          <t>K412</t>
        </is>
      </c>
      <c r="B245" s="201" t="inlineStr">
        <is>
          <t>051-滚雪球</t>
        </is>
      </c>
      <c r="C245" s="201" t="inlineStr">
        <is>
          <t>Ned</t>
        </is>
      </c>
      <c r="D245" s="202" t="inlineStr">
        <is>
          <t>维持</t>
        </is>
      </c>
      <c r="E245" s="178" t="inlineStr">
        <is>
          <t>Baseline vs Maintenance</t>
        </is>
      </c>
      <c r="F245" s="178" t="inlineStr">
        <is>
          <t>9, 9, 7, 6, 6, 7, 4, 7, 6, 6, 8, 5, 9, 8, 7, 5, 7, 7</t>
        </is>
      </c>
      <c r="G245" s="201">
        <f>IF(F245="","",LEN(F245)-LEN(SUBSTITUTE(F245,",",""))+1)</f>
        <v/>
      </c>
      <c r="H245" s="178" t="inlineStr">
        <is>
          <t>9, 9, 9, 8</t>
        </is>
      </c>
      <c r="I245" s="201">
        <f>IF(H245="","",LEN(H245)-LEN(SUBSTITUTE(H245,",",""))+1)</f>
        <v/>
      </c>
      <c r="J245" s="202" t="inlineStr">
        <is>
          <t>升高改善</t>
        </is>
      </c>
      <c r="K245" s="203" t="n">
        <v>-0.107607782820648</v>
      </c>
      <c r="L245" s="203" t="n">
        <v>0.557608762738836</v>
      </c>
      <c r="M245" s="201">
        <f>IF(OR(K245="",L245=""),"",IF(AND(L245&lt;0.05,OR(AND(J245="升高改善",K245&gt;0),AND(J245="降低改善",K245&lt;0))),"校正","不校正"))</f>
        <v/>
      </c>
      <c r="N245" s="178" t="inlineStr">
        <is>
          <t>Figure1，PDF12（无正式印刷页码），自上而下第3面板，实心圆，左轴</t>
        </is>
      </c>
    </row>
    <row r="246" ht="45" customHeight="1" s="176">
      <c r="A246" s="201" t="inlineStr">
        <is>
          <t>K413</t>
        </is>
      </c>
      <c r="B246" s="201" t="inlineStr">
        <is>
          <t>051-滚雪球</t>
        </is>
      </c>
      <c r="C246" s="201" t="inlineStr">
        <is>
          <t>Suzy</t>
        </is>
      </c>
      <c r="D246" s="202" t="inlineStr">
        <is>
          <t>干预</t>
        </is>
      </c>
      <c r="E246" s="178" t="inlineStr">
        <is>
          <t>Baseline vs Intervention（L1–L5 合并）</t>
        </is>
      </c>
      <c r="F246" s="178" t="inlineStr">
        <is>
          <t>2, 3, 2, 3, 3, 2, 3, 1, 1</t>
        </is>
      </c>
      <c r="G246" s="201">
        <f>IF(F246="","",LEN(F246)-LEN(SUBSTITUTE(F246,",",""))+1)</f>
        <v/>
      </c>
      <c r="H246" s="178" t="inlineStr">
        <is>
          <t>10, 10, 9, 10, 10, 10, 10, 9, 10</t>
        </is>
      </c>
      <c r="I246" s="201">
        <f>IF(H246="","",LEN(H246)-LEN(SUBSTITUTE(H246,",",""))+1)</f>
        <v/>
      </c>
      <c r="J246" s="202" t="inlineStr">
        <is>
          <t>升高改善</t>
        </is>
      </c>
      <c r="K246" s="203" t="n">
        <v>-0.326860225230307</v>
      </c>
      <c r="L246" s="203" t="n">
        <v>0.259544222403874</v>
      </c>
      <c r="M246" s="201">
        <f>IF(OR(K246="",L246=""),"",IF(AND(L246&lt;0.05,OR(AND(J246="升高改善",K246&gt;0),AND(J246="降低改善",K246&lt;0))),"校正","不校正"))</f>
        <v/>
      </c>
      <c r="N246" s="178" t="inlineStr">
        <is>
          <t>Figure2，PDF13（无正式印刷页码），自上而下第1面板，实心圆，左轴</t>
        </is>
      </c>
    </row>
    <row r="247" ht="45" customHeight="1" s="176">
      <c r="A247" s="201" t="inlineStr">
        <is>
          <t>K414</t>
        </is>
      </c>
      <c r="B247" s="201" t="inlineStr">
        <is>
          <t>051-滚雪球</t>
        </is>
      </c>
      <c r="C247" s="201" t="inlineStr">
        <is>
          <t>Suzy</t>
        </is>
      </c>
      <c r="D247" s="202" t="inlineStr">
        <is>
          <t>维持</t>
        </is>
      </c>
      <c r="E247" s="178" t="inlineStr">
        <is>
          <t>Baseline vs Maintenance</t>
        </is>
      </c>
      <c r="F247" s="178" t="inlineStr">
        <is>
          <t>2, 3, 2, 3, 3, 2, 3, 1, 1</t>
        </is>
      </c>
      <c r="G247" s="201">
        <f>IF(F247="","",LEN(F247)-LEN(SUBSTITUTE(F247,",",""))+1)</f>
        <v/>
      </c>
      <c r="H247" s="178" t="inlineStr">
        <is>
          <t>10, 10, 10, 10, 10, 10, 10, 9, 10, 10</t>
        </is>
      </c>
      <c r="I247" s="201">
        <f>IF(H247="","",LEN(H247)-LEN(SUBSTITUTE(H247,",",""))+1)</f>
        <v/>
      </c>
      <c r="J247" s="202" t="inlineStr">
        <is>
          <t>升高改善</t>
        </is>
      </c>
      <c r="K247" s="203" t="n">
        <v>-0.326860225230307</v>
      </c>
      <c r="L247" s="203" t="n">
        <v>0.259544222403874</v>
      </c>
      <c r="M247" s="201">
        <f>IF(OR(K247="",L247=""),"",IF(AND(L247&lt;0.05,OR(AND(J247="升高改善",K247&gt;0),AND(J247="降低改善",K247&lt;0))),"校正","不校正"))</f>
        <v/>
      </c>
      <c r="N247" s="178" t="inlineStr">
        <is>
          <t>Figure2，PDF13（无正式印刷页码），自上而下第1面板，实心圆，左轴</t>
        </is>
      </c>
    </row>
    <row r="248" ht="45" customHeight="1" s="176">
      <c r="A248" s="201" t="inlineStr">
        <is>
          <t>K415</t>
        </is>
      </c>
      <c r="B248" s="201" t="inlineStr">
        <is>
          <t>051-滚雪球</t>
        </is>
      </c>
      <c r="C248" s="201" t="inlineStr">
        <is>
          <t>Suzy</t>
        </is>
      </c>
      <c r="D248" s="202" t="inlineStr">
        <is>
          <t>干预</t>
        </is>
      </c>
      <c r="E248" s="178" t="inlineStr">
        <is>
          <t>Baseline vs Intervention（L1–L5 合并）</t>
        </is>
      </c>
      <c r="F248" s="178" t="inlineStr">
        <is>
          <t>4, 2, 3, 4, 5, 2, 4, 1, 0, 5, 0, 4, 7, 4, 2, 2, 3, 2</t>
        </is>
      </c>
      <c r="G248" s="201">
        <f>IF(F248="","",LEN(F248)-LEN(SUBSTITUTE(F248,",",""))+1)</f>
        <v/>
      </c>
      <c r="H248" s="178" t="inlineStr">
        <is>
          <t>9, 8, 7, 8, 8</t>
        </is>
      </c>
      <c r="I248" s="201">
        <f>IF(H248="","",LEN(H248)-LEN(SUBSTITUTE(H248,",",""))+1)</f>
        <v/>
      </c>
      <c r="J248" s="202" t="inlineStr">
        <is>
          <t>升高改善</t>
        </is>
      </c>
      <c r="K248" s="203" t="n">
        <v>-0.0992683136226873</v>
      </c>
      <c r="L248" s="203" t="n">
        <v>0.585977583156447</v>
      </c>
      <c r="M248" s="201">
        <f>IF(OR(K248="",L248=""),"",IF(AND(L248&lt;0.05,OR(AND(J248="升高改善",K248&gt;0),AND(J248="降低改善",K248&lt;0))),"校正","不校正"))</f>
        <v/>
      </c>
      <c r="N248" s="178" t="inlineStr">
        <is>
          <t>Figure2，PDF13（无正式印刷页码），自上而下第2面板，实心圆，左轴</t>
        </is>
      </c>
    </row>
    <row r="249" ht="45" customHeight="1" s="176">
      <c r="A249" s="201" t="inlineStr">
        <is>
          <t>K416</t>
        </is>
      </c>
      <c r="B249" s="201" t="inlineStr">
        <is>
          <t>051-滚雪球</t>
        </is>
      </c>
      <c r="C249" s="201" t="inlineStr">
        <is>
          <t>Suzy</t>
        </is>
      </c>
      <c r="D249" s="202" t="inlineStr">
        <is>
          <t>维持</t>
        </is>
      </c>
      <c r="E249" s="178" t="inlineStr">
        <is>
          <t>Baseline vs Maintenance</t>
        </is>
      </c>
      <c r="F249" s="178" t="inlineStr">
        <is>
          <t>4, 2, 3, 4, 5, 2, 4, 1, 0, 5, 0, 4, 7, 4, 2, 2, 3, 2</t>
        </is>
      </c>
      <c r="G249" s="201">
        <f>IF(F249="","",LEN(F249)-LEN(SUBSTITUTE(F249,",",""))+1)</f>
        <v/>
      </c>
      <c r="H249" s="178" t="inlineStr">
        <is>
          <t>8, 8, 8, 9, 8</t>
        </is>
      </c>
      <c r="I249" s="201">
        <f>IF(H249="","",LEN(H249)-LEN(SUBSTITUTE(H249,",",""))+1)</f>
        <v/>
      </c>
      <c r="J249" s="202" t="inlineStr">
        <is>
          <t>升高改善</t>
        </is>
      </c>
      <c r="K249" s="203" t="n">
        <v>-0.0992683136226873</v>
      </c>
      <c r="L249" s="203" t="n">
        <v>0.585977583156447</v>
      </c>
      <c r="M249" s="201">
        <f>IF(OR(K249="",L249=""),"",IF(AND(L249&lt;0.05,OR(AND(J249="升高改善",K249&gt;0),AND(J249="降低改善",K249&lt;0))),"校正","不校正"))</f>
        <v/>
      </c>
      <c r="N249" s="178" t="inlineStr">
        <is>
          <t>Figure2，PDF13（无正式印刷页码），自上而下第2面板，实心圆，左轴</t>
        </is>
      </c>
    </row>
    <row r="250" ht="45" customHeight="1" s="176">
      <c r="A250" s="201" t="inlineStr">
        <is>
          <t>K417</t>
        </is>
      </c>
      <c r="B250" s="201" t="inlineStr">
        <is>
          <t>051-滚雪球</t>
        </is>
      </c>
      <c r="C250" s="201" t="inlineStr">
        <is>
          <t>Suzy</t>
        </is>
      </c>
      <c r="D250" s="202" t="inlineStr">
        <is>
          <t>干预</t>
        </is>
      </c>
      <c r="E250" s="178" t="inlineStr">
        <is>
          <t>Baseline vs Intervention（L1–L5 合并）</t>
        </is>
      </c>
      <c r="F250" s="178" t="inlineStr">
        <is>
          <t>4, 6, 6, 7, 6, 7, 4, 5, 6, 4, 3, 3, 4, 4, 5, 4, 4, 5, 5, 5, 5, 4, 4</t>
        </is>
      </c>
      <c r="G250" s="201">
        <f>IF(F250="","",LEN(F250)-LEN(SUBSTITUTE(F250,",",""))+1)</f>
        <v/>
      </c>
      <c r="H250" s="178" t="inlineStr">
        <is>
          <t>10, 10, 7, 10, 10</t>
        </is>
      </c>
      <c r="I250" s="201">
        <f>IF(H250="","",LEN(H250)-LEN(SUBSTITUTE(H250,",",""))+1)</f>
        <v/>
      </c>
      <c r="J250" s="202" t="inlineStr">
        <is>
          <t>升高改善</t>
        </is>
      </c>
      <c r="K250" s="203" t="n">
        <v>-0.24374327058757</v>
      </c>
      <c r="L250" s="203" t="n">
        <v>0.134612800148763</v>
      </c>
      <c r="M250" s="201">
        <f>IF(OR(K250="",L250=""),"",IF(AND(L250&lt;0.05,OR(AND(J250="升高改善",K250&gt;0),AND(J250="降低改善",K250&lt;0))),"校正","不校正"))</f>
        <v/>
      </c>
      <c r="N250" s="178" t="inlineStr">
        <is>
          <t>Figure2，PDF13（无正式印刷页码），自上而下第3面板，实心圆，左轴</t>
        </is>
      </c>
    </row>
    <row r="251" ht="45" customHeight="1" s="176">
      <c r="A251" s="201" t="inlineStr">
        <is>
          <t>K418</t>
        </is>
      </c>
      <c r="B251" s="201" t="inlineStr">
        <is>
          <t>051-滚雪球</t>
        </is>
      </c>
      <c r="C251" s="201" t="inlineStr">
        <is>
          <t>Ward</t>
        </is>
      </c>
      <c r="D251" s="202" t="inlineStr">
        <is>
          <t>干预</t>
        </is>
      </c>
      <c r="E251" s="178" t="inlineStr">
        <is>
          <t>Baseline vs Intervention（L1–L5 合并）</t>
        </is>
      </c>
      <c r="F251" s="178" t="inlineStr">
        <is>
          <t>7, 1, 1, 1, 1, 1</t>
        </is>
      </c>
      <c r="G251" s="201">
        <f>IF(F251="","",LEN(F251)-LEN(SUBSTITUTE(F251,",",""))+1)</f>
        <v/>
      </c>
      <c r="H251" s="178" t="inlineStr">
        <is>
          <t>9, 8, 10, 10, 10, 9, 10, 10, 10, 10</t>
        </is>
      </c>
      <c r="I251" s="201">
        <f>IF(H251="","",LEN(H251)-LEN(SUBSTITUTE(H251,",",""))+1)</f>
        <v/>
      </c>
      <c r="J251" s="202" t="inlineStr">
        <is>
          <t>升高改善</t>
        </is>
      </c>
      <c r="K251" s="203" t="n">
        <v>-0.577350269189626</v>
      </c>
      <c r="L251" s="203" t="n">
        <v>0.14323490752467</v>
      </c>
      <c r="M251" s="201">
        <f>IF(OR(K251="",L251=""),"",IF(AND(L251&lt;0.05,OR(AND(J251="升高改善",K251&gt;0),AND(J251="降低改善",K251&lt;0))),"校正","不校正"))</f>
        <v/>
      </c>
      <c r="N251" s="178" t="inlineStr">
        <is>
          <t>Figure3，PDF14（无正式印刷页码），自上而下第1面板，实心圆，左轴</t>
        </is>
      </c>
    </row>
    <row r="252" ht="45" customHeight="1" s="176">
      <c r="A252" s="201" t="inlineStr">
        <is>
          <t>K419</t>
        </is>
      </c>
      <c r="B252" s="201" t="inlineStr">
        <is>
          <t>051-滚雪球</t>
        </is>
      </c>
      <c r="C252" s="201" t="inlineStr">
        <is>
          <t>Ward</t>
        </is>
      </c>
      <c r="D252" s="202" t="inlineStr">
        <is>
          <t>维持</t>
        </is>
      </c>
      <c r="E252" s="178" t="inlineStr">
        <is>
          <t>Baseline vs Maintenance</t>
        </is>
      </c>
      <c r="F252" s="178" t="inlineStr">
        <is>
          <t>7, 1, 1, 1, 1, 1</t>
        </is>
      </c>
      <c r="G252" s="201">
        <f>IF(F252="","",LEN(F252)-LEN(SUBSTITUTE(F252,",",""))+1)</f>
        <v/>
      </c>
      <c r="H252" s="178" t="inlineStr">
        <is>
          <t>9, 10, 10, 10, 10, 10, 10, 10, 10, 10, 10, 7, 10, 10, 10, 10, 10, 10, 10, 10</t>
        </is>
      </c>
      <c r="I252" s="201">
        <f>IF(H252="","",LEN(H252)-LEN(SUBSTITUTE(H252,",",""))+1)</f>
        <v/>
      </c>
      <c r="J252" s="202" t="inlineStr">
        <is>
          <t>升高改善</t>
        </is>
      </c>
      <c r="K252" s="203" t="n">
        <v>-0.577350269189626</v>
      </c>
      <c r="L252" s="203" t="n">
        <v>0.14323490752467</v>
      </c>
      <c r="M252" s="201">
        <f>IF(OR(K252="",L252=""),"",IF(AND(L252&lt;0.05,OR(AND(J252="升高改善",K252&gt;0),AND(J252="降低改善",K252&lt;0))),"校正","不校正"))</f>
        <v/>
      </c>
      <c r="N252" s="178" t="inlineStr">
        <is>
          <t>Figure3，PDF14（无正式印刷页码），自上而下第1面板，实心圆，左轴</t>
        </is>
      </c>
    </row>
    <row r="253" ht="45" customHeight="1" s="176">
      <c r="A253" s="201" t="inlineStr">
        <is>
          <t>K420</t>
        </is>
      </c>
      <c r="B253" s="201" t="inlineStr">
        <is>
          <t>051-滚雪球</t>
        </is>
      </c>
      <c r="C253" s="201" t="inlineStr">
        <is>
          <t>Ward</t>
        </is>
      </c>
      <c r="D253" s="202" t="inlineStr">
        <is>
          <t>干预</t>
        </is>
      </c>
      <c r="E253" s="178" t="inlineStr">
        <is>
          <t>Baseline vs Intervention（L1–L5 合并）</t>
        </is>
      </c>
      <c r="F253" s="178" t="inlineStr">
        <is>
          <t>4, 2, 5, 3, 2, 2, 1, 0, 3, 0, 2, 4, 3, 2, 2, 2</t>
        </is>
      </c>
      <c r="G253" s="201">
        <f>IF(F253="","",LEN(F253)-LEN(SUBSTITUTE(F253,",",""))+1)</f>
        <v/>
      </c>
      <c r="H253" s="178" t="inlineStr">
        <is>
          <t>9, 6, 7, 9, 6, 8, 7</t>
        </is>
      </c>
      <c r="I253" s="201">
        <f>IF(H253="","",LEN(H253)-LEN(SUBSTITUTE(H253,",",""))+1)</f>
        <v/>
      </c>
      <c r="J253" s="202" t="inlineStr">
        <is>
          <t>升高改善</t>
        </is>
      </c>
      <c r="K253" s="203" t="n">
        <v>-0.207141983717545</v>
      </c>
      <c r="L253" s="203" t="n">
        <v>0.296088364162849</v>
      </c>
      <c r="M253" s="201">
        <f>IF(OR(K253="",L253=""),"",IF(AND(L253&lt;0.05,OR(AND(J253="升高改善",K253&gt;0),AND(J253="降低改善",K253&lt;0))),"校正","不校正"))</f>
        <v/>
      </c>
      <c r="N253" s="178" t="inlineStr">
        <is>
          <t>Figure3，PDF14（无正式印刷页码），自上而下第2面板，实心圆，左轴</t>
        </is>
      </c>
    </row>
    <row r="254" ht="45" customHeight="1" s="176">
      <c r="A254" s="201" t="inlineStr">
        <is>
          <t>K421</t>
        </is>
      </c>
      <c r="B254" s="201" t="inlineStr">
        <is>
          <t>051-滚雪球</t>
        </is>
      </c>
      <c r="C254" s="201" t="inlineStr">
        <is>
          <t>Ward</t>
        </is>
      </c>
      <c r="D254" s="202" t="inlineStr">
        <is>
          <t>维持</t>
        </is>
      </c>
      <c r="E254" s="178" t="inlineStr">
        <is>
          <t>Baseline vs Maintenance</t>
        </is>
      </c>
      <c r="F254" s="178" t="inlineStr">
        <is>
          <t>4, 2, 5, 3, 2, 2, 1, 0, 3, 0, 2, 4, 3, 2, 2, 2</t>
        </is>
      </c>
      <c r="G254" s="201">
        <f>IF(F254="","",LEN(F254)-LEN(SUBSTITUTE(F254,",",""))+1)</f>
        <v/>
      </c>
      <c r="H254" s="178" t="inlineStr">
        <is>
          <t>7, 6, 6, 5, 3, 5, 4, 3, 4, 5, 4, 4, 3</t>
        </is>
      </c>
      <c r="I254" s="201">
        <f>IF(H254="","",LEN(H254)-LEN(SUBSTITUTE(H254,",",""))+1)</f>
        <v/>
      </c>
      <c r="J254" s="202" t="inlineStr">
        <is>
          <t>升高改善</t>
        </is>
      </c>
      <c r="K254" s="203" t="n">
        <v>-0.207141983717545</v>
      </c>
      <c r="L254" s="203" t="n">
        <v>0.296088364162849</v>
      </c>
      <c r="M254" s="201">
        <f>IF(OR(K254="",L254=""),"",IF(AND(L254&lt;0.05,OR(AND(J254="升高改善",K254&gt;0),AND(J254="降低改善",K254&lt;0))),"校正","不校正"))</f>
        <v/>
      </c>
      <c r="N254" s="178" t="inlineStr">
        <is>
          <t>Figure3，PDF14（无正式印刷页码），自上而下第2面板，实心圆，左轴</t>
        </is>
      </c>
    </row>
    <row r="255" ht="45" customHeight="1" s="176">
      <c r="A255" s="201" t="inlineStr">
        <is>
          <t>K422</t>
        </is>
      </c>
      <c r="B255" s="201" t="inlineStr">
        <is>
          <t>051-滚雪球</t>
        </is>
      </c>
      <c r="C255" s="201" t="inlineStr">
        <is>
          <t>Ward</t>
        </is>
      </c>
      <c r="D255" s="202" t="inlineStr">
        <is>
          <t>干预</t>
        </is>
      </c>
      <c r="E255" s="178" t="inlineStr">
        <is>
          <t>Baseline vs Intervention（L1–L5 合并）</t>
        </is>
      </c>
      <c r="F255" s="178" t="inlineStr">
        <is>
          <t>7, 8, 7, 7, 5, 4, 5, 5, 4, 4, 5, 6, 6, 6, 4, 4, 7, 5, 3, 5, 4, 4, 3</t>
        </is>
      </c>
      <c r="G255" s="201">
        <f>IF(F255="","",LEN(F255)-LEN(SUBSTITUTE(F255,",",""))+1)</f>
        <v/>
      </c>
      <c r="H255" s="178" t="inlineStr">
        <is>
          <t>10, 10, 10, 10, 10, 8, 10, 8, 9, 10, 10, 9</t>
        </is>
      </c>
      <c r="I255" s="201">
        <f>IF(H255="","",LEN(H255)-LEN(SUBSTITUTE(H255,",",""))+1)</f>
        <v/>
      </c>
      <c r="J255" s="202" t="inlineStr">
        <is>
          <t>升高改善</t>
        </is>
      </c>
      <c r="K255" s="203" t="n">
        <v>-0.450082152050865</v>
      </c>
      <c r="L255" s="203" t="n">
        <v>0.00502026325968775</v>
      </c>
      <c r="M255" s="201">
        <f>IF(OR(K255="",L255=""),"",IF(AND(L255&lt;0.05,OR(AND(J255="升高改善",K255&gt;0),AND(J255="降低改善",K255&lt;0))),"校正","不校正"))</f>
        <v/>
      </c>
      <c r="N255" s="178" t="inlineStr">
        <is>
          <t>Figure3，PDF14（无正式印刷页码），自上而下第3面板，实心圆，左轴</t>
        </is>
      </c>
    </row>
    <row r="256" ht="45" customHeight="1" s="176">
      <c r="A256" s="201" t="inlineStr">
        <is>
          <t>K423</t>
        </is>
      </c>
      <c r="B256" s="201" t="inlineStr">
        <is>
          <t>052-二次</t>
        </is>
      </c>
      <c r="C256" s="201" t="inlineStr">
        <is>
          <t>P1 Participant 1</t>
        </is>
      </c>
      <c r="D256" s="202" t="inlineStr">
        <is>
          <t>干预</t>
        </is>
      </c>
      <c r="E256" s="178" t="inlineStr">
        <is>
          <t>Baseline vs VSM</t>
        </is>
      </c>
      <c r="F256" s="204" t="inlineStr">
        <is>
          <t>0, 3, 1, 1, 0, 0</t>
        </is>
      </c>
      <c r="G256" s="205">
        <f>IF(F256="","",LEN(F256)-LEN(SUBSTITUTE(F256,",",""))+1)</f>
        <v/>
      </c>
      <c r="H256" s="204" t="inlineStr">
        <is>
          <t>5, 4, 16, 13, 5, 7, 5, 7, 19, 10, 11, 11, 10, 20</t>
        </is>
      </c>
      <c r="I256" s="205">
        <f>IF(H256="","",LEN(H256)-LEN(SUBSTITUTE(H256,",",""))+1)</f>
        <v/>
      </c>
      <c r="J256" s="206" t="inlineStr">
        <is>
          <t>升高改善</t>
        </is>
      </c>
      <c r="K256" s="207" t="n">
        <v>-0.389249472080762</v>
      </c>
      <c r="L256" s="207" t="n">
        <v>0.304051884244243</v>
      </c>
      <c r="M256" s="205">
        <f>IF(OR(K256="",L256=""),"",IF(AND(L256&lt;0.05,OR(AND(J256="升高改善",K256&gt;0),AND(J256="降低改善",K256&lt;0))),"校正","不校正"))</f>
        <v/>
      </c>
      <c r="N256" s="178" t="inlineStr">
        <is>
          <t>Figure1，PDF4/页33，自上而下第1面板Participant 1；符号见原图图例</t>
        </is>
      </c>
    </row>
    <row r="257" ht="45" customHeight="1" s="176">
      <c r="A257" s="201" t="inlineStr">
        <is>
          <t>K424</t>
        </is>
      </c>
      <c r="B257" s="201" t="inlineStr">
        <is>
          <t>052-二次</t>
        </is>
      </c>
      <c r="C257" s="201" t="inlineStr">
        <is>
          <t>P1 Participant 1</t>
        </is>
      </c>
      <c r="D257" s="202" t="inlineStr">
        <is>
          <t>维持</t>
        </is>
      </c>
      <c r="E257" s="178" t="inlineStr">
        <is>
          <t>Baseline vs Maintenance</t>
        </is>
      </c>
      <c r="F257" s="204" t="inlineStr">
        <is>
          <t>0, 3, 1, 1, 0, 0</t>
        </is>
      </c>
      <c r="G257" s="205">
        <f>IF(F257="","",LEN(F257)-LEN(SUBSTITUTE(F257,",",""))+1)</f>
        <v/>
      </c>
      <c r="H257" s="204" t="inlineStr">
        <is>
          <t>24, 24, 25</t>
        </is>
      </c>
      <c r="I257" s="205">
        <f>IF(H257="","",LEN(H257)-LEN(SUBSTITUTE(H257,",",""))+1)</f>
        <v/>
      </c>
      <c r="J257" s="206" t="inlineStr">
        <is>
          <t>升高改善</t>
        </is>
      </c>
      <c r="K257" s="207" t="n">
        <v>-0.389249472080762</v>
      </c>
      <c r="L257" s="207" t="n">
        <v>0.304051884244243</v>
      </c>
      <c r="M257" s="205">
        <f>IF(OR(K257="",L257=""),"",IF(AND(L257&lt;0.05,OR(AND(J257="升高改善",K257&gt;0),AND(J257="降低改善",K257&lt;0))),"校正","不校正"))</f>
        <v/>
      </c>
      <c r="N257" s="178" t="inlineStr">
        <is>
          <t>Figure1，PDF4/页33，自上而下第1面板Participant 1；符号见原图图例</t>
        </is>
      </c>
    </row>
    <row r="258" ht="45" customHeight="1" s="176">
      <c r="A258" s="201" t="inlineStr">
        <is>
          <t>K425</t>
        </is>
      </c>
      <c r="B258" s="201" t="inlineStr">
        <is>
          <t>052-二次</t>
        </is>
      </c>
      <c r="C258" s="201" t="inlineStr">
        <is>
          <t>P2 Participant 2</t>
        </is>
      </c>
      <c r="D258" s="202" t="inlineStr">
        <is>
          <t>干预</t>
        </is>
      </c>
      <c r="E258" s="178" t="inlineStr">
        <is>
          <t>Baseline vs VSM</t>
        </is>
      </c>
      <c r="F258" s="204" t="inlineStr">
        <is>
          <t>0, 0, 5, 4, 5, 4, 2, 0, 0, 4, 2, 5, 4, 4, 2, 4, 4, 2, 1</t>
        </is>
      </c>
      <c r="G258" s="205">
        <f>IF(F258="","",LEN(F258)-LEN(SUBSTITUTE(F258,",",""))+1)</f>
        <v/>
      </c>
      <c r="H258" s="204" t="inlineStr">
        <is>
          <t>11, 11, 20, 26, 13, 12, 21</t>
        </is>
      </c>
      <c r="I258" s="205">
        <f>IF(H258="","",LEN(H258)-LEN(SUBSTITUTE(H258,",",""))+1)</f>
        <v/>
      </c>
      <c r="J258" s="206" t="inlineStr">
        <is>
          <t>升高改善</t>
        </is>
      </c>
      <c r="K258" s="207" t="n">
        <v>-0.00658165419732325</v>
      </c>
      <c r="L258" s="207" t="n">
        <v>0.970904144688429</v>
      </c>
      <c r="M258" s="205">
        <f>IF(OR(K258="",L258=""),"",IF(AND(L258&lt;0.05,OR(AND(J258="升高改善",K258&gt;0),AND(J258="降低改善",K258&lt;0))),"校正","不校正"))</f>
        <v/>
      </c>
      <c r="N258" s="178" t="inlineStr">
        <is>
          <t>Figure1，PDF4/页33，自上而下第2面板Participant 2；符号见原图图例</t>
        </is>
      </c>
    </row>
    <row r="259" ht="45" customHeight="1" s="176">
      <c r="A259" s="201" t="inlineStr">
        <is>
          <t>K426</t>
        </is>
      </c>
      <c r="B259" s="201" t="inlineStr">
        <is>
          <t>052-二次</t>
        </is>
      </c>
      <c r="C259" s="201" t="inlineStr">
        <is>
          <t>P3 Participant 3</t>
        </is>
      </c>
      <c r="D259" s="202" t="inlineStr">
        <is>
          <t>干预</t>
        </is>
      </c>
      <c r="E259" s="178" t="inlineStr">
        <is>
          <t>Baseline vs VSM</t>
        </is>
      </c>
      <c r="F259" s="204" t="inlineStr">
        <is>
          <t>0, 0, 0, 0, 3, 0, 4, 1, 0, 0, 1, 3, 1, 1, 0, 1, 2, 0, 1, 0, 3, 2, 1, 1, 0, 1</t>
        </is>
      </c>
      <c r="G259" s="205">
        <f>IF(F259="","",LEN(F259)-LEN(SUBSTITUTE(F259,",",""))+1)</f>
        <v/>
      </c>
      <c r="H259" s="204" t="inlineStr">
        <is>
          <t>7, 7, 8, 11, 11, 17, 7, 9, 8, 8, 14, 16, 23, 20, 18</t>
        </is>
      </c>
      <c r="I259" s="205">
        <f>IF(H259="","",LEN(H259)-LEN(SUBSTITUTE(H259,",",""))+1)</f>
        <v/>
      </c>
      <c r="J259" s="206" t="inlineStr">
        <is>
          <t>升高改善</t>
        </is>
      </c>
      <c r="K259" s="207" t="n">
        <v>0.175564069430269</v>
      </c>
      <c r="L259" s="207" t="n">
        <v>0.257457953886693</v>
      </c>
      <c r="M259" s="205">
        <f>IF(OR(K259="",L259=""),"",IF(AND(L259&lt;0.05,OR(AND(J259="升高改善",K259&gt;0),AND(J259="降低改善",K259&lt;0))),"校正","不校正"))</f>
        <v/>
      </c>
      <c r="N259" s="178" t="inlineStr">
        <is>
          <t>Figure1，PDF4/页33，自上而下第3面板Participant 3；符号见原图图例</t>
        </is>
      </c>
    </row>
    <row r="260" ht="45" customHeight="1" s="176">
      <c r="A260" s="201" t="inlineStr">
        <is>
          <t>K427</t>
        </is>
      </c>
      <c r="B260" s="201" t="inlineStr">
        <is>
          <t>052-二次</t>
        </is>
      </c>
      <c r="C260" s="201" t="inlineStr">
        <is>
          <t>P4 Participant 4</t>
        </is>
      </c>
      <c r="D260" s="202" t="inlineStr">
        <is>
          <t>干预</t>
        </is>
      </c>
      <c r="E260" s="178" t="inlineStr">
        <is>
          <t>Baseline vs VSM</t>
        </is>
      </c>
      <c r="F260" s="204" t="inlineStr">
        <is>
          <t>0, 0, 1, 1, 0, 2, 0, 1, 0, 0, 1, 2, 3, 5, 2, 1, 1, 3, 2, 0, 0, 2, 1, 3, 1, 5, 1, 2</t>
        </is>
      </c>
      <c r="G260" s="205">
        <f>IF(F260="","",LEN(F260)-LEN(SUBSTITUTE(F260,",",""))+1)</f>
        <v/>
      </c>
      <c r="H260" s="204" t="inlineStr">
        <is>
          <t>6, 2, 6, 28, 25, 15</t>
        </is>
      </c>
      <c r="I260" s="205">
        <f>IF(H260="","",LEN(H260)-LEN(SUBSTITUTE(H260,",",""))+1)</f>
        <v/>
      </c>
      <c r="J260" s="206" t="inlineStr">
        <is>
          <t>升高改善</t>
        </is>
      </c>
      <c r="K260" s="207" t="n">
        <v>0.326414610690027</v>
      </c>
      <c r="L260" s="207" t="n">
        <v>0.0252077530755943</v>
      </c>
      <c r="M260" s="205">
        <f>IF(OR(K260="",L260=""),"",IF(AND(L260&lt;0.05,OR(AND(J260="升高改善",K260&gt;0),AND(J260="降低改善",K260&lt;0))),"校正","不校正"))</f>
        <v/>
      </c>
      <c r="N260" s="178" t="inlineStr">
        <is>
          <t>Figure1，PDF4/页33，自上而下第4面板Participant 4；符号见原图图例</t>
        </is>
      </c>
    </row>
    <row r="261" ht="45" customHeight="1" s="176">
      <c r="A261" s="201" t="inlineStr">
        <is>
          <t>K428</t>
        </is>
      </c>
      <c r="B261" s="201" t="inlineStr">
        <is>
          <t>055-二次</t>
        </is>
      </c>
      <c r="C261" s="201" t="inlineStr">
        <is>
          <t>Eddie</t>
        </is>
      </c>
      <c r="D261" s="202" t="inlineStr">
        <is>
          <t>干预</t>
        </is>
      </c>
      <c r="E261" s="178" t="inlineStr">
        <is>
          <t>Baseline vs Video Modeling</t>
        </is>
      </c>
      <c r="F261" s="178" t="inlineStr">
        <is>
          <t>0, 0, 0, 0, 0</t>
        </is>
      </c>
      <c r="G261" s="201">
        <f>IF(F261="","",LEN(F261)-LEN(SUBSTITUTE(F261,",",""))+1)</f>
        <v/>
      </c>
      <c r="H261" s="178" t="inlineStr">
        <is>
          <t>100, 100, 100, 78</t>
        </is>
      </c>
      <c r="I261" s="201">
        <f>IF(H261="","",LEN(H261)-LEN(SUBSTITUTE(H261,",",""))+1)</f>
        <v/>
      </c>
      <c r="J261" s="202" t="inlineStr">
        <is>
          <t>升高改善</t>
        </is>
      </c>
      <c r="K261" s="203" t="n">
        <v>0</v>
      </c>
      <c r="L261" s="203" t="n">
        <v>1</v>
      </c>
      <c r="M261" s="201">
        <f>IF(OR(K261="",L261=""),"",IF(AND(L261&lt;0.05,OR(AND(J261="升高改善",K261&gt;0),AND(J261="降低改善",K261&lt;0))),"校正","不校正"))</f>
        <v/>
      </c>
      <c r="N261" s="178" t="inlineStr">
        <is>
          <t>Figure 1；PDF第13页/印刷382页；Eddie面板；实心圆</t>
        </is>
      </c>
    </row>
    <row r="262" ht="45" customHeight="1" s="176">
      <c r="A262" s="201" t="inlineStr">
        <is>
          <t>K429</t>
        </is>
      </c>
      <c r="B262" s="201" t="inlineStr">
        <is>
          <t>055-二次</t>
        </is>
      </c>
      <c r="C262" s="201" t="inlineStr">
        <is>
          <t>Eddie</t>
        </is>
      </c>
      <c r="D262" s="202" t="inlineStr">
        <is>
          <t>干预</t>
        </is>
      </c>
      <c r="E262" s="178" t="inlineStr">
        <is>
          <t>Baseline vs Video Modeling</t>
        </is>
      </c>
      <c r="F262" s="178" t="inlineStr">
        <is>
          <t>0, 0, 0, 11, 0</t>
        </is>
      </c>
      <c r="G262" s="201">
        <f>IF(F262="","",LEN(F262)-LEN(SUBSTITUTE(F262,",",""))+1)</f>
        <v/>
      </c>
      <c r="H262" s="178" t="inlineStr">
        <is>
          <t>100, 100, 100, 78</t>
        </is>
      </c>
      <c r="I262" s="201">
        <f>IF(H262="","",LEN(H262)-LEN(SUBSTITUTE(H262,",",""))+1)</f>
        <v/>
      </c>
      <c r="J262" s="202" t="inlineStr">
        <is>
          <t>升高改善</t>
        </is>
      </c>
      <c r="K262" s="203" t="n">
        <v>0.316227766016838</v>
      </c>
      <c r="L262" s="203" t="n">
        <v>0.479500122186953</v>
      </c>
      <c r="M262" s="201">
        <f>IF(OR(K262="",L262=""),"",IF(AND(L262&lt;0.05,OR(AND(J262="升高改善",K262&gt;0),AND(J262="降低改善",K262&lt;0))),"校正","不校正"))</f>
        <v/>
      </c>
      <c r="N262" s="178" t="inlineStr">
        <is>
          <t>Figure 2；PDF第14页/印刷383页；Eddie面板；实心圆</t>
        </is>
      </c>
    </row>
    <row r="263" ht="45" customHeight="1" s="176">
      <c r="A263" s="201" t="inlineStr">
        <is>
          <t>K430</t>
        </is>
      </c>
      <c r="B263" s="201" t="inlineStr">
        <is>
          <t>055-二次</t>
        </is>
      </c>
      <c r="C263" s="201" t="inlineStr">
        <is>
          <t>Eddie</t>
        </is>
      </c>
      <c r="D263" s="202" t="inlineStr">
        <is>
          <t>干预</t>
        </is>
      </c>
      <c r="E263" s="178" t="inlineStr">
        <is>
          <t>Baseline vs Video Modeling</t>
        </is>
      </c>
      <c r="F263" s="178" t="inlineStr">
        <is>
          <t>0, 0, 0, 0, 0</t>
        </is>
      </c>
      <c r="G263" s="201">
        <f>IF(F263="","",LEN(F263)-LEN(SUBSTITUTE(F263,",",""))+1)</f>
        <v/>
      </c>
      <c r="H263" s="178" t="inlineStr">
        <is>
          <t>33, 22, 78, 78</t>
        </is>
      </c>
      <c r="I263" s="201">
        <f>IF(H263="","",LEN(H263)-LEN(SUBSTITUTE(H263,",",""))+1)</f>
        <v/>
      </c>
      <c r="J263" s="202" t="inlineStr">
        <is>
          <t>升高改善</t>
        </is>
      </c>
      <c r="K263" s="203" t="n">
        <v>0</v>
      </c>
      <c r="L263" s="203" t="n">
        <v>1</v>
      </c>
      <c r="M263" s="201">
        <f>IF(OR(K263="",L263=""),"",IF(AND(L263&lt;0.05,OR(AND(J263="升高改善",K263&gt;0),AND(J263="降低改善",K263&lt;0))),"校正","不校正"))</f>
        <v/>
      </c>
      <c r="N263" s="178" t="inlineStr">
        <is>
          <t>Figure 3；PDF第14页/印刷383页；Eddie面板；实心圆</t>
        </is>
      </c>
    </row>
    <row r="264" ht="45" customHeight="1" s="176">
      <c r="A264" s="201" t="inlineStr">
        <is>
          <t>K431</t>
        </is>
      </c>
      <c r="B264" s="201" t="inlineStr">
        <is>
          <t>055-二次</t>
        </is>
      </c>
      <c r="C264" s="201" t="inlineStr">
        <is>
          <t>Eddie</t>
        </is>
      </c>
      <c r="D264" s="202" t="inlineStr">
        <is>
          <t>干预</t>
        </is>
      </c>
      <c r="E264" s="178" t="inlineStr">
        <is>
          <t>Baseline vs Video Modeling</t>
        </is>
      </c>
      <c r="F264" s="178" t="inlineStr">
        <is>
          <t>22, 11, 33, 0, 0</t>
        </is>
      </c>
      <c r="G264" s="201">
        <f>IF(F264="","",LEN(F264)-LEN(SUBSTITUTE(F264,",",""))+1)</f>
        <v/>
      </c>
      <c r="H264" s="178" t="inlineStr">
        <is>
          <t>78, 11, 78, 78</t>
        </is>
      </c>
      <c r="I264" s="201">
        <f>IF(H264="","",LEN(H264)-LEN(SUBSTITUTE(H264,",",""))+1)</f>
        <v/>
      </c>
      <c r="J264" s="202" t="inlineStr">
        <is>
          <t>升高改善</t>
        </is>
      </c>
      <c r="K264" s="203" t="n">
        <v>-0.52704627669473</v>
      </c>
      <c r="L264" s="203" t="n">
        <v>0.206507295485425</v>
      </c>
      <c r="M264" s="201">
        <f>IF(OR(K264="",L264=""),"",IF(AND(L264&lt;0.05,OR(AND(J264="升高改善",K264&gt;0),AND(J264="降低改善",K264&lt;0))),"校正","不校正"))</f>
        <v/>
      </c>
      <c r="N264" s="178" t="inlineStr">
        <is>
          <t>Figure 4；PDF第15页/印刷384页；Eddie面板；实心圆</t>
        </is>
      </c>
    </row>
    <row r="265" ht="45" customHeight="1" s="176">
      <c r="A265" s="201" t="inlineStr">
        <is>
          <t>K432</t>
        </is>
      </c>
      <c r="B265" s="201" t="inlineStr">
        <is>
          <t>055-二次</t>
        </is>
      </c>
      <c r="C265" s="201" t="inlineStr">
        <is>
          <t>Mark</t>
        </is>
      </c>
      <c r="D265" s="202" t="inlineStr">
        <is>
          <t>干预</t>
        </is>
      </c>
      <c r="E265" s="178" t="inlineStr">
        <is>
          <t>Baseline vs Video Modeling</t>
        </is>
      </c>
      <c r="F265" s="178" t="inlineStr">
        <is>
          <t>0, 0, 0, 0, 0, 0, 0</t>
        </is>
      </c>
      <c r="G265" s="201">
        <f>IF(F265="","",LEN(F265)-LEN(SUBSTITUTE(F265,",",""))+1)</f>
        <v/>
      </c>
      <c r="H265" s="178" t="inlineStr">
        <is>
          <t>100, 100, 100, 100</t>
        </is>
      </c>
      <c r="I265" s="201">
        <f>IF(H265="","",LEN(H265)-LEN(SUBSTITUTE(H265,",",""))+1)</f>
        <v/>
      </c>
      <c r="J265" s="202" t="inlineStr">
        <is>
          <t>升高改善</t>
        </is>
      </c>
      <c r="K265" s="203" t="n">
        <v>0</v>
      </c>
      <c r="L265" s="203" t="n">
        <v>1</v>
      </c>
      <c r="M265" s="201">
        <f>IF(OR(K265="",L265=""),"",IF(AND(L265&lt;0.05,OR(AND(J265="升高改善",K265&gt;0),AND(J265="降低改善",K265&lt;0))),"校正","不校正"))</f>
        <v/>
      </c>
      <c r="N265" s="178" t="inlineStr">
        <is>
          <t>Figure 1；PDF第13页/印刷382页；Mark面板；实心圆</t>
        </is>
      </c>
    </row>
    <row r="266" ht="45" customHeight="1" s="176">
      <c r="A266" s="201" t="inlineStr">
        <is>
          <t>K433</t>
        </is>
      </c>
      <c r="B266" s="201" t="inlineStr">
        <is>
          <t>055-二次</t>
        </is>
      </c>
      <c r="C266" s="201" t="inlineStr">
        <is>
          <t>Mark</t>
        </is>
      </c>
      <c r="D266" s="202" t="inlineStr">
        <is>
          <t>干预</t>
        </is>
      </c>
      <c r="E266" s="178" t="inlineStr">
        <is>
          <t>Baseline vs Video Modeling</t>
        </is>
      </c>
      <c r="F266" s="178" t="inlineStr">
        <is>
          <t>0, 0, 0, 0, 0, 0, 0</t>
        </is>
      </c>
      <c r="G266" s="201">
        <f>IF(F266="","",LEN(F266)-LEN(SUBSTITUTE(F266,",",""))+1)</f>
        <v/>
      </c>
      <c r="H266" s="178" t="inlineStr">
        <is>
          <t>100, 100, 89, 100</t>
        </is>
      </c>
      <c r="I266" s="201">
        <f>IF(H266="","",LEN(H266)-LEN(SUBSTITUTE(H266,",",""))+1)</f>
        <v/>
      </c>
      <c r="J266" s="202" t="inlineStr">
        <is>
          <t>升高改善</t>
        </is>
      </c>
      <c r="K266" s="203" t="n">
        <v>0</v>
      </c>
      <c r="L266" s="203" t="n">
        <v>1</v>
      </c>
      <c r="M266" s="201">
        <f>IF(OR(K266="",L266=""),"",IF(AND(L266&lt;0.05,OR(AND(J266="升高改善",K266&gt;0),AND(J266="降低改善",K266&lt;0))),"校正","不校正"))</f>
        <v/>
      </c>
      <c r="N266" s="178" t="inlineStr">
        <is>
          <t>Figure 2；PDF第14页/印刷383页；Mark面板；实心圆</t>
        </is>
      </c>
    </row>
    <row r="267" ht="45" customHeight="1" s="176">
      <c r="A267" s="201" t="inlineStr">
        <is>
          <t>K434</t>
        </is>
      </c>
      <c r="B267" s="201" t="inlineStr">
        <is>
          <t>055-二次</t>
        </is>
      </c>
      <c r="C267" s="201" t="inlineStr">
        <is>
          <t>Mark</t>
        </is>
      </c>
      <c r="D267" s="202" t="inlineStr">
        <is>
          <t>干预</t>
        </is>
      </c>
      <c r="E267" s="178" t="inlineStr">
        <is>
          <t>Baseline vs Video Modeling</t>
        </is>
      </c>
      <c r="F267" s="178" t="inlineStr">
        <is>
          <t>0, 0, 0, 0, 0, 0, 0</t>
        </is>
      </c>
      <c r="G267" s="201">
        <f>IF(F267="","",LEN(F267)-LEN(SUBSTITUTE(F267,",",""))+1)</f>
        <v/>
      </c>
      <c r="H267" s="178" t="inlineStr">
        <is>
          <t>56, 100, 100, 100</t>
        </is>
      </c>
      <c r="I267" s="201">
        <f>IF(H267="","",LEN(H267)-LEN(SUBSTITUTE(H267,",",""))+1)</f>
        <v/>
      </c>
      <c r="J267" s="202" t="inlineStr">
        <is>
          <t>升高改善</t>
        </is>
      </c>
      <c r="K267" s="203" t="n">
        <v>0</v>
      </c>
      <c r="L267" s="203" t="n">
        <v>1</v>
      </c>
      <c r="M267" s="201">
        <f>IF(OR(K267="",L267=""),"",IF(AND(L267&lt;0.05,OR(AND(J267="升高改善",K267&gt;0),AND(J267="降低改善",K267&lt;0))),"校正","不校正"))</f>
        <v/>
      </c>
      <c r="N267" s="178" t="inlineStr">
        <is>
          <t>Figure 3；PDF第14页/印刷383页；Mark面板；实心圆</t>
        </is>
      </c>
    </row>
    <row r="268" ht="45" customHeight="1" s="176">
      <c r="A268" s="201" t="inlineStr">
        <is>
          <t>K435</t>
        </is>
      </c>
      <c r="B268" s="201" t="inlineStr">
        <is>
          <t>055-二次</t>
        </is>
      </c>
      <c r="C268" s="201" t="inlineStr">
        <is>
          <t>Mark</t>
        </is>
      </c>
      <c r="D268" s="202" t="inlineStr">
        <is>
          <t>干预</t>
        </is>
      </c>
      <c r="E268" s="178" t="inlineStr">
        <is>
          <t>Baseline vs Video Modeling</t>
        </is>
      </c>
      <c r="F268" s="178" t="inlineStr">
        <is>
          <t>11, 22, 0, 0, 0, 0, 0</t>
        </is>
      </c>
      <c r="G268" s="201">
        <f>IF(F268="","",LEN(F268)-LEN(SUBSTITUTE(F268,",",""))+1)</f>
        <v/>
      </c>
      <c r="H268" s="178" t="inlineStr">
        <is>
          <t>67, 56, 78, 89</t>
        </is>
      </c>
      <c r="I268" s="201">
        <f>IF(H268="","",LEN(H268)-LEN(SUBSTITUTE(H268,",",""))+1)</f>
        <v/>
      </c>
      <c r="J268" s="202" t="inlineStr">
        <is>
          <t>升高改善</t>
        </is>
      </c>
      <c r="K268" s="203" t="n">
        <v>-0.592156525463792</v>
      </c>
      <c r="L268" s="203" t="n">
        <v>0.0870708722427492</v>
      </c>
      <c r="M268" s="201">
        <f>IF(OR(K268="",L268=""),"",IF(AND(L268&lt;0.05,OR(AND(J268="升高改善",K268&gt;0),AND(J268="降低改善",K268&lt;0))),"校正","不校正"))</f>
        <v/>
      </c>
      <c r="N268" s="178" t="inlineStr">
        <is>
          <t>Figure 4；PDF第15页/印刷384页；Mark面板；实心圆</t>
        </is>
      </c>
    </row>
    <row r="269" ht="45" customHeight="1" s="176">
      <c r="A269" s="201" t="inlineStr">
        <is>
          <t>K436</t>
        </is>
      </c>
      <c r="B269" s="201" t="inlineStr">
        <is>
          <t>055-二次</t>
        </is>
      </c>
      <c r="C269" s="201" t="inlineStr">
        <is>
          <t>Terry</t>
        </is>
      </c>
      <c r="D269" s="202" t="inlineStr">
        <is>
          <t>干预</t>
        </is>
      </c>
      <c r="E269" s="178" t="inlineStr">
        <is>
          <t>Baseline vs Video Modeling</t>
        </is>
      </c>
      <c r="F269" s="204" t="inlineStr">
        <is>
          <t>0, 0, 0, 0, 0, 0, 0, 0, 0, 0, 0</t>
        </is>
      </c>
      <c r="G269" s="205">
        <f>IF(F269="","",LEN(F269)-LEN(SUBSTITUTE(F269,",",""))+1)</f>
        <v/>
      </c>
      <c r="H269" s="204" t="inlineStr">
        <is>
          <t>100, 100, 100, 100, 100</t>
        </is>
      </c>
      <c r="I269" s="205">
        <f>IF(H269="","",LEN(H269)-LEN(SUBSTITUTE(H269,",",""))+1)</f>
        <v/>
      </c>
      <c r="J269" s="206" t="inlineStr">
        <is>
          <t>升高改善</t>
        </is>
      </c>
      <c r="K269" s="207" t="n">
        <v>0</v>
      </c>
      <c r="L269" s="207" t="n">
        <v>1</v>
      </c>
      <c r="M269" s="205">
        <f>IF(OR(K269="",L269=""),"",IF(AND(L269&lt;0.05,OR(AND(J269="升高改善",K269&gt;0),AND(J269="降低改善",K269&lt;0))),"校正","不校正"))</f>
        <v/>
      </c>
      <c r="N269" s="178" t="inlineStr">
        <is>
          <t>Figure 1；PDF第13页/印刷382页；Terry面板；实心圆</t>
        </is>
      </c>
    </row>
    <row r="270" ht="45" customHeight="1" s="176">
      <c r="A270" s="201" t="inlineStr">
        <is>
          <t>K437</t>
        </is>
      </c>
      <c r="B270" s="201" t="inlineStr">
        <is>
          <t>055-二次</t>
        </is>
      </c>
      <c r="C270" s="201" t="inlineStr">
        <is>
          <t>Terry</t>
        </is>
      </c>
      <c r="D270" s="202" t="inlineStr">
        <is>
          <t>干预</t>
        </is>
      </c>
      <c r="E270" s="178" t="inlineStr">
        <is>
          <t>Baseline vs Video Modeling</t>
        </is>
      </c>
      <c r="F270" s="204" t="inlineStr">
        <is>
          <t>0, 0, 0, 0, 0, 0, 0, 0, 0, 0, 0</t>
        </is>
      </c>
      <c r="G270" s="205">
        <f>IF(F270="","",LEN(F270)-LEN(SUBSTITUTE(F270,",",""))+1)</f>
        <v/>
      </c>
      <c r="H270" s="204" t="inlineStr">
        <is>
          <t>67, 56, 100, 89, 100</t>
        </is>
      </c>
      <c r="I270" s="205">
        <f>IF(H270="","",LEN(H270)-LEN(SUBSTITUTE(H270,",",""))+1)</f>
        <v/>
      </c>
      <c r="J270" s="206" t="inlineStr">
        <is>
          <t>升高改善</t>
        </is>
      </c>
      <c r="K270" s="207" t="n">
        <v>0</v>
      </c>
      <c r="L270" s="207" t="n">
        <v>1</v>
      </c>
      <c r="M270" s="205">
        <f>IF(OR(K270="",L270=""),"",IF(AND(L270&lt;0.05,OR(AND(J270="升高改善",K270&gt;0),AND(J270="降低改善",K270&lt;0))),"校正","不校正"))</f>
        <v/>
      </c>
      <c r="N270" s="178" t="inlineStr">
        <is>
          <t>Figure 2；PDF第14页/印刷383页；Terry面板；实心圆</t>
        </is>
      </c>
    </row>
    <row r="271" ht="60" customHeight="1" s="176">
      <c r="A271" s="201" t="inlineStr">
        <is>
          <t>K438</t>
        </is>
      </c>
      <c r="B271" s="201" t="inlineStr">
        <is>
          <t>055-二次</t>
        </is>
      </c>
      <c r="C271" s="201" t="inlineStr">
        <is>
          <t>Terry</t>
        </is>
      </c>
      <c r="D271" s="202" t="inlineStr">
        <is>
          <t>干预</t>
        </is>
      </c>
      <c r="E271" s="178" t="inlineStr">
        <is>
          <t>Baseline vs Video Modeling</t>
        </is>
      </c>
      <c r="F271" s="204" t="inlineStr">
        <is>
          <t>0, 0, 33, 0, 0, 0, 0, 0, 0, 11, 0</t>
        </is>
      </c>
      <c r="G271" s="205">
        <f>IF(F271="","",LEN(F271)-LEN(SUBSTITUTE(F271,",",""))+1)</f>
        <v/>
      </c>
      <c r="H271" s="204" t="inlineStr">
        <is>
          <t>0, 67, 89, 100, 89</t>
        </is>
      </c>
      <c r="I271" s="205">
        <f>IF(H271="","",LEN(H271)-LEN(SUBSTITUTE(H271,",",""))+1)</f>
        <v/>
      </c>
      <c r="J271" s="206" t="inlineStr">
        <is>
          <t>升高改善</t>
        </is>
      </c>
      <c r="K271" s="207" t="n">
        <v>0.0309344112444873</v>
      </c>
      <c r="L271" s="207" t="n">
        <v>0.906827446790414</v>
      </c>
      <c r="M271" s="205">
        <f>IF(OR(K271="",L271=""),"",IF(AND(L271&lt;0.05,OR(AND(J271="升高改善",K271&gt;0),AND(J271="降低改善",K271&lt;0))),"校正","不校正"))</f>
        <v/>
      </c>
      <c r="N271" s="178" t="inlineStr">
        <is>
          <t>Figure 3；PDF第14页/印刷383页；Terry面板；实心圆</t>
        </is>
      </c>
    </row>
    <row r="272" ht="75" customHeight="1" s="176">
      <c r="A272" s="201" t="inlineStr">
        <is>
          <t>K439</t>
        </is>
      </c>
      <c r="B272" s="201" t="inlineStr">
        <is>
          <t>055-二次</t>
        </is>
      </c>
      <c r="C272" s="201" t="inlineStr">
        <is>
          <t>Terry</t>
        </is>
      </c>
      <c r="D272" s="202" t="inlineStr">
        <is>
          <t>干预</t>
        </is>
      </c>
      <c r="E272" s="178" t="inlineStr">
        <is>
          <t>Baseline vs Video Modeling</t>
        </is>
      </c>
      <c r="F272" s="204" t="inlineStr">
        <is>
          <t>11, 0, 0, 11, 0, 0, 0, 0, 0, 22, 0</t>
        </is>
      </c>
      <c r="G272" s="205">
        <f>IF(F272="","",LEN(F272)-LEN(SUBSTITUTE(F272,",",""))+1)</f>
        <v/>
      </c>
      <c r="H272" s="204" t="inlineStr">
        <is>
          <t>0, 0, 22, 89, 89</t>
        </is>
      </c>
      <c r="I272" s="205">
        <f>IF(H272="","",LEN(H272)-LEN(SUBSTITUTE(H272,",",""))+1)</f>
        <v/>
      </c>
      <c r="J272" s="206" t="inlineStr">
        <is>
          <t>升高改善</t>
        </is>
      </c>
      <c r="K272" s="207" t="n">
        <v>-0.105777177069589</v>
      </c>
      <c r="L272" s="207" t="n">
        <v>0.687173618309648</v>
      </c>
      <c r="M272" s="205">
        <f>IF(OR(K272="",L272=""),"",IF(AND(L272&lt;0.05,OR(AND(J272="升高改善",K272&gt;0),AND(J272="降低改善",K272&lt;0))),"校正","不校正"))</f>
        <v/>
      </c>
      <c r="N272" s="178" t="inlineStr">
        <is>
          <t>Figure 4；PDF第15页/印刷384页；Terry面板；实心圆</t>
        </is>
      </c>
    </row>
    <row r="273" ht="45" customHeight="1" s="176">
      <c r="A273" s="201" t="inlineStr">
        <is>
          <t>K440</t>
        </is>
      </c>
      <c r="B273" s="201" t="inlineStr">
        <is>
          <t>056-滚雪球</t>
        </is>
      </c>
      <c r="C273" s="201" t="inlineStr">
        <is>
          <t>Mark</t>
        </is>
      </c>
      <c r="D273" s="202" t="inlineStr">
        <is>
          <t>干预</t>
        </is>
      </c>
      <c r="E273" s="178" t="inlineStr">
        <is>
          <t>BL vs 紧接基线的第一个干预条件</t>
        </is>
      </c>
      <c r="F273" s="178" t="inlineStr">
        <is>
          <t>50, 25, 25, 25, 50, 25, 50, 0, 0</t>
        </is>
      </c>
      <c r="G273" s="201">
        <f>IF(F273="","",LEN(F273)-LEN(SUBSTITUTE(F273,",",""))+1)</f>
        <v/>
      </c>
      <c r="H273" s="178" t="inlineStr">
        <is>
          <t>75, 100, 75, 75, 75, 100, 100, 100, 100</t>
        </is>
      </c>
      <c r="I273" s="201">
        <f>IF(H273="","",LEN(H273)-LEN(SUBSTITUTE(H273,",",""))+1)</f>
        <v/>
      </c>
      <c r="J273" s="202" t="inlineStr">
        <is>
          <t>升高改善</t>
        </is>
      </c>
      <c r="K273" s="203" t="n">
        <v>-0.3922322702763681</v>
      </c>
      <c r="L273" s="203" t="n">
        <v>0.1760674988117422</v>
      </c>
      <c r="M273" s="201">
        <f>IF(OR(K273="",L273=""),"",IF(AND(L273&lt;0.05,OR(AND(J273="升高改善",K273&gt;0),AND(J273="降低改善",K273&lt;0))),"校正","不校正"))</f>
        <v/>
      </c>
      <c r="N273" s="178" t="inlineStr">
        <is>
          <t>Figure1，PDF14（在线页码14），自上而下第1面板，Accuracy空心方形/右轴（步骤正确百分比）</t>
        </is>
      </c>
    </row>
    <row r="274" ht="45" customHeight="1" s="176">
      <c r="A274" s="201" t="inlineStr">
        <is>
          <t>K441</t>
        </is>
      </c>
      <c r="B274" s="201" t="inlineStr">
        <is>
          <t>056-滚雪球</t>
        </is>
      </c>
      <c r="C274" s="201" t="inlineStr">
        <is>
          <t>Mark</t>
        </is>
      </c>
      <c r="D274" s="202" t="inlineStr">
        <is>
          <t>维持</t>
        </is>
      </c>
      <c r="E274" s="178" t="inlineStr">
        <is>
          <t>BL vs Maintenance</t>
        </is>
      </c>
      <c r="F274" s="178" t="inlineStr">
        <is>
          <t>50, 25, 25, 25, 50, 25, 50, 0, 0</t>
        </is>
      </c>
      <c r="G274" s="201">
        <f>IF(F274="","",LEN(F274)-LEN(SUBSTITUTE(F274,",",""))+1)</f>
        <v/>
      </c>
      <c r="H274" s="178" t="inlineStr">
        <is>
          <t>100, 100, 100, 100, 100, 100, 100, 100, 100, 100, 75, 75, 100, 100, 100, 100, 100, 75, 75, 100, 75, 75, 57, 75, 100, 75, 75, 100, 75, 75</t>
        </is>
      </c>
      <c r="I274" s="201">
        <f>IF(H274="","",LEN(H274)-LEN(SUBSTITUTE(H274,",",""))+1)</f>
        <v/>
      </c>
      <c r="J274" s="202" t="inlineStr">
        <is>
          <t>升高改善</t>
        </is>
      </c>
      <c r="K274" s="203" t="n">
        <v>-0.3922322702763681</v>
      </c>
      <c r="L274" s="203" t="n">
        <v>0.1760674988117422</v>
      </c>
      <c r="M274" s="201">
        <f>IF(OR(K274="",L274=""),"",IF(AND(L274&lt;0.05,OR(AND(J274="升高改善",K274&gt;0),AND(J274="降低改善",K274&lt;0))),"校正","不校正"))</f>
        <v/>
      </c>
      <c r="N274" s="178" t="inlineStr">
        <is>
          <t>Figure1，PDF14（在线页码14），自上而下第1面板，Accuracy空心方形/右轴（步骤正确百分比）</t>
        </is>
      </c>
    </row>
    <row r="275" ht="60" customHeight="1" s="176">
      <c r="A275" s="201" t="inlineStr">
        <is>
          <t>K442</t>
        </is>
      </c>
      <c r="B275" s="201" t="inlineStr">
        <is>
          <t>056-滚雪球</t>
        </is>
      </c>
      <c r="C275" s="201" t="inlineStr">
        <is>
          <t>Mark</t>
        </is>
      </c>
      <c r="D275" s="202" t="inlineStr">
        <is>
          <t>干预</t>
        </is>
      </c>
      <c r="E275" s="178" t="inlineStr">
        <is>
          <t>BL vs 紧接基线的第一个干预条件</t>
        </is>
      </c>
      <c r="F275" s="178" t="inlineStr">
        <is>
          <t>40, 20, 40, 40, 40, 60, 40, 40, 40, 20, 20, 60, 100, 60, 60, 60, 100</t>
        </is>
      </c>
      <c r="G275" s="201">
        <f>IF(F275="","",LEN(F275)-LEN(SUBSTITUTE(F275,",",""))+1)</f>
        <v/>
      </c>
      <c r="H275" s="178" t="inlineStr">
        <is>
          <t>100, 100, 100, 100, 100, 100, 100, 100</t>
        </is>
      </c>
      <c r="I275" s="201">
        <f>IF(H275="","",LEN(H275)-LEN(SUBSTITUTE(H275,",",""))+1)</f>
        <v/>
      </c>
      <c r="J275" s="202" t="inlineStr">
        <is>
          <t>升高改善</t>
        </is>
      </c>
      <c r="K275" s="203" t="n">
        <v>0.4692805432842741</v>
      </c>
      <c r="L275" s="203" t="n">
        <v>0.01624115526128449</v>
      </c>
      <c r="M275" s="201">
        <f>IF(OR(K275="",L275=""),"",IF(AND(L275&lt;0.05,OR(AND(J275="升高改善",K275&gt;0),AND(J275="降低改善",K275&lt;0))),"校正","不校正"))</f>
        <v/>
      </c>
      <c r="N275" s="178" t="inlineStr">
        <is>
          <t>Figure1，PDF14（在线页码14），自上而下第2面板，Accuracy空心方形/右轴（步骤正确百分比）</t>
        </is>
      </c>
    </row>
    <row r="276" ht="45" customHeight="1" s="176">
      <c r="A276" s="201" t="inlineStr">
        <is>
          <t>K443</t>
        </is>
      </c>
      <c r="B276" s="201" t="inlineStr">
        <is>
          <t>056-滚雪球</t>
        </is>
      </c>
      <c r="C276" s="201" t="inlineStr">
        <is>
          <t>Mark</t>
        </is>
      </c>
      <c r="D276" s="202" t="inlineStr">
        <is>
          <t>维持</t>
        </is>
      </c>
      <c r="E276" s="178" t="inlineStr">
        <is>
          <t>BL vs Maintenance</t>
        </is>
      </c>
      <c r="F276" s="178" t="inlineStr">
        <is>
          <t>40, 20, 40, 40, 40, 60, 40, 40, 40, 20, 20, 60, 100, 60, 60, 60, 100</t>
        </is>
      </c>
      <c r="G276" s="201">
        <f>IF(F276="","",LEN(F276)-LEN(SUBSTITUTE(F276,",",""))+1)</f>
        <v/>
      </c>
      <c r="H276" s="178" t="inlineStr">
        <is>
          <t>100, 100, 100, 60, 80, 80, 80, 100, 100, 80, 100, 100, 100, 100, 80, 80, 100, 80, 80, 80, 100, 80</t>
        </is>
      </c>
      <c r="I276" s="201">
        <f>IF(H276="","",LEN(H276)-LEN(SUBSTITUTE(H276,",",""))+1)</f>
        <v/>
      </c>
      <c r="J276" s="202" t="inlineStr">
        <is>
          <t>升高改善</t>
        </is>
      </c>
      <c r="K276" s="203" t="n">
        <v>0.4692805432842741</v>
      </c>
      <c r="L276" s="203" t="n">
        <v>0.01624115526128449</v>
      </c>
      <c r="M276" s="201">
        <f>IF(OR(K276="",L276=""),"",IF(AND(L276&lt;0.05,OR(AND(J276="升高改善",K276&gt;0),AND(J276="降低改善",K276&lt;0))),"校正","不校正"))</f>
        <v/>
      </c>
      <c r="N276" s="178" t="inlineStr">
        <is>
          <t>Figure1，PDF14（在线页码14），自上而下第2面板，Accuracy空心方形/右轴（步骤正确百分比）</t>
        </is>
      </c>
    </row>
    <row r="277" ht="45" customHeight="1" s="176">
      <c r="A277" s="201" t="inlineStr">
        <is>
          <t>K444</t>
        </is>
      </c>
      <c r="B277" s="201" t="inlineStr">
        <is>
          <t>056-滚雪球</t>
        </is>
      </c>
      <c r="C277" s="201" t="inlineStr">
        <is>
          <t>Mark</t>
        </is>
      </c>
      <c r="D277" s="202" t="inlineStr">
        <is>
          <t>干预</t>
        </is>
      </c>
      <c r="E277" s="178" t="inlineStr">
        <is>
          <t>BL vs 紧接基线的第一个干预条件</t>
        </is>
      </c>
      <c r="F277" s="178" t="inlineStr">
        <is>
          <t>0, 33, 0, 17, 33, 50, 33, 17, 50, 50, 50, 0, 33, 33, 33, 33, 17, 33, 17, 17, 50, 17, 17, 33, 33</t>
        </is>
      </c>
      <c r="G277" s="201">
        <f>IF(F277="","",LEN(F277)-LEN(SUBSTITUTE(F277,",",""))+1)</f>
        <v/>
      </c>
      <c r="H277" s="178" t="inlineStr">
        <is>
          <t>100, 100, 100, 100, 100, 100, 100, 100, 83</t>
        </is>
      </c>
      <c r="I277" s="201">
        <f>IF(H277="","",LEN(H277)-LEN(SUBSTITUTE(H277,",",""))+1)</f>
        <v/>
      </c>
      <c r="J277" s="202" t="inlineStr">
        <is>
          <t>升高改善</t>
        </is>
      </c>
      <c r="K277" s="203" t="n">
        <v>0.0271857473083216</v>
      </c>
      <c r="L277" s="203" t="n">
        <v>0.8629188651517301</v>
      </c>
      <c r="M277" s="201">
        <f>IF(OR(K277="",L277=""),"",IF(AND(L277&lt;0.05,OR(AND(J277="升高改善",K277&gt;0),AND(J277="降低改善",K277&lt;0))),"校正","不校正"))</f>
        <v/>
      </c>
      <c r="N277" s="178" t="inlineStr">
        <is>
          <t>Figure1，PDF14（在线页码14），自上而下第3面板，Accuracy空心方形/右轴（步骤正确百分比）</t>
        </is>
      </c>
    </row>
    <row r="278" ht="45" customHeight="1" s="176">
      <c r="A278" s="201" t="inlineStr">
        <is>
          <t>K445</t>
        </is>
      </c>
      <c r="B278" s="201" t="inlineStr">
        <is>
          <t>056-滚雪球</t>
        </is>
      </c>
      <c r="C278" s="201" t="inlineStr">
        <is>
          <t>Mark</t>
        </is>
      </c>
      <c r="D278" s="202" t="inlineStr">
        <is>
          <t>维持</t>
        </is>
      </c>
      <c r="E278" s="178" t="inlineStr">
        <is>
          <t>BL vs Maintenance</t>
        </is>
      </c>
      <c r="F278" s="178" t="inlineStr">
        <is>
          <t>0, 33, 0, 17, 33, 50, 33, 17, 50, 50, 50, 0, 33, 33, 33, 33, 17, 33, 17, 17, 50, 17, 17, 33, 33</t>
        </is>
      </c>
      <c r="G278" s="201">
        <f>IF(F278="","",LEN(F278)-LEN(SUBSTITUTE(F278,",",""))+1)</f>
        <v/>
      </c>
      <c r="H278" s="178" t="inlineStr">
        <is>
          <t>67, 100, 100, 100, 100, 83, 100, 83, 100, 83, 100, 83, 83</t>
        </is>
      </c>
      <c r="I278" s="201">
        <f>IF(H278="","",LEN(H278)-LEN(SUBSTITUTE(H278,",",""))+1)</f>
        <v/>
      </c>
      <c r="J278" s="202" t="inlineStr">
        <is>
          <t>升高改善</t>
        </is>
      </c>
      <c r="K278" s="203" t="n">
        <v>0.0271857473083216</v>
      </c>
      <c r="L278" s="203" t="n">
        <v>0.8629188651517301</v>
      </c>
      <c r="M278" s="201">
        <f>IF(OR(K278="",L278=""),"",IF(AND(L278&lt;0.05,OR(AND(J278="升高改善",K278&gt;0),AND(J278="降低改善",K278&lt;0))),"校正","不校正"))</f>
        <v/>
      </c>
      <c r="N278" s="178" t="inlineStr">
        <is>
          <t>Figure1，PDF14（在线页码14），自上而下第3面板，Accuracy空心方形/右轴（步骤正确百分比）</t>
        </is>
      </c>
    </row>
    <row r="279" ht="45" customHeight="1" s="176">
      <c r="A279" s="201" t="inlineStr">
        <is>
          <t>K446</t>
        </is>
      </c>
      <c r="B279" s="201" t="inlineStr">
        <is>
          <t>056-滚雪球</t>
        </is>
      </c>
      <c r="C279" s="201" t="inlineStr">
        <is>
          <t>Mark</t>
        </is>
      </c>
      <c r="D279" s="202" t="inlineStr">
        <is>
          <t>干预</t>
        </is>
      </c>
      <c r="E279" s="178" t="inlineStr">
        <is>
          <t>BL vs 紧接基线的第一个干预条件</t>
        </is>
      </c>
      <c r="F279" s="178" t="inlineStr">
        <is>
          <t>0, 0, 0, 0, 0, 60, 60, 40, 60, 0, 0, 0, 40, 20, 0, 40, 20, 40, 20, 40, 40, 60, 60, 60, 0, 0, 40, 20, 80, 0, 60, 80, 80, 60, 80, 20, 20</t>
        </is>
      </c>
      <c r="G279" s="201">
        <f>IF(F279="","",LEN(F279)-LEN(SUBSTITUTE(F279,",",""))+1)</f>
        <v/>
      </c>
      <c r="H279" s="178" t="inlineStr">
        <is>
          <t>80, 80, 100, 100, 100, 80, 100, 100, 100</t>
        </is>
      </c>
      <c r="I279" s="201">
        <f>IF(H279="","",LEN(H279)-LEN(SUBSTITUTE(H279,",",""))+1)</f>
        <v/>
      </c>
      <c r="J279" s="202" t="inlineStr">
        <is>
          <t>升高改善</t>
        </is>
      </c>
      <c r="K279" s="203" t="n">
        <v>0.3467305998918385</v>
      </c>
      <c r="L279" s="203" t="n">
        <v>0.005417897167973415</v>
      </c>
      <c r="M279" s="201">
        <f>IF(OR(K279="",L279=""),"",IF(AND(L279&lt;0.05,OR(AND(J279="升高改善",K279&gt;0),AND(J279="降低改善",K279&lt;0))),"校正","不校正"))</f>
        <v/>
      </c>
      <c r="N279" s="178" t="inlineStr">
        <is>
          <t>Figure1，PDF14（在线页码14），自上而下第4面板，Accuracy空心方形/右轴（步骤正确百分比）</t>
        </is>
      </c>
    </row>
    <row r="280" ht="45" customHeight="1" s="176">
      <c r="A280" s="201" t="inlineStr">
        <is>
          <t>K447</t>
        </is>
      </c>
      <c r="B280" s="201" t="inlineStr">
        <is>
          <t>056-滚雪球</t>
        </is>
      </c>
      <c r="C280" s="201" t="inlineStr">
        <is>
          <t>Jarvis</t>
        </is>
      </c>
      <c r="D280" s="202" t="inlineStr">
        <is>
          <t>干预</t>
        </is>
      </c>
      <c r="E280" s="178" t="inlineStr">
        <is>
          <t>BL vs 紧接基线的第一个干预条件</t>
        </is>
      </c>
      <c r="F280" s="178" t="inlineStr">
        <is>
          <t>100, 25, 50, 50, 25, 25, 50, 50, 50</t>
        </is>
      </c>
      <c r="G280" s="201">
        <f>IF(F280="","",LEN(F280)-LEN(SUBSTITUTE(F280,",",""))+1)</f>
        <v/>
      </c>
      <c r="H280" s="178" t="inlineStr">
        <is>
          <t>75, 100, 100, 100, 100, 100, 100, 100, 100, 100</t>
        </is>
      </c>
      <c r="I280" s="201">
        <f>IF(H280="","",LEN(H280)-LEN(SUBSTITUTE(H280,",",""))+1)</f>
        <v/>
      </c>
      <c r="J280" s="202" t="inlineStr">
        <is>
          <t>升高改善</t>
        </is>
      </c>
      <c r="K280" s="203" t="n">
        <v>-0.0347524023428458</v>
      </c>
      <c r="L280" s="203" t="n">
        <v>0.9059687063925705</v>
      </c>
      <c r="M280" s="201">
        <f>IF(OR(K280="",L280=""),"",IF(AND(L280&lt;0.05,OR(AND(J280="升高改善",K280&gt;0),AND(J280="降低改善",K280&lt;0))),"校正","不校正"))</f>
        <v/>
      </c>
      <c r="N280" s="178" t="inlineStr">
        <is>
          <t>Figure2，PDF16（在线页码16），自上而下第1面板，Accuracy空心方形/右轴（步骤正确百分比）</t>
        </is>
      </c>
    </row>
    <row r="281" ht="45" customHeight="1" s="176">
      <c r="A281" s="201" t="inlineStr">
        <is>
          <t>K448</t>
        </is>
      </c>
      <c r="B281" s="201" t="inlineStr">
        <is>
          <t>056-滚雪球</t>
        </is>
      </c>
      <c r="C281" s="201" t="inlineStr">
        <is>
          <t>Jarvis</t>
        </is>
      </c>
      <c r="D281" s="202" t="inlineStr">
        <is>
          <t>维持</t>
        </is>
      </c>
      <c r="E281" s="178" t="inlineStr">
        <is>
          <t>BL vs Maintenance</t>
        </is>
      </c>
      <c r="F281" s="178" t="inlineStr">
        <is>
          <t>100, 25, 50, 50, 25, 25, 50, 50, 50</t>
        </is>
      </c>
      <c r="G281" s="201">
        <f>IF(F281="","",LEN(F281)-LEN(SUBSTITUTE(F281,",",""))+1)</f>
        <v/>
      </c>
      <c r="H281" s="178" t="inlineStr">
        <is>
          <t>75, 75, 50, 50, 50, 100, 50, 50, 75, 100, 75, 75, 75, 100, 100, 75, 75, 100, 100, 100, 100, 75, 75, 75, 75, 100, 100, 75, 100, 75</t>
        </is>
      </c>
      <c r="I281" s="201">
        <f>IF(H281="","",LEN(H281)-LEN(SUBSTITUTE(H281,",",""))+1)</f>
        <v/>
      </c>
      <c r="J281" s="202" t="inlineStr">
        <is>
          <t>升高改善</t>
        </is>
      </c>
      <c r="K281" s="203" t="n">
        <v>-0.0347524023428458</v>
      </c>
      <c r="L281" s="203" t="n">
        <v>0.9059687063925705</v>
      </c>
      <c r="M281" s="201">
        <f>IF(OR(K281="",L281=""),"",IF(AND(L281&lt;0.05,OR(AND(J281="升高改善",K281&gt;0),AND(J281="降低改善",K281&lt;0))),"校正","不校正"))</f>
        <v/>
      </c>
      <c r="N281" s="178" t="inlineStr">
        <is>
          <t>Figure2，PDF16（在线页码16），自上而下第1面板，Accuracy空心方形/右轴（步骤正确百分比）</t>
        </is>
      </c>
    </row>
    <row r="282" ht="45" customHeight="1" s="176">
      <c r="A282" s="201" t="inlineStr">
        <is>
          <t>K449</t>
        </is>
      </c>
      <c r="B282" s="201" t="inlineStr">
        <is>
          <t>056-滚雪球</t>
        </is>
      </c>
      <c r="C282" s="201" t="inlineStr">
        <is>
          <t>Jarvis</t>
        </is>
      </c>
      <c r="D282" s="202" t="inlineStr">
        <is>
          <t>干预</t>
        </is>
      </c>
      <c r="E282" s="178" t="inlineStr">
        <is>
          <t>BL vs 紧接基线的第一个干预条件</t>
        </is>
      </c>
      <c r="F282" s="178" t="inlineStr">
        <is>
          <t>40, 0, 20, 20, 40, 40, 40, 0, 60, 20, 40, 40, 60, 40, 40, 40</t>
        </is>
      </c>
      <c r="G282" s="201">
        <f>IF(F282="","",LEN(F282)-LEN(SUBSTITUTE(F282,",",""))+1)</f>
        <v/>
      </c>
      <c r="H282" s="178" t="inlineStr">
        <is>
          <t>100, 100, 100, 100, 100, 100, 100, 100, 100</t>
        </is>
      </c>
      <c r="I282" s="201">
        <f>IF(H282="","",LEN(H282)-LEN(SUBSTITUTE(H282,",",""))+1)</f>
        <v/>
      </c>
      <c r="J282" s="202" t="inlineStr">
        <is>
          <t>升高改善</t>
        </is>
      </c>
      <c r="K282" s="203" t="n">
        <v>0.3594710131327705</v>
      </c>
      <c r="L282" s="203" t="n">
        <v>0.0784829669168336</v>
      </c>
      <c r="M282" s="201">
        <f>IF(OR(K282="",L282=""),"",IF(AND(L282&lt;0.05,OR(AND(J282="升高改善",K282&gt;0),AND(J282="降低改善",K282&lt;0))),"校正","不校正"))</f>
        <v/>
      </c>
      <c r="N282" s="178" t="inlineStr">
        <is>
          <t>Figure2，PDF16（在线页码16），自上而下第2面板，Accuracy空心方形/右轴（步骤正确百分比）</t>
        </is>
      </c>
    </row>
    <row r="283" ht="45" customHeight="1" s="176">
      <c r="A283" s="201" t="inlineStr">
        <is>
          <t>K450</t>
        </is>
      </c>
      <c r="B283" s="201" t="inlineStr">
        <is>
          <t>056-滚雪球</t>
        </is>
      </c>
      <c r="C283" s="201" t="inlineStr">
        <is>
          <t>Jarvis</t>
        </is>
      </c>
      <c r="D283" s="202" t="inlineStr">
        <is>
          <t>维持</t>
        </is>
      </c>
      <c r="E283" s="178" t="inlineStr">
        <is>
          <t>BL vs Maintenance</t>
        </is>
      </c>
      <c r="F283" s="178" t="inlineStr">
        <is>
          <t>40, 0, 20, 20, 40, 40, 40, 0, 60, 20, 40, 40, 60, 40, 40, 40</t>
        </is>
      </c>
      <c r="G283" s="201">
        <f>IF(F283="","",LEN(F283)-LEN(SUBSTITUTE(F283,",",""))+1)</f>
        <v/>
      </c>
      <c r="H283" s="178" t="inlineStr">
        <is>
          <t>100, 100, 60, 80, 60, 80, 60, 80, 80, 100, 100, 100, 100, 80, 100, 80, 80, 80, 80, 80, 80, 100</t>
        </is>
      </c>
      <c r="I283" s="201">
        <f>IF(H283="","",LEN(H283)-LEN(SUBSTITUTE(H283,",",""))+1)</f>
        <v/>
      </c>
      <c r="J283" s="202" t="inlineStr">
        <is>
          <t>升高改善</t>
        </is>
      </c>
      <c r="K283" s="203" t="n">
        <v>0.3594710131327705</v>
      </c>
      <c r="L283" s="203" t="n">
        <v>0.0784829669168336</v>
      </c>
      <c r="M283" s="201">
        <f>IF(OR(K283="",L283=""),"",IF(AND(L283&lt;0.05,OR(AND(J283="升高改善",K283&gt;0),AND(J283="降低改善",K283&lt;0))),"校正","不校正"))</f>
        <v/>
      </c>
      <c r="N283" s="178" t="inlineStr">
        <is>
          <t>Figure2，PDF16（在线页码16），自上而下第2面板，Accuracy空心方形/右轴（步骤正确百分比）</t>
        </is>
      </c>
    </row>
    <row r="284" ht="45" customHeight="1" s="176">
      <c r="A284" s="201" t="inlineStr">
        <is>
          <t>K451</t>
        </is>
      </c>
      <c r="B284" s="201" t="inlineStr">
        <is>
          <t>056-滚雪球</t>
        </is>
      </c>
      <c r="C284" s="201" t="inlineStr">
        <is>
          <t>Jarvis</t>
        </is>
      </c>
      <c r="D284" s="202" t="inlineStr">
        <is>
          <t>干预</t>
        </is>
      </c>
      <c r="E284" s="178" t="inlineStr">
        <is>
          <t>BL vs 紧接基线的第一个干预条件</t>
        </is>
      </c>
      <c r="F284" s="178" t="inlineStr">
        <is>
          <t>67, 50, 50, 50, 33, 50, 33, 33, 33, 33, 33, 33, 50, 50, 33, 50, 50, 33, 50, 50, 50, 50, 50, 50, 33, 50, 100</t>
        </is>
      </c>
      <c r="G284" s="201">
        <f>IF(F284="","",LEN(F284)-LEN(SUBSTITUTE(F284,",",""))+1)</f>
        <v/>
      </c>
      <c r="H284" s="178" t="inlineStr">
        <is>
          <t>100, 100, 83, 100, 100, 100, 100, 100, 100</t>
        </is>
      </c>
      <c r="I284" s="201">
        <f>IF(H284="","",LEN(H284)-LEN(SUBSTITUTE(H284,",",""))+1)</f>
        <v/>
      </c>
      <c r="J284" s="202" t="inlineStr">
        <is>
          <t>升高改善</t>
        </is>
      </c>
      <c r="K284" s="203" t="n">
        <v>0.154359111391331</v>
      </c>
      <c r="L284" s="203" t="n">
        <v>0.3294722229918454</v>
      </c>
      <c r="M284" s="201">
        <f>IF(OR(K284="",L284=""),"",IF(AND(L284&lt;0.05,OR(AND(J284="升高改善",K284&gt;0),AND(J284="降低改善",K284&lt;0))),"校正","不校正"))</f>
        <v/>
      </c>
      <c r="N284" s="178" t="inlineStr">
        <is>
          <t>Figure2，PDF16（在线页码16），自上而下第3面板，Accuracy空心方形/右轴（步骤正确百分比）</t>
        </is>
      </c>
    </row>
    <row r="285" ht="45" customHeight="1" s="176">
      <c r="A285" s="201" t="inlineStr">
        <is>
          <t>K452</t>
        </is>
      </c>
      <c r="B285" s="201" t="inlineStr">
        <is>
          <t>056-滚雪球</t>
        </is>
      </c>
      <c r="C285" s="201" t="inlineStr">
        <is>
          <t>Jarvis</t>
        </is>
      </c>
      <c r="D285" s="202" t="inlineStr">
        <is>
          <t>维持</t>
        </is>
      </c>
      <c r="E285" s="178" t="inlineStr">
        <is>
          <t>BL vs Maintenance</t>
        </is>
      </c>
      <c r="F285" s="178" t="inlineStr">
        <is>
          <t>67, 50, 50, 50, 33, 50, 33, 33, 33, 33, 33, 33, 50, 50, 33, 50, 50, 33, 50, 50, 50, 50, 50, 50, 33, 50, 100</t>
        </is>
      </c>
      <c r="G285" s="201">
        <f>IF(F285="","",LEN(F285)-LEN(SUBSTITUTE(F285,",",""))+1)</f>
        <v/>
      </c>
      <c r="H285" s="178" t="inlineStr">
        <is>
          <t>67, 100, 83, 83, 100, 100, 100, 100, 83, 100, 100, 100, 100</t>
        </is>
      </c>
      <c r="I285" s="201">
        <f>IF(H285="","",LEN(H285)-LEN(SUBSTITUTE(H285,",",""))+1)</f>
        <v/>
      </c>
      <c r="J285" s="202" t="inlineStr">
        <is>
          <t>升高改善</t>
        </is>
      </c>
      <c r="K285" s="203" t="n">
        <v>0.154359111391331</v>
      </c>
      <c r="L285" s="203" t="n">
        <v>0.3294722229918454</v>
      </c>
      <c r="M285" s="201">
        <f>IF(OR(K285="",L285=""),"",IF(AND(L285&lt;0.05,OR(AND(J285="升高改善",K285&gt;0),AND(J285="降低改善",K285&lt;0))),"校正","不校正"))</f>
        <v/>
      </c>
      <c r="N285" s="178" t="inlineStr">
        <is>
          <t>Figure2，PDF16（在线页码16），自上而下第3面板，Accuracy空心方形/右轴（步骤正确百分比）</t>
        </is>
      </c>
    </row>
    <row r="286" ht="45" customHeight="1" s="176">
      <c r="A286" s="201" t="inlineStr">
        <is>
          <t>K453</t>
        </is>
      </c>
      <c r="B286" s="201" t="inlineStr">
        <is>
          <t>056-滚雪球</t>
        </is>
      </c>
      <c r="C286" s="201" t="inlineStr">
        <is>
          <t>Jarvis</t>
        </is>
      </c>
      <c r="D286" s="202" t="inlineStr">
        <is>
          <t>干预</t>
        </is>
      </c>
      <c r="E286" s="178" t="inlineStr">
        <is>
          <t>BL vs 紧接基线的第一个干预条件</t>
        </is>
      </c>
      <c r="F286" s="178" t="inlineStr">
        <is>
          <t>60, 20, 20, 20, 60, 60, 40, 60, 60, 40, 0, 0, 0, 40, 0, 40, 0, 40, 40, 60, 0, 80, 0, 0, 0, 60, 0, 60, 80, 0, 80, 0, 0, 0</t>
        </is>
      </c>
      <c r="G286" s="201">
        <f>IF(F286="","",LEN(F286)-LEN(SUBSTITUTE(F286,",",""))+1)</f>
        <v/>
      </c>
      <c r="H286" s="178" t="inlineStr">
        <is>
          <t>100, 100, 100, 100, 100, 100, 100, 100, 100</t>
        </is>
      </c>
      <c r="I286" s="201">
        <f>IF(H286="","",LEN(H286)-LEN(SUBSTITUTE(H286,",",""))+1)</f>
        <v/>
      </c>
      <c r="J286" s="202" t="inlineStr">
        <is>
          <t>升高改善</t>
        </is>
      </c>
      <c r="K286" s="203" t="n">
        <v>-0.1419798170398083</v>
      </c>
      <c r="L286" s="203" t="n">
        <v>0.2821303439405392</v>
      </c>
      <c r="M286" s="201">
        <f>IF(OR(K286="",L286=""),"",IF(AND(L286&lt;0.05,OR(AND(J286="升高改善",K286&gt;0),AND(J286="降低改善",K286&lt;0))),"校正","不校正"))</f>
        <v/>
      </c>
      <c r="N286" s="178" t="inlineStr">
        <is>
          <t>Figure2，PDF16（在线页码16），自上而下第4面板，Accuracy空心方形/右轴（步骤正确百分比）</t>
        </is>
      </c>
    </row>
    <row r="287" ht="45" customHeight="1" s="176">
      <c r="A287" s="201" t="inlineStr">
        <is>
          <t>K454</t>
        </is>
      </c>
      <c r="B287" s="201" t="inlineStr">
        <is>
          <t>056-滚雪球</t>
        </is>
      </c>
      <c r="C287" s="201" t="inlineStr">
        <is>
          <t>P3</t>
        </is>
      </c>
      <c r="D287" s="202" t="inlineStr">
        <is>
          <t>干预</t>
        </is>
      </c>
      <c r="E287" s="178" t="inlineStr">
        <is>
          <t>BL vs 紧接基线的第一个干预条件</t>
        </is>
      </c>
      <c r="F287" s="178" t="inlineStr">
        <is>
          <t>50, 0, 25, 25, 100, 25, 25, 50, 25</t>
        </is>
      </c>
      <c r="G287" s="201">
        <f>IF(F287="","",LEN(F287)-LEN(SUBSTITUTE(F287,",",""))+1)</f>
        <v/>
      </c>
      <c r="H287" s="178" t="inlineStr">
        <is>
          <t>100, 100, 100, 100, 100, 50, 100, 100, 100</t>
        </is>
      </c>
      <c r="I287" s="201">
        <f>IF(H287="","",LEN(H287)-LEN(SUBSTITUTE(H287,",",""))+1)</f>
        <v/>
      </c>
      <c r="J287" s="202" t="inlineStr">
        <is>
          <t>升高改善</t>
        </is>
      </c>
      <c r="K287" s="203" t="n">
        <v>0.09999999999999999</v>
      </c>
      <c r="L287" s="203" t="n">
        <v>0.7278701466408577</v>
      </c>
      <c r="M287" s="201">
        <f>IF(OR(K287="",L287=""),"",IF(AND(L287&lt;0.05,OR(AND(J287="升高改善",K287&gt;0),AND(J287="降低改善",K287&lt;0))),"校正","不校正"))</f>
        <v/>
      </c>
      <c r="N287" s="178" t="inlineStr">
        <is>
          <t>Figure3，PDF18（在线页码18），自上而下第1面板，Accuracy空心方形/右轴（步骤正确百分比）</t>
        </is>
      </c>
    </row>
    <row r="288" ht="45" customHeight="1" s="176">
      <c r="A288" s="201" t="inlineStr">
        <is>
          <t>K455</t>
        </is>
      </c>
      <c r="B288" s="201" t="inlineStr">
        <is>
          <t>056-滚雪球</t>
        </is>
      </c>
      <c r="C288" s="201" t="inlineStr">
        <is>
          <t>P3</t>
        </is>
      </c>
      <c r="D288" s="202" t="inlineStr">
        <is>
          <t>维持</t>
        </is>
      </c>
      <c r="E288" s="178" t="inlineStr">
        <is>
          <t>BL vs Maintenance</t>
        </is>
      </c>
      <c r="F288" s="178" t="inlineStr">
        <is>
          <t>50, 0, 25, 25, 100, 25, 25, 50, 25</t>
        </is>
      </c>
      <c r="G288" s="201">
        <f>IF(F288="","",LEN(F288)-LEN(SUBSTITUTE(F288,",",""))+1)</f>
        <v/>
      </c>
      <c r="H288" s="178" t="inlineStr">
        <is>
          <t>100, 100, 100, 100, 100, 100, 50, 50, 100, 100, 100, 100, 100, 75, 100, 75, 75, 100, 100, 75, 75</t>
        </is>
      </c>
      <c r="I288" s="201">
        <f>IF(H288="","",LEN(H288)-LEN(SUBSTITUTE(H288,",",""))+1)</f>
        <v/>
      </c>
      <c r="J288" s="202" t="inlineStr">
        <is>
          <t>升高改善</t>
        </is>
      </c>
      <c r="K288" s="203" t="n">
        <v>0.09999999999999999</v>
      </c>
      <c r="L288" s="203" t="n">
        <v>0.7278701466408577</v>
      </c>
      <c r="M288" s="201">
        <f>IF(OR(K288="",L288=""),"",IF(AND(L288&lt;0.05,OR(AND(J288="升高改善",K288&gt;0),AND(J288="降低改善",K288&lt;0))),"校正","不校正"))</f>
        <v/>
      </c>
      <c r="N288" s="178" t="inlineStr">
        <is>
          <t>Figure3，PDF18（在线页码18），自上而下第1面板，Accuracy空心方形/右轴（步骤正确百分比）</t>
        </is>
      </c>
    </row>
    <row r="289" ht="45" customHeight="1" s="176">
      <c r="A289" s="201" t="inlineStr">
        <is>
          <t>K456</t>
        </is>
      </c>
      <c r="B289" s="201" t="inlineStr">
        <is>
          <t>056-滚雪球</t>
        </is>
      </c>
      <c r="C289" s="201" t="inlineStr">
        <is>
          <t>P3</t>
        </is>
      </c>
      <c r="D289" s="202" t="inlineStr">
        <is>
          <t>干预</t>
        </is>
      </c>
      <c r="E289" s="178" t="inlineStr">
        <is>
          <t>BL vs 紧接基线的第一个干预条件</t>
        </is>
      </c>
      <c r="F289" s="178" t="inlineStr">
        <is>
          <t>20, 0, 20, 20, 60, 40, 40, 40, 40, 100, 60, 100, 100, 60, 100</t>
        </is>
      </c>
      <c r="G289" s="201">
        <f>IF(F289="","",LEN(F289)-LEN(SUBSTITUTE(F289,",",""))+1)</f>
        <v/>
      </c>
      <c r="H289" s="178" t="inlineStr">
        <is>
          <t>100, 100, 100, 100, 100, 100, 100, 100, 100</t>
        </is>
      </c>
      <c r="I289" s="201">
        <f>IF(H289="","",LEN(H289)-LEN(SUBSTITUTE(H289,",",""))+1)</f>
        <v/>
      </c>
      <c r="J289" s="202" t="inlineStr">
        <is>
          <t>升高改善</t>
        </is>
      </c>
      <c r="K289" s="203" t="n">
        <v>0.7219295436604961</v>
      </c>
      <c r="L289" s="203" t="n">
        <v>0.000427221703009526</v>
      </c>
      <c r="M289" s="201">
        <f>IF(OR(K289="",L289=""),"",IF(AND(L289&lt;0.05,OR(AND(J289="升高改善",K289&gt;0),AND(J289="降低改善",K289&lt;0))),"校正","不校正"))</f>
        <v/>
      </c>
      <c r="N289" s="178" t="inlineStr">
        <is>
          <t>Figure3，PDF18（在线页码18），自上而下第2面板，Accuracy空心方形/右轴（步骤正确百分比）</t>
        </is>
      </c>
    </row>
    <row r="290" ht="45" customHeight="1" s="176">
      <c r="A290" s="201" t="inlineStr">
        <is>
          <t>K457</t>
        </is>
      </c>
      <c r="B290" s="201" t="inlineStr">
        <is>
          <t>056-滚雪球</t>
        </is>
      </c>
      <c r="C290" s="201" t="inlineStr">
        <is>
          <t>P3</t>
        </is>
      </c>
      <c r="D290" s="202" t="inlineStr">
        <is>
          <t>维持</t>
        </is>
      </c>
      <c r="E290" s="178" t="inlineStr">
        <is>
          <t>BL vs Maintenance</t>
        </is>
      </c>
      <c r="F290" s="178" t="inlineStr">
        <is>
          <t>20, 0, 20, 20, 60, 40, 40, 40, 40, 100, 60, 100, 100, 60, 100</t>
        </is>
      </c>
      <c r="G290" s="201">
        <f>IF(F290="","",LEN(F290)-LEN(SUBSTITUTE(F290,",",""))+1)</f>
        <v/>
      </c>
      <c r="H290" s="178" t="inlineStr">
        <is>
          <t>100, 60, 100, 100, 80, 100, 100, 100, 100, 100, 100, 100, 100, 100, 10</t>
        </is>
      </c>
      <c r="I290" s="201">
        <f>IF(H290="","",LEN(H290)-LEN(SUBSTITUTE(H290,",",""))+1)</f>
        <v/>
      </c>
      <c r="J290" s="202" t="inlineStr">
        <is>
          <t>升高改善</t>
        </is>
      </c>
      <c r="K290" s="203" t="n">
        <v>0.7219295436604961</v>
      </c>
      <c r="L290" s="203" t="n">
        <v>0.000427221703009526</v>
      </c>
      <c r="M290" s="201">
        <f>IF(OR(K290="",L290=""),"",IF(AND(L290&lt;0.05,OR(AND(J290="升高改善",K290&gt;0),AND(J290="降低改善",K290&lt;0))),"校正","不校正"))</f>
        <v/>
      </c>
      <c r="N290" s="178" t="inlineStr">
        <is>
          <t>Figure3，PDF18（在线页码18），自上而下第2面板，Accuracy空心方形/右轴（步骤正确百分比）</t>
        </is>
      </c>
    </row>
    <row r="291" ht="45" customHeight="1" s="176">
      <c r="A291" s="201" t="inlineStr">
        <is>
          <t>K458</t>
        </is>
      </c>
      <c r="B291" s="201" t="inlineStr">
        <is>
          <t>056-滚雪球</t>
        </is>
      </c>
      <c r="C291" s="201" t="inlineStr">
        <is>
          <t>P3</t>
        </is>
      </c>
      <c r="D291" s="202" t="inlineStr">
        <is>
          <t>干预</t>
        </is>
      </c>
      <c r="E291" s="178" t="inlineStr">
        <is>
          <t>BL vs 紧接基线的第一个干预条件</t>
        </is>
      </c>
      <c r="F291" s="178" t="inlineStr">
        <is>
          <t>0, 33, 33, 33, 50, 17, 33, 33, 33, 33, 40, 80, 0, 17, 17, 33, 33, 33, 33, 33, 33, 33</t>
        </is>
      </c>
      <c r="G291" s="201">
        <f>IF(F291="","",LEN(F291)-LEN(SUBSTITUTE(F291,",",""))+1)</f>
        <v/>
      </c>
      <c r="H291" s="178" t="inlineStr">
        <is>
          <t>80, 100, 100, 100, 100, 100, 100, 100, 100</t>
        </is>
      </c>
      <c r="I291" s="201">
        <f>IF(H291="","",LEN(H291)-LEN(SUBSTITUTE(H291,",",""))+1)</f>
        <v/>
      </c>
      <c r="J291" s="202" t="inlineStr">
        <is>
          <t>升高改善</t>
        </is>
      </c>
      <c r="K291" s="203" t="n">
        <v>0.07898644934440115</v>
      </c>
      <c r="L291" s="203" t="n">
        <v>0.6442723322087527</v>
      </c>
      <c r="M291" s="201">
        <f>IF(OR(K291="",L291=""),"",IF(AND(L291&lt;0.05,OR(AND(J291="升高改善",K291&gt;0),AND(J291="降低改善",K291&lt;0))),"校正","不校正"))</f>
        <v/>
      </c>
      <c r="N291" s="178" t="inlineStr">
        <is>
          <t>Figure3，PDF18（在线页码18），自上而下第3面板，Accuracy空心方形/右轴（步骤正确百分比）</t>
        </is>
      </c>
    </row>
    <row r="292" ht="45" customHeight="1" s="176">
      <c r="A292" s="201" t="inlineStr">
        <is>
          <t>K459</t>
        </is>
      </c>
      <c r="B292" s="201" t="inlineStr">
        <is>
          <t>056-滚雪球</t>
        </is>
      </c>
      <c r="C292" s="201" t="inlineStr">
        <is>
          <t>P3</t>
        </is>
      </c>
      <c r="D292" s="202" t="inlineStr">
        <is>
          <t>维持</t>
        </is>
      </c>
      <c r="E292" s="178" t="inlineStr">
        <is>
          <t>BL vs Maintenance</t>
        </is>
      </c>
      <c r="F292" s="178" t="inlineStr">
        <is>
          <t>0, 33, 33, 33, 50, 17, 33, 33, 33, 33, 40, 80, 0, 17, 17, 33, 33, 33, 33, 33, 33, 33</t>
        </is>
      </c>
      <c r="G292" s="201">
        <f>IF(F292="","",LEN(F292)-LEN(SUBSTITUTE(F292,",",""))+1)</f>
        <v/>
      </c>
      <c r="H292" s="178" t="inlineStr">
        <is>
          <t>100, 100, 67, 83, 50, 50, 67, 100</t>
        </is>
      </c>
      <c r="I292" s="201">
        <f>IF(H292="","",LEN(H292)-LEN(SUBSTITUTE(H292,",",""))+1)</f>
        <v/>
      </c>
      <c r="J292" s="202" t="inlineStr">
        <is>
          <t>升高改善</t>
        </is>
      </c>
      <c r="K292" s="203" t="n">
        <v>0.07898644934440115</v>
      </c>
      <c r="L292" s="203" t="n">
        <v>0.6442723322087527</v>
      </c>
      <c r="M292" s="201">
        <f>IF(OR(K292="",L292=""),"",IF(AND(L292&lt;0.05,OR(AND(J292="升高改善",K292&gt;0),AND(J292="降低改善",K292&lt;0))),"校正","不校正"))</f>
        <v/>
      </c>
      <c r="N292" s="178" t="inlineStr">
        <is>
          <t>Figure3，PDF18（在线页码18），自上而下第3面板，Accuracy空心方形/右轴（步骤正确百分比）</t>
        </is>
      </c>
    </row>
    <row r="293" ht="45" customHeight="1" s="176">
      <c r="A293" s="201" t="inlineStr">
        <is>
          <t>K460</t>
        </is>
      </c>
      <c r="B293" s="201" t="inlineStr">
        <is>
          <t>056-滚雪球</t>
        </is>
      </c>
      <c r="C293" s="201" t="inlineStr">
        <is>
          <t>P3</t>
        </is>
      </c>
      <c r="D293" s="202" t="inlineStr">
        <is>
          <t>干预</t>
        </is>
      </c>
      <c r="E293" s="178" t="inlineStr">
        <is>
          <t>BL vs 紧接基线的第一个干预条件</t>
        </is>
      </c>
      <c r="F293" s="178" t="inlineStr">
        <is>
          <t>40, 0, 0, 0, 40, 40, 80, 40, 40, 40, 100, 20, 20, 40, 40, 60, 60, 60, 0, 40, 80, 80, 80, 100, 0, 80, 80, 80, 80</t>
        </is>
      </c>
      <c r="G293" s="201">
        <f>IF(F293="","",LEN(F293)-LEN(SUBSTITUTE(F293,",",""))+1)</f>
        <v/>
      </c>
      <c r="H293" s="178" t="inlineStr">
        <is>
          <t>80, 100, 80, 100, 100, 100, 100, 100, 100</t>
        </is>
      </c>
      <c r="I293" s="201">
        <f>IF(H293="","",LEN(H293)-LEN(SUBSTITUTE(H293,",",""))+1)</f>
        <v/>
      </c>
      <c r="J293" s="202" t="inlineStr">
        <is>
          <t>升高改善</t>
        </is>
      </c>
      <c r="K293" s="203" t="n">
        <v>0.441864369528407</v>
      </c>
      <c r="L293" s="203" t="n">
        <v>0.00180674385023834</v>
      </c>
      <c r="M293" s="201">
        <f>IF(OR(K293="",L293=""),"",IF(AND(L293&lt;0.05,OR(AND(J293="升高改善",K293&gt;0),AND(J293="降低改善",K293&lt;0))),"校正","不校正"))</f>
        <v/>
      </c>
      <c r="N293" s="178" t="inlineStr">
        <is>
          <t>Figure3，PDF18（在线页码18），自上而下第4面板，Accuracy空心方形/右轴（步骤正确百分比）</t>
        </is>
      </c>
    </row>
    <row r="294" ht="45" customHeight="1" s="176">
      <c r="A294" s="201" t="inlineStr">
        <is>
          <t>K461</t>
        </is>
      </c>
      <c r="B294" s="201" t="inlineStr">
        <is>
          <t>056-滚雪球</t>
        </is>
      </c>
      <c r="C294" s="201" t="inlineStr">
        <is>
          <t>Jarrod</t>
        </is>
      </c>
      <c r="D294" s="202" t="inlineStr">
        <is>
          <t>干预</t>
        </is>
      </c>
      <c r="E294" s="178" t="inlineStr">
        <is>
          <t>BL vs 紧接基线的第一个干预条件</t>
        </is>
      </c>
      <c r="F294" s="178" t="inlineStr">
        <is>
          <t>25, 0, 25, 0, 25, 25, 50, 25, 0</t>
        </is>
      </c>
      <c r="G294" s="201">
        <f>IF(F294="","",LEN(F294)-LEN(SUBSTITUTE(F294,",",""))+1)</f>
        <v/>
      </c>
      <c r="H294" s="178" t="inlineStr">
        <is>
          <t>100, 100, 100, 100, 100, 75, 100, 100, 100</t>
        </is>
      </c>
      <c r="I294" s="201">
        <f>IF(H294="","",LEN(H294)-LEN(SUBSTITUTE(H294,",",""))+1)</f>
        <v/>
      </c>
      <c r="J294" s="202" t="inlineStr">
        <is>
          <t>升高改善</t>
        </is>
      </c>
      <c r="K294" s="203" t="n">
        <v>0.1042572070285374</v>
      </c>
      <c r="L294" s="203" t="n">
        <v>0.72305812692811</v>
      </c>
      <c r="M294" s="201">
        <f>IF(OR(K294="",L294=""),"",IF(AND(L294&lt;0.05,OR(AND(J294="升高改善",K294&gt;0),AND(J294="降低改善",K294&lt;0))),"校正","不校正"))</f>
        <v/>
      </c>
      <c r="N294" s="178" t="inlineStr">
        <is>
          <t>Figure4，PDF19（在线页码19），自上而下第1面板，Accuracy空心方形/右轴（步骤正确百分比）</t>
        </is>
      </c>
    </row>
    <row r="295" ht="45" customHeight="1" s="176">
      <c r="A295" s="201" t="inlineStr">
        <is>
          <t>K462</t>
        </is>
      </c>
      <c r="B295" s="201" t="inlineStr">
        <is>
          <t>056-滚雪球</t>
        </is>
      </c>
      <c r="C295" s="201" t="inlineStr">
        <is>
          <t>Jarrod</t>
        </is>
      </c>
      <c r="D295" s="202" t="inlineStr">
        <is>
          <t>维持</t>
        </is>
      </c>
      <c r="E295" s="178" t="inlineStr">
        <is>
          <t>BL vs Maintenance</t>
        </is>
      </c>
      <c r="F295" s="178" t="inlineStr">
        <is>
          <t>25, 0, 25, 0, 25, 25, 50, 25, 0</t>
        </is>
      </c>
      <c r="G295" s="201">
        <f>IF(F295="","",LEN(F295)-LEN(SUBSTITUTE(F295,",",""))+1)</f>
        <v/>
      </c>
      <c r="H295" s="178" t="inlineStr">
        <is>
          <t>100, 100, 50, 50, 100, 100, 50, 50, 100, 100, 100, 100, 100, 100, 100, 100, 75, 100, 100, 100</t>
        </is>
      </c>
      <c r="I295" s="201">
        <f>IF(H295="","",LEN(H295)-LEN(SUBSTITUTE(H295,",",""))+1)</f>
        <v/>
      </c>
      <c r="J295" s="202" t="inlineStr">
        <is>
          <t>升高改善</t>
        </is>
      </c>
      <c r="K295" s="203" t="n">
        <v>0.1042572070285374</v>
      </c>
      <c r="L295" s="203" t="n">
        <v>0.72305812692811</v>
      </c>
      <c r="M295" s="201">
        <f>IF(OR(K295="",L295=""),"",IF(AND(L295&lt;0.05,OR(AND(J295="升高改善",K295&gt;0),AND(J295="降低改善",K295&lt;0))),"校正","不校正"))</f>
        <v/>
      </c>
      <c r="N295" s="178" t="inlineStr">
        <is>
          <t>Figure4，PDF19（在线页码19），自上而下第1面板，Accuracy空心方形/右轴（步骤正确百分比）</t>
        </is>
      </c>
    </row>
    <row r="296" ht="45" customHeight="1" s="176">
      <c r="A296" s="201" t="inlineStr">
        <is>
          <t>K463</t>
        </is>
      </c>
      <c r="B296" s="201" t="inlineStr">
        <is>
          <t>056-滚雪球</t>
        </is>
      </c>
      <c r="C296" s="201" t="inlineStr">
        <is>
          <t>Jarrod</t>
        </is>
      </c>
      <c r="D296" s="202" t="inlineStr">
        <is>
          <t>干预</t>
        </is>
      </c>
      <c r="E296" s="178" t="inlineStr">
        <is>
          <t>BL vs 紧接基线的第一个干预条件</t>
        </is>
      </c>
      <c r="F296" s="178" t="inlineStr">
        <is>
          <t>60, 40, 0, 60, 60, 60, 40, 100, 20, 20, 60, 40, 60, 60, 60, 40, 60</t>
        </is>
      </c>
      <c r="G296" s="201">
        <f>IF(F296="","",LEN(F296)-LEN(SUBSTITUTE(F296,",",""))+1)</f>
        <v/>
      </c>
      <c r="H296" s="178" t="inlineStr">
        <is>
          <t>100, 100, 100, 100, 100, 100, 100, 100, 100</t>
        </is>
      </c>
      <c r="I296" s="201">
        <f>IF(H296="","",LEN(H296)-LEN(SUBSTITUTE(H296,",",""))+1)</f>
        <v/>
      </c>
      <c r="J296" s="202" t="inlineStr">
        <is>
          <t>升高改善</t>
        </is>
      </c>
      <c r="K296" s="203" t="n">
        <v>0.09780966167906706</v>
      </c>
      <c r="L296" s="203" t="n">
        <v>0.618401752324014</v>
      </c>
      <c r="M296" s="201">
        <f>IF(OR(K296="",L296=""),"",IF(AND(L296&lt;0.05,OR(AND(J296="升高改善",K296&gt;0),AND(J296="降低改善",K296&lt;0))),"校正","不校正"))</f>
        <v/>
      </c>
      <c r="N296" s="178" t="inlineStr">
        <is>
          <t>Figure4，PDF19（在线页码19），自上而下第2面板，Accuracy空心方形/右轴（步骤正确百分比）</t>
        </is>
      </c>
    </row>
    <row r="297" ht="45" customHeight="1" s="176">
      <c r="A297" s="201" t="inlineStr">
        <is>
          <t>K464</t>
        </is>
      </c>
      <c r="B297" s="201" t="inlineStr">
        <is>
          <t>056-滚雪球</t>
        </is>
      </c>
      <c r="C297" s="201" t="inlineStr">
        <is>
          <t>Jarrod</t>
        </is>
      </c>
      <c r="D297" s="202" t="inlineStr">
        <is>
          <t>维持</t>
        </is>
      </c>
      <c r="E297" s="178" t="inlineStr">
        <is>
          <t>BL vs Maintenance</t>
        </is>
      </c>
      <c r="F297" s="178" t="inlineStr">
        <is>
          <t>60, 40, 0, 60, 60, 60, 40, 100, 20, 20, 60, 40, 60, 60, 60, 40, 60</t>
        </is>
      </c>
      <c r="G297" s="201">
        <f>IF(F297="","",LEN(F297)-LEN(SUBSTITUTE(F297,",",""))+1)</f>
        <v/>
      </c>
      <c r="H297" s="178" t="inlineStr">
        <is>
          <t>100, 100, 60, 80, 100, 40, 100, 100, 100, 100, 80, 80, 80, 100</t>
        </is>
      </c>
      <c r="I297" s="201">
        <f>IF(H297="","",LEN(H297)-LEN(SUBSTITUTE(H297,",",""))+1)</f>
        <v/>
      </c>
      <c r="J297" s="202" t="inlineStr">
        <is>
          <t>升高改善</t>
        </is>
      </c>
      <c r="K297" s="203" t="n">
        <v>0.09780966167906706</v>
      </c>
      <c r="L297" s="203" t="n">
        <v>0.618401752324014</v>
      </c>
      <c r="M297" s="201">
        <f>IF(OR(K297="",L297=""),"",IF(AND(L297&lt;0.05,OR(AND(J297="升高改善",K297&gt;0),AND(J297="降低改善",K297&lt;0))),"校正","不校正"))</f>
        <v/>
      </c>
      <c r="N297" s="178" t="inlineStr">
        <is>
          <t>Figure4，PDF19（在线页码19），自上而下第2面板，Accuracy空心方形/右轴（步骤正确百分比）</t>
        </is>
      </c>
    </row>
    <row r="298" ht="45" customHeight="1" s="176">
      <c r="A298" s="201" t="inlineStr">
        <is>
          <t>K465</t>
        </is>
      </c>
      <c r="B298" s="201" t="inlineStr">
        <is>
          <t>056-滚雪球</t>
        </is>
      </c>
      <c r="C298" s="201" t="inlineStr">
        <is>
          <t>Jarrod</t>
        </is>
      </c>
      <c r="D298" s="202" t="inlineStr">
        <is>
          <t>干预</t>
        </is>
      </c>
      <c r="E298" s="178" t="inlineStr">
        <is>
          <t>BL vs 紧接基线的第一个干预条件</t>
        </is>
      </c>
      <c r="F298" s="178" t="inlineStr">
        <is>
          <t>0, 50, 33, 17, 33, 50, 33, 17, 0, 17, 17, 17, 17, 0, 17, 33, 33, 33, 17, 17, 17, 0, 17</t>
        </is>
      </c>
      <c r="G298" s="201">
        <f>IF(F298="","",LEN(F298)-LEN(SUBSTITUTE(F298,",",""))+1)</f>
        <v/>
      </c>
      <c r="H298" s="178" t="inlineStr">
        <is>
          <t>100, 100, 100, 100, 83, 100, 100, 100, 100</t>
        </is>
      </c>
      <c r="I298" s="201">
        <f>IF(H298="","",LEN(H298)-LEN(SUBSTITUTE(H298,",",""))+1)</f>
        <v/>
      </c>
      <c r="J298" s="202" t="inlineStr">
        <is>
          <t>升高改善</t>
        </is>
      </c>
      <c r="K298" s="203" t="n">
        <v>-0.2085144140570748</v>
      </c>
      <c r="L298" s="203" t="n">
        <v>0.2097528849673608</v>
      </c>
      <c r="M298" s="201">
        <f>IF(OR(K298="",L298=""),"",IF(AND(L298&lt;0.05,OR(AND(J298="升高改善",K298&gt;0),AND(J298="降低改善",K298&lt;0))),"校正","不校正"))</f>
        <v/>
      </c>
      <c r="N298" s="178" t="inlineStr">
        <is>
          <t>Figure4，PDF19（在线页码19），自上而下第3面板，Accuracy空心方形/右轴（步骤正确百分比）</t>
        </is>
      </c>
    </row>
    <row r="299" ht="45" customHeight="1" s="176">
      <c r="A299" s="201" t="inlineStr">
        <is>
          <t>K466</t>
        </is>
      </c>
      <c r="B299" s="201" t="inlineStr">
        <is>
          <t>056-滚雪球</t>
        </is>
      </c>
      <c r="C299" s="201" t="inlineStr">
        <is>
          <t>Jarrod</t>
        </is>
      </c>
      <c r="D299" s="202" t="inlineStr">
        <is>
          <t>维持</t>
        </is>
      </c>
      <c r="E299" s="178" t="inlineStr">
        <is>
          <t>BL vs Maintenance</t>
        </is>
      </c>
      <c r="F299" s="178" t="inlineStr">
        <is>
          <t>0, 50, 33, 17, 33, 50, 33, 17, 0, 17, 17, 17, 17, 0, 17, 33, 33, 33, 17, 17, 17, 0, 17</t>
        </is>
      </c>
      <c r="G299" s="201">
        <f>IF(F299="","",LEN(F299)-LEN(SUBSTITUTE(F299,",",""))+1)</f>
        <v/>
      </c>
      <c r="H299" s="178" t="inlineStr">
        <is>
          <t>83, 50, 83, 83, 38</t>
        </is>
      </c>
      <c r="I299" s="201">
        <f>IF(H299="","",LEN(H299)-LEN(SUBSTITUTE(H299,",",""))+1)</f>
        <v/>
      </c>
      <c r="J299" s="202" t="inlineStr">
        <is>
          <t>升高改善</t>
        </is>
      </c>
      <c r="K299" s="203" t="n">
        <v>-0.2085144140570748</v>
      </c>
      <c r="L299" s="203" t="n">
        <v>0.2097528849673608</v>
      </c>
      <c r="M299" s="201">
        <f>IF(OR(K299="",L299=""),"",IF(AND(L299&lt;0.05,OR(AND(J299="升高改善",K299&gt;0),AND(J299="降低改善",K299&lt;0))),"校正","不校正"))</f>
        <v/>
      </c>
      <c r="N299" s="178" t="inlineStr">
        <is>
          <t>Figure4，PDF19（在线页码19），自上而下第3面板，Accuracy空心方形/右轴（步骤正确百分比）</t>
        </is>
      </c>
    </row>
    <row r="300" ht="45" customHeight="1" s="176">
      <c r="A300" s="201" t="inlineStr">
        <is>
          <t>K467</t>
        </is>
      </c>
      <c r="B300" s="201" t="inlineStr">
        <is>
          <t>056-滚雪球</t>
        </is>
      </c>
      <c r="C300" s="201" t="inlineStr">
        <is>
          <t>Jarrod</t>
        </is>
      </c>
      <c r="D300" s="202" t="inlineStr">
        <is>
          <t>干预</t>
        </is>
      </c>
      <c r="E300" s="178" t="inlineStr">
        <is>
          <t>BL vs 紧接基线的第一个干预条件</t>
        </is>
      </c>
      <c r="F300" s="178" t="inlineStr">
        <is>
          <t>0, 0, 0, 0, 60, 60, 40, 0, 20, 20, 20, 20, 20, 40, 20, 20, 0, 0, 0, 0, 60, 60, 80, 0, 60, 0, 80, 80, 80, 80, 0, 60</t>
        </is>
      </c>
      <c r="G300" s="201">
        <f>IF(F300="","",LEN(F300)-LEN(SUBSTITUTE(F300,",",""))+1)</f>
        <v/>
      </c>
      <c r="H300" s="178" t="inlineStr">
        <is>
          <t>100, 100, 100, 80, 100, 100, 100, 100, 100, 100</t>
        </is>
      </c>
      <c r="I300" s="201">
        <f>IF(H300="","",LEN(H300)-LEN(SUBSTITUTE(H300,",",""))+1)</f>
        <v/>
      </c>
      <c r="J300" s="202" t="inlineStr">
        <is>
          <t>升高改善</t>
        </is>
      </c>
      <c r="K300" s="203" t="n">
        <v>0.2913825205242699</v>
      </c>
      <c r="L300" s="203" t="n">
        <v>0.03180968222056624</v>
      </c>
      <c r="M300" s="201">
        <f>IF(OR(K300="",L300=""),"",IF(AND(L300&lt;0.05,OR(AND(J300="升高改善",K300&gt;0),AND(J300="降低改善",K300&lt;0))),"校正","不校正"))</f>
        <v/>
      </c>
      <c r="N300" s="178" t="inlineStr">
        <is>
          <t>Figure4，PDF19（在线页码19），自上而下第4面板，Accuracy空心方形/右轴（步骤正确百分比）</t>
        </is>
      </c>
    </row>
    <row r="301" ht="45" customHeight="1" s="176">
      <c r="A301" s="201" t="inlineStr">
        <is>
          <t>K468</t>
        </is>
      </c>
      <c r="B301" s="201" t="inlineStr">
        <is>
          <t>056-滚雪球</t>
        </is>
      </c>
      <c r="C301" s="201" t="inlineStr">
        <is>
          <t>Tony</t>
        </is>
      </c>
      <c r="D301" s="202" t="inlineStr">
        <is>
          <t>干预</t>
        </is>
      </c>
      <c r="E301" s="178" t="inlineStr">
        <is>
          <t>BL vs 紧接基线的第一个干预条件</t>
        </is>
      </c>
      <c r="F301" s="178" t="inlineStr">
        <is>
          <t>0, 0, 50, 0, 0, 0, 0, 0, 0</t>
        </is>
      </c>
      <c r="G301" s="201">
        <f>IF(F301="","",LEN(F301)-LEN(SUBSTITUTE(F301,",",""))+1)</f>
        <v/>
      </c>
      <c r="H301" s="178" t="inlineStr">
        <is>
          <t>0, 0, 0, 100, 100, 100, 100, 100, 100</t>
        </is>
      </c>
      <c r="I301" s="201">
        <f>IF(H301="","",LEN(H301)-LEN(SUBSTITUTE(H301,",",""))+1)</f>
        <v/>
      </c>
      <c r="J301" s="202" t="inlineStr">
        <is>
          <t>升高改善</t>
        </is>
      </c>
      <c r="K301" s="203" t="n">
        <v>-0.2357022603955158</v>
      </c>
      <c r="L301" s="203" t="n">
        <v>0.4385780260809998</v>
      </c>
      <c r="M301" s="201">
        <f>IF(OR(K301="",L301=""),"",IF(AND(L301&lt;0.05,OR(AND(J301="升高改善",K301&gt;0),AND(J301="降低改善",K301&lt;0))),"校正","不校正"))</f>
        <v/>
      </c>
      <c r="N301" s="178" t="inlineStr">
        <is>
          <t>Figure5，PDF21（在线页码21），自上而下第1面板，Accuracy空心方形/右轴（步骤正确百分比）</t>
        </is>
      </c>
    </row>
    <row r="302" ht="45" customHeight="1" s="176">
      <c r="A302" s="201" t="inlineStr">
        <is>
          <t>K469</t>
        </is>
      </c>
      <c r="B302" s="201" t="inlineStr">
        <is>
          <t>056-滚雪球</t>
        </is>
      </c>
      <c r="C302" s="201" t="inlineStr">
        <is>
          <t>Tony</t>
        </is>
      </c>
      <c r="D302" s="202" t="inlineStr">
        <is>
          <t>维持</t>
        </is>
      </c>
      <c r="E302" s="178" t="inlineStr">
        <is>
          <t>BL vs Maintenance</t>
        </is>
      </c>
      <c r="F302" s="178" t="inlineStr">
        <is>
          <t>0, 0, 50, 0, 0, 0, 0, 0, 0</t>
        </is>
      </c>
      <c r="G302" s="201">
        <f>IF(F302="","",LEN(F302)-LEN(SUBSTITUTE(F302,",",""))+1)</f>
        <v/>
      </c>
      <c r="H302" s="178" t="inlineStr">
        <is>
          <t>100, 100, 50, 100, 100, 100, 100, 75, 100, 100, 100, 100, 100, 100, 100, 100, 100, 100, 100, 100, 100, 100, 100</t>
        </is>
      </c>
      <c r="I302" s="201">
        <f>IF(H302="","",LEN(H302)-LEN(SUBSTITUTE(H302,",",""))+1)</f>
        <v/>
      </c>
      <c r="J302" s="202" t="inlineStr">
        <is>
          <t>升高改善</t>
        </is>
      </c>
      <c r="K302" s="203" t="n">
        <v>-0.2357022603955158</v>
      </c>
      <c r="L302" s="203" t="n">
        <v>0.4385780260809998</v>
      </c>
      <c r="M302" s="201">
        <f>IF(OR(K302="",L302=""),"",IF(AND(L302&lt;0.05,OR(AND(J302="升高改善",K302&gt;0),AND(J302="降低改善",K302&lt;0))),"校正","不校正"))</f>
        <v/>
      </c>
      <c r="N302" s="178" t="inlineStr">
        <is>
          <t>Figure5，PDF21（在线页码21），自上而下第1面板，Accuracy空心方形/右轴（步骤正确百分比）</t>
        </is>
      </c>
    </row>
    <row r="303" ht="45" customHeight="1" s="176">
      <c r="A303" s="201" t="inlineStr">
        <is>
          <t>K470</t>
        </is>
      </c>
      <c r="B303" s="201" t="inlineStr">
        <is>
          <t>056-滚雪球</t>
        </is>
      </c>
      <c r="C303" s="201" t="inlineStr">
        <is>
          <t>Tony</t>
        </is>
      </c>
      <c r="D303" s="202" t="inlineStr">
        <is>
          <t>干预</t>
        </is>
      </c>
      <c r="E303" s="178" t="inlineStr">
        <is>
          <t>BL vs 紧接基线的第一个干预条件</t>
        </is>
      </c>
      <c r="F303" s="178" t="inlineStr">
        <is>
          <t>0, 20, 0, 0, 0, 0, 0, 0, 80, 100, 60, 40, 40, 60, 40, 60</t>
        </is>
      </c>
      <c r="G303" s="201">
        <f>IF(F303="","",LEN(F303)-LEN(SUBSTITUTE(F303,",",""))+1)</f>
        <v/>
      </c>
      <c r="H303" s="178" t="inlineStr">
        <is>
          <t>100, 100, 100, 100, 100, 100, 100, 100, 100</t>
        </is>
      </c>
      <c r="I303" s="201">
        <f>IF(H303="","",LEN(H303)-LEN(SUBSTITUTE(H303,",",""))+1)</f>
        <v/>
      </c>
      <c r="J303" s="202" t="inlineStr">
        <is>
          <t>升高改善</t>
        </is>
      </c>
      <c r="K303" s="203" t="n">
        <v>0.4638354979684363</v>
      </c>
      <c r="L303" s="203" t="n">
        <v>0.01972323605479458</v>
      </c>
      <c r="M303" s="201">
        <f>IF(OR(K303="",L303=""),"",IF(AND(L303&lt;0.05,OR(AND(J303="升高改善",K303&gt;0),AND(J303="降低改善",K303&lt;0))),"校正","不校正"))</f>
        <v/>
      </c>
      <c r="N303" s="178" t="inlineStr">
        <is>
          <t>Figure5，PDF21（在线页码21），自上而下第2面板，Accuracy空心方形/右轴（步骤正确百分比）</t>
        </is>
      </c>
    </row>
    <row r="304" ht="45" customHeight="1" s="176">
      <c r="A304" s="201" t="inlineStr">
        <is>
          <t>K471</t>
        </is>
      </c>
      <c r="B304" s="201" t="inlineStr">
        <is>
          <t>056-滚雪球</t>
        </is>
      </c>
      <c r="C304" s="201" t="inlineStr">
        <is>
          <t>Tony</t>
        </is>
      </c>
      <c r="D304" s="202" t="inlineStr">
        <is>
          <t>维持</t>
        </is>
      </c>
      <c r="E304" s="178" t="inlineStr">
        <is>
          <t>BL vs Maintenance</t>
        </is>
      </c>
      <c r="F304" s="178" t="inlineStr">
        <is>
          <t>0, 20, 0, 0, 0, 0, 0, 0, 80, 100, 60, 40, 40, 60, 40, 60</t>
        </is>
      </c>
      <c r="G304" s="201">
        <f>IF(F304="","",LEN(F304)-LEN(SUBSTITUTE(F304,",",""))+1)</f>
        <v/>
      </c>
      <c r="H304" s="178" t="inlineStr">
        <is>
          <t>80, 100, 100, 100, 80, 100, 100, 100, 100, 100, 100, 100, 100, 100, 100</t>
        </is>
      </c>
      <c r="I304" s="201">
        <f>IF(H304="","",LEN(H304)-LEN(SUBSTITUTE(H304,",",""))+1)</f>
        <v/>
      </c>
      <c r="J304" s="202" t="inlineStr">
        <is>
          <t>升高改善</t>
        </is>
      </c>
      <c r="K304" s="203" t="n">
        <v>0.4638354979684363</v>
      </c>
      <c r="L304" s="203" t="n">
        <v>0.01972323605479458</v>
      </c>
      <c r="M304" s="201">
        <f>IF(OR(K304="",L304=""),"",IF(AND(L304&lt;0.05,OR(AND(J304="升高改善",K304&gt;0),AND(J304="降低改善",K304&lt;0))),"校正","不校正"))</f>
        <v/>
      </c>
      <c r="N304" s="178" t="inlineStr">
        <is>
          <t>Figure5，PDF21（在线页码21），自上而下第2面板，Accuracy空心方形/右轴（步骤正确百分比）</t>
        </is>
      </c>
    </row>
    <row r="305" ht="45" customHeight="1" s="176">
      <c r="A305" s="201" t="inlineStr">
        <is>
          <t>K472</t>
        </is>
      </c>
      <c r="B305" s="201" t="inlineStr">
        <is>
          <t>056-滚雪球</t>
        </is>
      </c>
      <c r="C305" s="201" t="inlineStr">
        <is>
          <t>Tony</t>
        </is>
      </c>
      <c r="D305" s="202" t="inlineStr">
        <is>
          <t>干预</t>
        </is>
      </c>
      <c r="E305" s="178" t="inlineStr">
        <is>
          <t>BL vs 紧接基线的第一个干预条件</t>
        </is>
      </c>
      <c r="F305" s="178" t="inlineStr">
        <is>
          <t>0, 0, 0, 0, 0, 0, 0, 0, 0, 0, 0, 0, 0, 0, 0, 0, 0, 17, 0, 17, 17, 0, 0, 0, 0</t>
        </is>
      </c>
      <c r="G305" s="201">
        <f>IF(F305="","",LEN(F305)-LEN(SUBSTITUTE(F305,",",""))+1)</f>
        <v/>
      </c>
      <c r="H305" s="178" t="inlineStr">
        <is>
          <t>100, 100, 100, 100, 100, 100, 100, 100, 100</t>
        </is>
      </c>
      <c r="I305" s="201">
        <f>IF(H305="","",LEN(H305)-LEN(SUBSTITUTE(H305,",",""))+1)</f>
        <v/>
      </c>
      <c r="J305" s="202" t="inlineStr">
        <is>
          <t>升高改善</t>
        </is>
      </c>
      <c r="K305" s="203" t="n">
        <v>0.2842676218074805</v>
      </c>
      <c r="L305" s="203" t="n">
        <v>0.09442891638007397</v>
      </c>
      <c r="M305" s="201">
        <f>IF(OR(K305="",L305=""),"",IF(AND(L305&lt;0.05,OR(AND(J305="升高改善",K305&gt;0),AND(J305="降低改善",K305&lt;0))),"校正","不校正"))</f>
        <v/>
      </c>
      <c r="N305" s="178" t="inlineStr">
        <is>
          <t>Figure5，PDF21（在线页码21），自上而下第3面板，Accuracy空心方形/右轴（步骤正确百分比）</t>
        </is>
      </c>
    </row>
    <row r="306" ht="45" customHeight="1" s="176">
      <c r="A306" s="201" t="inlineStr">
        <is>
          <t>K473</t>
        </is>
      </c>
      <c r="B306" s="201" t="inlineStr">
        <is>
          <t>056-滚雪球</t>
        </is>
      </c>
      <c r="C306" s="201" t="inlineStr">
        <is>
          <t>Tony</t>
        </is>
      </c>
      <c r="D306" s="202" t="inlineStr">
        <is>
          <t>维持</t>
        </is>
      </c>
      <c r="E306" s="178" t="inlineStr">
        <is>
          <t>BL vs Maintenance</t>
        </is>
      </c>
      <c r="F306" s="178" t="inlineStr">
        <is>
          <t>0, 0, 0, 0, 0, 0, 0, 0, 0, 0, 0, 0, 0, 0, 0, 0, 0, 17, 0, 17, 17, 0, 0, 0, 0</t>
        </is>
      </c>
      <c r="G306" s="201">
        <f>IF(F306="","",LEN(F306)-LEN(SUBSTITUTE(F306,",",""))+1)</f>
        <v/>
      </c>
      <c r="H306" s="178" t="inlineStr">
        <is>
          <t>100, 100, 83, 83, 83, 100, 100, 83, 100</t>
        </is>
      </c>
      <c r="I306" s="201">
        <f>IF(H306="","",LEN(H306)-LEN(SUBSTITUTE(H306,",",""))+1)</f>
        <v/>
      </c>
      <c r="J306" s="202" t="inlineStr">
        <is>
          <t>升高改善</t>
        </is>
      </c>
      <c r="K306" s="203" t="n">
        <v>0.2842676218074805</v>
      </c>
      <c r="L306" s="203" t="n">
        <v>0.09442891638007397</v>
      </c>
      <c r="M306" s="201">
        <f>IF(OR(K306="",L306=""),"",IF(AND(L306&lt;0.05,OR(AND(J306="升高改善",K306&gt;0),AND(J306="降低改善",K306&lt;0))),"校正","不校正"))</f>
        <v/>
      </c>
      <c r="N306" s="178" t="inlineStr">
        <is>
          <t>Figure5，PDF21（在线页码21），自上而下第3面板，Accuracy空心方形/右轴（步骤正确百分比）</t>
        </is>
      </c>
    </row>
    <row r="307" ht="45" customHeight="1" s="176">
      <c r="A307" s="201" t="inlineStr">
        <is>
          <t>K474</t>
        </is>
      </c>
      <c r="B307" s="201" t="inlineStr">
        <is>
          <t>056-滚雪球</t>
        </is>
      </c>
      <c r="C307" s="201" t="inlineStr">
        <is>
          <t>Tony</t>
        </is>
      </c>
      <c r="D307" s="202" t="inlineStr">
        <is>
          <t>干预</t>
        </is>
      </c>
      <c r="E307" s="178" t="inlineStr">
        <is>
          <t>BL vs 紧接基线的第一个干预条件</t>
        </is>
      </c>
      <c r="F307" s="178" t="inlineStr">
        <is>
          <t>0, 20, 20, 0, 0, 0, 0, 40, 60, 40, 0, 0, 0, 40, 0, 0, 0, 0, 0, 40, 40, 80, 0, 80, 80, 0, 0, 0, 0, 0, 0</t>
        </is>
      </c>
      <c r="G307" s="201">
        <f>IF(F307="","",LEN(F307)-LEN(SUBSTITUTE(F307,",",""))+1)</f>
        <v/>
      </c>
      <c r="H307" s="178" t="inlineStr">
        <is>
          <t>100, 100, 100, 100, 100, 100, 100, 100, 100</t>
        </is>
      </c>
      <c r="I307" s="201">
        <f>IF(H307="","",LEN(H307)-LEN(SUBSTITUTE(H307,",",""))+1)</f>
        <v/>
      </c>
      <c r="J307" s="202" t="inlineStr">
        <is>
          <t>升高改善</t>
        </is>
      </c>
      <c r="K307" s="203" t="n">
        <v>-0.008611415107403706</v>
      </c>
      <c r="L307" s="203" t="n">
        <v>0.9520629780628607</v>
      </c>
      <c r="M307" s="201">
        <f>IF(OR(K307="",L307=""),"",IF(AND(L307&lt;0.05,OR(AND(J307="升高改善",K307&gt;0),AND(J307="降低改善",K307&lt;0))),"校正","不校正"))</f>
        <v/>
      </c>
      <c r="N307" s="178" t="inlineStr">
        <is>
          <t>Figure5，PDF21（在线页码21），自上而下第4面板，Accuracy空心方形/右轴（步骤正确百分比）</t>
        </is>
      </c>
    </row>
    <row r="308" ht="45" customHeight="1" s="176">
      <c r="A308" s="201" t="inlineStr">
        <is>
          <t>K477</t>
        </is>
      </c>
      <c r="B308" s="201" t="inlineStr">
        <is>
          <t>057-二次</t>
        </is>
      </c>
      <c r="C308" s="201" t="inlineStr">
        <is>
          <t>Abby（化名）</t>
        </is>
      </c>
      <c r="D308" s="202" t="inlineStr">
        <is>
          <t>干预</t>
        </is>
      </c>
      <c r="E308" s="178" t="inlineStr">
        <is>
          <t>Baseline vs Intervention（自我管理含视频示范）</t>
        </is>
      </c>
      <c r="F308" s="178" t="inlineStr">
        <is>
          <t>33, 17, 29, 33, 29</t>
        </is>
      </c>
      <c r="G308" s="201">
        <f>IF(F308="","",LEN(F308)-LEN(SUBSTITUTE(F308,",",""))+1)</f>
        <v/>
      </c>
      <c r="H308" s="178" t="inlineStr">
        <is>
          <t>75, 80, 100, 71, 64</t>
        </is>
      </c>
      <c r="I308" s="201">
        <f>IF(H308="","",LEN(H308)-LEN(SUBSTITUTE(H308,",",""))+1)</f>
        <v/>
      </c>
      <c r="J308" s="202" t="inlineStr">
        <is>
          <t>升高改善</t>
        </is>
      </c>
      <c r="K308" s="203" t="n">
        <v>0</v>
      </c>
      <c r="L308" s="203" t="n">
        <v>1</v>
      </c>
      <c r="M308" s="201">
        <f>IF(OR(K308="",L308=""),"",IF(AND(L308&lt;0.05,OR(AND(J308="升高改善",K308&gt;0),AND(J308="降低改善",K308&lt;0))),"校正","不校正"))</f>
        <v/>
      </c>
      <c r="N308" s="178" t="inlineStr">
        <is>
          <t>Figure1 PDF8/页280，第2面板，空心圆主曲线</t>
        </is>
      </c>
    </row>
    <row r="309" ht="45" customHeight="1" s="176">
      <c r="A309" s="201" t="inlineStr">
        <is>
          <t>K478</t>
        </is>
      </c>
      <c r="B309" s="201" t="inlineStr">
        <is>
          <t>057-二次</t>
        </is>
      </c>
      <c r="C309" s="201" t="inlineStr">
        <is>
          <t>Abby（化名）</t>
        </is>
      </c>
      <c r="D309" s="202" t="inlineStr">
        <is>
          <t>维持</t>
        </is>
      </c>
      <c r="E309" s="178" t="inlineStr">
        <is>
          <t>Baseline vs Follow-up（1 个月后；Fading 段不用）</t>
        </is>
      </c>
      <c r="F309" s="178" t="inlineStr">
        <is>
          <t>33, 17, 29, 33, 29</t>
        </is>
      </c>
      <c r="G309" s="201">
        <f>IF(F309="","",LEN(F309)-LEN(SUBSTITUTE(F309,",",""))+1)</f>
        <v/>
      </c>
      <c r="H309" s="178" t="inlineStr">
        <is>
          <t>75, 80, 73, 83, 71, 78, 67</t>
        </is>
      </c>
      <c r="I309" s="201">
        <f>IF(H309="","",LEN(H309)-LEN(SUBSTITUTE(H309,",",""))+1)</f>
        <v/>
      </c>
      <c r="J309" s="202" t="inlineStr">
        <is>
          <t>升高改善</t>
        </is>
      </c>
      <c r="K309" s="203" t="n">
        <v>0</v>
      </c>
      <c r="L309" s="203" t="n">
        <v>1</v>
      </c>
      <c r="M309" s="201">
        <f>IF(OR(K309="",L309=""),"",IF(AND(L309&lt;0.05,OR(AND(J309="升高改善",K309&gt;0),AND(J309="降低改善",K309&lt;0))),"校正","不校正"))</f>
        <v/>
      </c>
      <c r="N309" s="178" t="inlineStr">
        <is>
          <t>Figure1 PDF8/页280，第2面板，空心圆主曲线</t>
        </is>
      </c>
    </row>
    <row r="310" ht="45" customHeight="1" s="176">
      <c r="A310" s="201" t="inlineStr">
        <is>
          <t>K479</t>
        </is>
      </c>
      <c r="B310" s="201" t="inlineStr">
        <is>
          <t>057-二次</t>
        </is>
      </c>
      <c r="C310" s="201" t="inlineStr">
        <is>
          <t>Abby（化名）</t>
        </is>
      </c>
      <c r="D310" s="202" t="inlineStr">
        <is>
          <t>干预</t>
        </is>
      </c>
      <c r="E310" s="178" t="inlineStr">
        <is>
          <t>Baseline vs Intervention（自我管理含视频示范）</t>
        </is>
      </c>
      <c r="F310" s="178" t="inlineStr">
        <is>
          <t>33, 29, 29, 71, 67, 67</t>
        </is>
      </c>
      <c r="G310" s="201">
        <f>IF(F310="","",LEN(F310)-LEN(SUBSTITUTE(F310,",",""))+1)</f>
        <v/>
      </c>
      <c r="H310" s="178" t="inlineStr">
        <is>
          <t>67, 100, 100, 71, 100</t>
        </is>
      </c>
      <c r="I310" s="201">
        <f>IF(H310="","",LEN(H310)-LEN(SUBSTITUTE(H310,",",""))+1)</f>
        <v/>
      </c>
      <c r="J310" s="202" t="inlineStr">
        <is>
          <t>升高改善</t>
        </is>
      </c>
      <c r="K310" s="203" t="n">
        <v>0.358057437019716</v>
      </c>
      <c r="L310" s="203" t="n">
        <v>0.329880451788801</v>
      </c>
      <c r="M310" s="201">
        <f>IF(OR(K310="",L310=""),"",IF(AND(L310&lt;0.05,OR(AND(J310="升高改善",K310&gt;0),AND(J310="降低改善",K310&lt;0))),"校正","不校正"))</f>
        <v/>
      </c>
      <c r="N310" s="178" t="inlineStr">
        <is>
          <t>Figure1 PDF8/页280，第3面板，空心圆主曲线</t>
        </is>
      </c>
    </row>
    <row r="311" ht="45" customHeight="1" s="176">
      <c r="A311" s="201" t="inlineStr">
        <is>
          <t>K480</t>
        </is>
      </c>
      <c r="B311" s="201" t="inlineStr">
        <is>
          <t>057-二次</t>
        </is>
      </c>
      <c r="C311" s="201" t="inlineStr">
        <is>
          <t>Abby（化名）</t>
        </is>
      </c>
      <c r="D311" s="202" t="inlineStr">
        <is>
          <t>维持</t>
        </is>
      </c>
      <c r="E311" s="178" t="inlineStr">
        <is>
          <t>Baseline vs Follow-up（1 个月后；Fading 段不用）</t>
        </is>
      </c>
      <c r="F311" s="178" t="inlineStr">
        <is>
          <t>33, 29, 29, 71, 67, 67</t>
        </is>
      </c>
      <c r="G311" s="201">
        <f>IF(F311="","",LEN(F311)-LEN(SUBSTITUTE(F311,",",""))+1)</f>
        <v/>
      </c>
      <c r="H311" s="178" t="inlineStr">
        <is>
          <t>83, 100, 100, 83, 83, 100, 100</t>
        </is>
      </c>
      <c r="I311" s="201">
        <f>IF(H311="","",LEN(H311)-LEN(SUBSTITUTE(H311,",",""))+1)</f>
        <v/>
      </c>
      <c r="J311" s="202" t="inlineStr">
        <is>
          <t>升高改善</t>
        </is>
      </c>
      <c r="K311" s="203" t="n">
        <v>0.358057437019716</v>
      </c>
      <c r="L311" s="203" t="n">
        <v>0.329880451788801</v>
      </c>
      <c r="M311" s="201">
        <f>IF(OR(K311="",L311=""),"",IF(AND(L311&lt;0.05,OR(AND(J311="升高改善",K311&gt;0),AND(J311="降低改善",K311&lt;0))),"校正","不校正"))</f>
        <v/>
      </c>
      <c r="N311" s="178" t="inlineStr">
        <is>
          <t>Figure1 PDF8/页280，第3面板，空心圆主曲线</t>
        </is>
      </c>
    </row>
    <row r="312" ht="45" customHeight="1" s="176">
      <c r="A312" s="201" t="inlineStr">
        <is>
          <t>K481</t>
        </is>
      </c>
      <c r="B312" s="201" t="inlineStr">
        <is>
          <t>065-二次</t>
        </is>
      </c>
      <c r="C312" s="201" t="inlineStr">
        <is>
          <t>Efe</t>
        </is>
      </c>
      <c r="D312" s="202" t="inlineStr">
        <is>
          <t>干预</t>
        </is>
      </c>
      <c r="E312" s="178" t="inlineStr">
        <is>
          <t>Baseline vs Intervention（每日探测）</t>
        </is>
      </c>
      <c r="F312" s="178" t="inlineStr">
        <is>
          <t>0, 0, 0</t>
        </is>
      </c>
      <c r="G312" s="201">
        <f>IF(F312="","",LEN(F312)-LEN(SUBSTITUTE(F312,",",""))+1)</f>
        <v/>
      </c>
      <c r="H312" s="178" t="inlineStr">
        <is>
          <t>0, 50, 83, 67, 67, 83, 100, 100, 100</t>
        </is>
      </c>
      <c r="I312" s="201">
        <f>IF(H312="","",LEN(H312)-LEN(SUBSTITUTE(H312,",",""))+1)</f>
        <v/>
      </c>
      <c r="J312" s="202" t="inlineStr">
        <is>
          <t>升高改善</t>
        </is>
      </c>
      <c r="K312" s="203" t="n">
        <v>0</v>
      </c>
      <c r="L312" s="203" t="n">
        <v>1</v>
      </c>
      <c r="M312" s="201">
        <f>IF(OR(K312="",L312=""),"",IF(AND(L312&lt;0.05,OR(AND(J312="升高改善",K312&gt;0),AND(J312="降低改善",K312&lt;0))),"校正","不校正"))</f>
        <v/>
      </c>
      <c r="N312" s="178" t="inlineStr">
        <is>
          <t>Figure 1，PDF 11 / 印刷页373，第1面板 Efe，实心方形 Probe</t>
        </is>
      </c>
    </row>
    <row r="313" ht="45" customHeight="1" s="176">
      <c r="A313" s="201" t="inlineStr">
        <is>
          <t>K482</t>
        </is>
      </c>
      <c r="B313" s="201" t="inlineStr">
        <is>
          <t>065-二次</t>
        </is>
      </c>
      <c r="C313" s="201" t="inlineStr">
        <is>
          <t>Efe</t>
        </is>
      </c>
      <c r="D313" s="202" t="inlineStr">
        <is>
          <t>维持</t>
        </is>
      </c>
      <c r="E313" s="178" t="inlineStr">
        <is>
          <t>Baseline vs Maintenance（4 周、6 周、7 个月）</t>
        </is>
      </c>
      <c r="F313" s="178" t="inlineStr">
        <is>
          <t>0, 0, 0</t>
        </is>
      </c>
      <c r="G313" s="201">
        <f>IF(F313="","",LEN(F313)-LEN(SUBSTITUTE(F313,",",""))+1)</f>
        <v/>
      </c>
      <c r="H313" s="178" t="inlineStr">
        <is>
          <t>100, 100, 100</t>
        </is>
      </c>
      <c r="I313" s="201">
        <f>IF(H313="","",LEN(H313)-LEN(SUBSTITUTE(H313,",",""))+1)</f>
        <v/>
      </c>
      <c r="J313" s="202" t="inlineStr">
        <is>
          <t>升高改善</t>
        </is>
      </c>
      <c r="K313" s="203" t="n">
        <v>0</v>
      </c>
      <c r="L313" s="203" t="n">
        <v>1</v>
      </c>
      <c r="M313" s="201">
        <f>IF(OR(K313="",L313=""),"",IF(AND(L313&lt;0.05,OR(AND(J313="升高改善",K313&gt;0),AND(J313="降低改善",K313&lt;0))),"校正","不校正"))</f>
        <v/>
      </c>
      <c r="N313" s="178" t="inlineStr">
        <is>
          <t>Figure 1，PDF 11 / 印刷页373，第1面板 Efe，实心方形 Probe</t>
        </is>
      </c>
    </row>
    <row r="314" ht="45" customHeight="1" s="176">
      <c r="A314" s="201" t="inlineStr">
        <is>
          <t>K483</t>
        </is>
      </c>
      <c r="B314" s="201" t="inlineStr">
        <is>
          <t>065-二次</t>
        </is>
      </c>
      <c r="C314" s="201" t="inlineStr">
        <is>
          <t>Uzay</t>
        </is>
      </c>
      <c r="D314" s="202" t="inlineStr">
        <is>
          <t>干预</t>
        </is>
      </c>
      <c r="E314" s="178" t="inlineStr">
        <is>
          <t>Baseline vs Intervention（每日探测）</t>
        </is>
      </c>
      <c r="F314" s="178" t="inlineStr">
        <is>
          <t>0, 0, 0, 0, 0</t>
        </is>
      </c>
      <c r="G314" s="201">
        <f>IF(F314="","",LEN(F314)-LEN(SUBSTITUTE(F314,",",""))+1)</f>
        <v/>
      </c>
      <c r="H314" s="178" t="inlineStr">
        <is>
          <t>0, 17, 33, 50, 100, 100, 100</t>
        </is>
      </c>
      <c r="I314" s="201">
        <f>IF(H314="","",LEN(H314)-LEN(SUBSTITUTE(H314,",",""))+1)</f>
        <v/>
      </c>
      <c r="J314" s="202" t="inlineStr">
        <is>
          <t>升高改善</t>
        </is>
      </c>
      <c r="K314" s="203" t="n">
        <v>0</v>
      </c>
      <c r="L314" s="203" t="n">
        <v>1</v>
      </c>
      <c r="M314" s="201">
        <f>IF(OR(K314="",L314=""),"",IF(AND(L314&lt;0.05,OR(AND(J314="升高改善",K314&gt;0),AND(J314="降低改善",K314&lt;0))),"校正","不校正"))</f>
        <v/>
      </c>
      <c r="N314" s="178" t="inlineStr">
        <is>
          <t>Figure 1，PDF 11 / 印刷页373，第2面板 Uzay，实心方形 Probe</t>
        </is>
      </c>
    </row>
    <row r="315" ht="45" customHeight="1" s="176">
      <c r="A315" s="201" t="inlineStr">
        <is>
          <t>K484</t>
        </is>
      </c>
      <c r="B315" s="201" t="inlineStr">
        <is>
          <t>065-二次</t>
        </is>
      </c>
      <c r="C315" s="201" t="inlineStr">
        <is>
          <t>Uzay</t>
        </is>
      </c>
      <c r="D315" s="202" t="inlineStr">
        <is>
          <t>维持</t>
        </is>
      </c>
      <c r="E315" s="178" t="inlineStr">
        <is>
          <t>Baseline vs Maintenance（4 周、6 周、7 个月）</t>
        </is>
      </c>
      <c r="F315" s="178" t="inlineStr">
        <is>
          <t>0, 0, 0, 0, 0</t>
        </is>
      </c>
      <c r="G315" s="201">
        <f>IF(F315="","",LEN(F315)-LEN(SUBSTITUTE(F315,",",""))+1)</f>
        <v/>
      </c>
      <c r="H315" s="178" t="inlineStr">
        <is>
          <t>100, 100, 100</t>
        </is>
      </c>
      <c r="I315" s="201">
        <f>IF(H315="","",LEN(H315)-LEN(SUBSTITUTE(H315,",",""))+1)</f>
        <v/>
      </c>
      <c r="J315" s="202" t="inlineStr">
        <is>
          <t>升高改善</t>
        </is>
      </c>
      <c r="K315" s="203" t="n">
        <v>0</v>
      </c>
      <c r="L315" s="203" t="n">
        <v>1</v>
      </c>
      <c r="M315" s="201">
        <f>IF(OR(K315="",L315=""),"",IF(AND(L315&lt;0.05,OR(AND(J315="升高改善",K315&gt;0),AND(J315="降低改善",K315&lt;0))),"校正","不校正"))</f>
        <v/>
      </c>
      <c r="N315" s="178" t="inlineStr">
        <is>
          <t>Figure 1，PDF 11 / 印刷页373，第2面板 Uzay，实心方形 Probe</t>
        </is>
      </c>
    </row>
    <row r="316" ht="45" customHeight="1" s="176">
      <c r="A316" s="201" t="inlineStr">
        <is>
          <t>K485</t>
        </is>
      </c>
      <c r="B316" s="201" t="inlineStr">
        <is>
          <t>065-二次</t>
        </is>
      </c>
      <c r="C316" s="201" t="inlineStr">
        <is>
          <t>Eren</t>
        </is>
      </c>
      <c r="D316" s="202" t="inlineStr">
        <is>
          <t>干预</t>
        </is>
      </c>
      <c r="E316" s="178" t="inlineStr">
        <is>
          <t>Baseline vs Intervention（每日探测）</t>
        </is>
      </c>
      <c r="F316" s="178" t="inlineStr">
        <is>
          <t>0, 0, 0, 0, 0, 0</t>
        </is>
      </c>
      <c r="G316" s="201">
        <f>IF(F316="","",LEN(F316)-LEN(SUBSTITUTE(F316,",",""))+1)</f>
        <v/>
      </c>
      <c r="H316" s="178" t="inlineStr">
        <is>
          <t>0, 0, 33, 50, 67, 83, 100, 100, 100</t>
        </is>
      </c>
      <c r="I316" s="201">
        <f>IF(H316="","",LEN(H316)-LEN(SUBSTITUTE(H316,",",""))+1)</f>
        <v/>
      </c>
      <c r="J316" s="202" t="inlineStr">
        <is>
          <t>升高改善</t>
        </is>
      </c>
      <c r="K316" s="203" t="n">
        <v>0</v>
      </c>
      <c r="L316" s="203" t="n">
        <v>1</v>
      </c>
      <c r="M316" s="201">
        <f>IF(OR(K316="",L316=""),"",IF(AND(L316&lt;0.05,OR(AND(J316="升高改善",K316&gt;0),AND(J316="降低改善",K316&lt;0))),"校正","不校正"))</f>
        <v/>
      </c>
      <c r="N316" s="178" t="inlineStr">
        <is>
          <t>Figure 1，PDF 11 / 印刷页373，第3面板 Eren，实心方形 Probe</t>
        </is>
      </c>
    </row>
    <row r="317" ht="45" customHeight="1" s="176">
      <c r="A317" s="201" t="inlineStr">
        <is>
          <t>K486</t>
        </is>
      </c>
      <c r="B317" s="201" t="inlineStr">
        <is>
          <t>065-二次</t>
        </is>
      </c>
      <c r="C317" s="201" t="inlineStr">
        <is>
          <t>Eren</t>
        </is>
      </c>
      <c r="D317" s="202" t="inlineStr">
        <is>
          <t>维持</t>
        </is>
      </c>
      <c r="E317" s="178" t="inlineStr">
        <is>
          <t>Baseline vs Maintenance（4 周、6 周、7 个月）</t>
        </is>
      </c>
      <c r="F317" s="178" t="inlineStr">
        <is>
          <t>0, 0, 0, 0, 0, 0</t>
        </is>
      </c>
      <c r="G317" s="201">
        <f>IF(F317="","",LEN(F317)-LEN(SUBSTITUTE(F317,",",""))+1)</f>
        <v/>
      </c>
      <c r="H317" s="178" t="inlineStr">
        <is>
          <t>100, 100, 83</t>
        </is>
      </c>
      <c r="I317" s="201">
        <f>IF(H317="","",LEN(H317)-LEN(SUBSTITUTE(H317,",",""))+1)</f>
        <v/>
      </c>
      <c r="J317" s="202" t="inlineStr">
        <is>
          <t>升高改善</t>
        </is>
      </c>
      <c r="K317" s="203" t="n">
        <v>0</v>
      </c>
      <c r="L317" s="203" t="n">
        <v>1</v>
      </c>
      <c r="M317" s="201">
        <f>IF(OR(K317="",L317=""),"",IF(AND(L317&lt;0.05,OR(AND(J317="升高改善",K317&gt;0),AND(J317="降低改善",K317&lt;0))),"校正","不校正"))</f>
        <v/>
      </c>
      <c r="N317" s="178" t="inlineStr">
        <is>
          <t>Figure 1，PDF 11 / 印刷页373，第3面板 Eren，实心方形 Probe</t>
        </is>
      </c>
    </row>
    <row r="318" ht="45" customHeight="1" s="176">
      <c r="A318" s="201" t="inlineStr">
        <is>
          <t>K487</t>
        </is>
      </c>
      <c r="B318" s="201" t="inlineStr">
        <is>
          <t>066-二次</t>
        </is>
      </c>
      <c r="C318" s="202" t="inlineStr">
        <is>
          <t>小A</t>
        </is>
      </c>
      <c r="D318" s="202" t="inlineStr">
        <is>
          <t>干预</t>
        </is>
      </c>
      <c r="E318" s="181" t="inlineStr">
        <is>
          <t>基线期 vs PECS 第一至第四阶段合并（每阶段都有对应视频）</t>
        </is>
      </c>
      <c r="F318" s="178" t="inlineStr">
        <is>
          <t>5, 5, 7, 7</t>
        </is>
      </c>
      <c r="G318" s="201">
        <f>IF(F318="","",LEN(F318)-LEN(SUBSTITUTE(F318,",",""))+1)</f>
        <v/>
      </c>
      <c r="H318" s="178" t="inlineStr">
        <is>
          <t>10, 12, 13, 15, 10, 15, 10, 18, 16, 16, 16, 19, 29, 51, 40, 45, 67, 44, 69, 76, 54, 65, 51</t>
        </is>
      </c>
      <c r="I318" s="201">
        <f>IF(H318="","",LEN(H318)-LEN(SUBSTITUTE(H318,",",""))+1)</f>
        <v/>
      </c>
      <c r="J318" s="202" t="inlineStr">
        <is>
          <t>升高改善</t>
        </is>
      </c>
      <c r="K318" s="203" t="n">
        <v>0.816496580927726</v>
      </c>
      <c r="L318" s="203" t="n">
        <v>0.121335250358482</v>
      </c>
      <c r="M318" s="201">
        <f>IF(OR(K318="",L318=""),"",IF(AND(L318&lt;0.05,OR(AND(J318="升高改善",K318&gt;0),AND(J318="降低改善",K318&lt;0))),"校正","不校正"))</f>
        <v/>
      </c>
      <c r="N318" s="181" t="inlineStr">
        <is>
          <t>图1；PDF第5页/印刷48页；小A面板；实心圆</t>
        </is>
      </c>
    </row>
    <row r="319" ht="45" customHeight="1" s="176">
      <c r="A319" s="201" t="inlineStr">
        <is>
          <t>K488</t>
        </is>
      </c>
      <c r="B319" s="201" t="inlineStr">
        <is>
          <t>066-二次</t>
        </is>
      </c>
      <c r="C319" s="202" t="inlineStr">
        <is>
          <t>小A</t>
        </is>
      </c>
      <c r="D319" s="202" t="inlineStr">
        <is>
          <t>维持</t>
        </is>
      </c>
      <c r="E319" s="181" t="inlineStr">
        <is>
          <t>基线期 vs 维持期（每周一次）</t>
        </is>
      </c>
      <c r="F319" s="178" t="inlineStr">
        <is>
          <t>5, 5, 7, 7</t>
        </is>
      </c>
      <c r="G319" s="201">
        <f>IF(F319="","",LEN(F319)-LEN(SUBSTITUTE(F319,",",""))+1)</f>
        <v/>
      </c>
      <c r="H319" s="178" t="inlineStr">
        <is>
          <t>38, 43, 44, 46, 56, 56</t>
        </is>
      </c>
      <c r="I319" s="201">
        <f>IF(H319="","",LEN(H319)-LEN(SUBSTITUTE(H319,",",""))+1)</f>
        <v/>
      </c>
      <c r="J319" s="202" t="inlineStr">
        <is>
          <t>升高改善</t>
        </is>
      </c>
      <c r="K319" s="203" t="n">
        <v>0.816496580927726</v>
      </c>
      <c r="L319" s="203" t="n">
        <v>0.121335250358482</v>
      </c>
      <c r="M319" s="201">
        <f>IF(OR(K319="",L319=""),"",IF(AND(L319&lt;0.05,OR(AND(J319="升高改善",K319&gt;0),AND(J319="降低改善",K319&lt;0))),"校正","不校正"))</f>
        <v/>
      </c>
      <c r="N319" s="181" t="inlineStr">
        <is>
          <t>图1；PDF第5页/印刷48页；小A面板；实心圆</t>
        </is>
      </c>
    </row>
    <row r="320" ht="45" customHeight="1" s="176">
      <c r="A320" s="201" t="inlineStr">
        <is>
          <t>K489</t>
        </is>
      </c>
      <c r="B320" s="201" t="inlineStr">
        <is>
          <t>066-二次</t>
        </is>
      </c>
      <c r="C320" s="202" t="inlineStr">
        <is>
          <t>小B</t>
        </is>
      </c>
      <c r="D320" s="202" t="inlineStr">
        <is>
          <t>干预</t>
        </is>
      </c>
      <c r="E320" s="181" t="inlineStr">
        <is>
          <t>基线期 vs PECS 第一至第四阶段合并（每阶段都有对应视频）</t>
        </is>
      </c>
      <c r="F320" s="178" t="inlineStr">
        <is>
          <t>3, 3, 3, 4, 3</t>
        </is>
      </c>
      <c r="G320" s="201">
        <f>IF(F320="","",LEN(F320)-LEN(SUBSTITUTE(F320,",",""))+1)</f>
        <v/>
      </c>
      <c r="H320" s="178" t="inlineStr">
        <is>
          <t>18, 24, 25, 21, 21, 23, 33, 55, 29, 30, 38, 48, 26, 47, 34, 32, 34, 30, 31, 31, 39, 40, 45</t>
        </is>
      </c>
      <c r="I320" s="201">
        <f>IF(H320="","",LEN(H320)-LEN(SUBSTITUTE(H320,",",""))+1)</f>
        <v/>
      </c>
      <c r="J320" s="202" t="inlineStr">
        <is>
          <t>升高改善</t>
        </is>
      </c>
      <c r="K320" s="203" t="n">
        <v>0.316227766016838</v>
      </c>
      <c r="L320" s="203" t="n">
        <v>0.479500122186953</v>
      </c>
      <c r="M320" s="201">
        <f>IF(OR(K320="",L320=""),"",IF(AND(L320&lt;0.05,OR(AND(J320="升高改善",K320&gt;0),AND(J320="降低改善",K320&lt;0))),"校正","不校正"))</f>
        <v/>
      </c>
      <c r="N320" s="181" t="inlineStr">
        <is>
          <t>图1；PDF第5页/印刷48页；小B面板；实心菱形</t>
        </is>
      </c>
    </row>
    <row r="321" ht="45" customHeight="1" s="176">
      <c r="A321" s="201" t="inlineStr">
        <is>
          <t>K490</t>
        </is>
      </c>
      <c r="B321" s="201" t="inlineStr">
        <is>
          <t>066-二次</t>
        </is>
      </c>
      <c r="C321" s="202" t="inlineStr">
        <is>
          <t>小B</t>
        </is>
      </c>
      <c r="D321" s="202" t="inlineStr">
        <is>
          <t>维持</t>
        </is>
      </c>
      <c r="E321" s="181" t="inlineStr">
        <is>
          <t>基线期 vs 维持期（每周一次）</t>
        </is>
      </c>
      <c r="F321" s="178" t="inlineStr">
        <is>
          <t>3, 3, 3, 4, 3</t>
        </is>
      </c>
      <c r="G321" s="201">
        <f>IF(F321="","",LEN(F321)-LEN(SUBSTITUTE(F321,",",""))+1)</f>
        <v/>
      </c>
      <c r="H321" s="178" t="inlineStr">
        <is>
          <t>41, 54, 43, 48</t>
        </is>
      </c>
      <c r="I321" s="201">
        <f>IF(H321="","",LEN(H321)-LEN(SUBSTITUTE(H321,",",""))+1)</f>
        <v/>
      </c>
      <c r="J321" s="202" t="inlineStr">
        <is>
          <t>升高改善</t>
        </is>
      </c>
      <c r="K321" s="203" t="n">
        <v>0.316227766016838</v>
      </c>
      <c r="L321" s="203" t="n">
        <v>0.479500122186953</v>
      </c>
      <c r="M321" s="201">
        <f>IF(OR(K321="",L321=""),"",IF(AND(L321&lt;0.05,OR(AND(J321="升高改善",K321&gt;0),AND(J321="降低改善",K321&lt;0))),"校正","不校正"))</f>
        <v/>
      </c>
      <c r="N321" s="181" t="inlineStr">
        <is>
          <t>图1；PDF第5页/印刷48页；小B面板；实心菱形</t>
        </is>
      </c>
    </row>
    <row r="322" ht="45" customHeight="1" s="176">
      <c r="A322" s="201" t="inlineStr">
        <is>
          <t>K491</t>
        </is>
      </c>
      <c r="B322" s="201" t="inlineStr">
        <is>
          <t>066-二次</t>
        </is>
      </c>
      <c r="C322" s="202" t="inlineStr">
        <is>
          <t>小C</t>
        </is>
      </c>
      <c r="D322" s="202" t="inlineStr">
        <is>
          <t>干预</t>
        </is>
      </c>
      <c r="E322" s="181" t="inlineStr">
        <is>
          <t>基线期 vs PECS 第一至第四阶段合并（每阶段都有对应视频）</t>
        </is>
      </c>
      <c r="F322" s="178" t="inlineStr">
        <is>
          <t>11, 10, 9, 13, 10, 10</t>
        </is>
      </c>
      <c r="G322" s="201">
        <f>IF(F322="","",LEN(F322)-LEN(SUBSTITUTE(F322,",",""))+1)</f>
        <v/>
      </c>
      <c r="H322" s="178" t="inlineStr">
        <is>
          <t>23, 19, 31, 32, 39, 30, 34, 45, 38, 54, 39, 61, 42, 49, 32, 32, 35, 44, 33, 33, 33, 28, 31, 20</t>
        </is>
      </c>
      <c r="I322" s="201">
        <f>IF(H322="","",LEN(H322)-LEN(SUBSTITUTE(H322,",",""))+1)</f>
        <v/>
      </c>
      <c r="J322" s="202" t="inlineStr">
        <is>
          <t>升高改善</t>
        </is>
      </c>
      <c r="K322" s="203" t="n">
        <v>-0.149071198499986</v>
      </c>
      <c r="L322" s="203" t="n">
        <v>0.687173618309648</v>
      </c>
      <c r="M322" s="201">
        <f>IF(OR(K322="",L322=""),"",IF(AND(L322&lt;0.05,OR(AND(J322="升高改善",K322&gt;0),AND(J322="降低改善",K322&lt;0))),"校正","不校正"))</f>
        <v/>
      </c>
      <c r="N322" s="181" t="inlineStr">
        <is>
          <t>图1；PDF第5页/印刷48页；小C面板；实心三角</t>
        </is>
      </c>
    </row>
    <row r="323" ht="45" customHeight="1" s="176">
      <c r="A323" s="201" t="inlineStr">
        <is>
          <t>K492</t>
        </is>
      </c>
      <c r="B323" s="201" t="inlineStr">
        <is>
          <t>066-二次</t>
        </is>
      </c>
      <c r="C323" s="202" t="inlineStr">
        <is>
          <t>小C</t>
        </is>
      </c>
      <c r="D323" s="202" t="inlineStr">
        <is>
          <t>维持</t>
        </is>
      </c>
      <c r="E323" s="181" t="inlineStr">
        <is>
          <t>基线期 vs 维持期（每周一次）</t>
        </is>
      </c>
      <c r="F323" s="178" t="inlineStr">
        <is>
          <t>11, 10, 9, 13, 10, 10</t>
        </is>
      </c>
      <c r="G323" s="201">
        <f>IF(F323="","",LEN(F323)-LEN(SUBSTITUTE(F323,",",""))+1)</f>
        <v/>
      </c>
      <c r="H323" s="178" t="inlineStr">
        <is>
          <t>44, 56, 54</t>
        </is>
      </c>
      <c r="I323" s="201">
        <f>IF(H323="","",LEN(H323)-LEN(SUBSTITUTE(H323,",",""))+1)</f>
        <v/>
      </c>
      <c r="J323" s="202" t="inlineStr">
        <is>
          <t>升高改善</t>
        </is>
      </c>
      <c r="K323" s="203" t="n">
        <v>-0.149071198499986</v>
      </c>
      <c r="L323" s="203" t="n">
        <v>0.687173618309648</v>
      </c>
      <c r="M323" s="201">
        <f>IF(OR(K323="",L323=""),"",IF(AND(L323&lt;0.05,OR(AND(J323="升高改善",K323&gt;0),AND(J323="降低改善",K323&lt;0))),"校正","不校正"))</f>
        <v/>
      </c>
      <c r="N323" s="181" t="inlineStr">
        <is>
          <t>图1；PDF第5页/印刷48页；小C面板；实心三角</t>
        </is>
      </c>
    </row>
    <row r="324" ht="45" customHeight="1" s="176">
      <c r="A324" s="201" t="inlineStr">
        <is>
          <t>K499</t>
        </is>
      </c>
      <c r="B324" s="201" t="inlineStr">
        <is>
          <t>069-滚雪球</t>
        </is>
      </c>
      <c r="C324" s="201" t="inlineStr">
        <is>
          <t>Delia</t>
        </is>
      </c>
      <c r="D324" s="202" t="inlineStr">
        <is>
          <t>干预</t>
        </is>
      </c>
      <c r="E324" s="181" t="inlineStr">
        <is>
          <t>该情境自然课堂基线 vs 该情境电脑训练开始后的自然课堂</t>
        </is>
      </c>
      <c r="F324" s="178" t="inlineStr">
        <is>
          <t>0, 1, 1, 0</t>
        </is>
      </c>
      <c r="G324" s="201">
        <f>IF(F324="","",LEN(F324)-LEN(SUBSTITUTE(F324,",",""))+1)</f>
        <v/>
      </c>
      <c r="H324" s="178" t="inlineStr">
        <is>
          <t>0, 2, 4, 5, 7, 4, 4, 4, 5, 7, 7, 6, 6, 8, 4, 4, 5, 7</t>
        </is>
      </c>
      <c r="I324" s="201">
        <f>IF(H324="","",LEN(H324)-LEN(SUBSTITUTE(H324,",",""))+1)</f>
        <v/>
      </c>
      <c r="J324" s="202" t="inlineStr">
        <is>
          <t>升高改善</t>
        </is>
      </c>
      <c r="K324" s="203" t="n">
        <v>0</v>
      </c>
      <c r="L324" s="203" t="n">
        <v>1</v>
      </c>
      <c r="M324" s="201">
        <f>IF(OR(K324="",L324=""),"",IF(AND(L324&lt;0.05,OR(AND(J324="升高改善",K324&gt;0),AND(J324="降低改善",K324&lt;0))),"校正","不校正"))</f>
        <v/>
      </c>
      <c r="N324" s="181" t="inlineStr">
        <is>
          <t>Figure 7；PDF第14页/印刷108页；游戏Play面板；实心菱形</t>
        </is>
      </c>
    </row>
    <row r="325" ht="45" customHeight="1" s="176">
      <c r="A325" s="201" t="inlineStr">
        <is>
          <t>K500</t>
        </is>
      </c>
      <c r="B325" s="201" t="inlineStr">
        <is>
          <t>069-滚雪球</t>
        </is>
      </c>
      <c r="C325" s="201" t="inlineStr">
        <is>
          <t>Delia</t>
        </is>
      </c>
      <c r="D325" s="202" t="inlineStr">
        <is>
          <t>干预</t>
        </is>
      </c>
      <c r="E325" s="181" t="inlineStr">
        <is>
          <t>该情境自然课堂基线 vs 该情境电脑训练开始后的自然课堂</t>
        </is>
      </c>
      <c r="F325" s="178" t="inlineStr">
        <is>
          <t>0, 1, 0, 1, 1, 1, 1, 1, 1, 3</t>
        </is>
      </c>
      <c r="G325" s="201">
        <f>IF(F325="","",LEN(F325)-LEN(SUBSTITUTE(F325,",",""))+1)</f>
        <v/>
      </c>
      <c r="H325" s="178" t="inlineStr">
        <is>
          <t>2, 1, 2, 0, 0, 0, 2, 4, 7, 5, 5, 5</t>
        </is>
      </c>
      <c r="I325" s="201">
        <f>IF(H325="","",LEN(H325)-LEN(SUBSTITUTE(H325,",",""))+1)</f>
        <v/>
      </c>
      <c r="J325" s="202" t="inlineStr">
        <is>
          <t>升高改善</t>
        </is>
      </c>
      <c r="K325" s="203" t="n">
        <v>0.65275336576822</v>
      </c>
      <c r="L325" s="203" t="n">
        <v>0.0186337494629338</v>
      </c>
      <c r="M325" s="201">
        <f>IF(OR(K325="",L325=""),"",IF(AND(L325&lt;0.05,OR(AND(J325="升高改善",K325&gt;0),AND(J325="降低改善",K325&lt;0))),"校正","不校正"))</f>
        <v/>
      </c>
      <c r="N325" s="181" t="inlineStr">
        <is>
          <t>Figure 7；PDF第14页/印刷108页；进食Food面板；实心菱形</t>
        </is>
      </c>
    </row>
    <row r="326" ht="45" customHeight="1" s="176">
      <c r="A326" s="201" t="inlineStr">
        <is>
          <t>K501</t>
        </is>
      </c>
      <c r="B326" s="201" t="inlineStr">
        <is>
          <t>069-滚雪球</t>
        </is>
      </c>
      <c r="C326" s="201" t="inlineStr">
        <is>
          <t>Delia</t>
        </is>
      </c>
      <c r="D326" s="202" t="inlineStr">
        <is>
          <t>干预</t>
        </is>
      </c>
      <c r="E326" s="181" t="inlineStr">
        <is>
          <t>该情境自然课堂基线 vs 该情境电脑训练开始后的自然课堂</t>
        </is>
      </c>
      <c r="F326" s="178" t="inlineStr">
        <is>
          <t>1, 0, 0, 0, 1, 0, 0, 0, 1, 0, 1, 0, 1, 0, 0, 1</t>
        </is>
      </c>
      <c r="G326" s="201">
        <f>IF(F326="","",LEN(F326)-LEN(SUBSTITUTE(F326,",",""))+1)</f>
        <v/>
      </c>
      <c r="H326" s="178" t="inlineStr">
        <is>
          <t>1, 2, 2, 2, 1, 2</t>
        </is>
      </c>
      <c r="I326" s="201">
        <f>IF(H326="","",LEN(H326)-LEN(SUBSTITUTE(H326,",",""))+1)</f>
        <v/>
      </c>
      <c r="J326" s="202" t="inlineStr">
        <is>
          <t>升高改善</t>
        </is>
      </c>
      <c r="K326" s="203" t="n">
        <v>0.09428090415820629</v>
      </c>
      <c r="L326" s="203" t="n">
        <v>0.664389443171999</v>
      </c>
      <c r="M326" s="201">
        <f>IF(OR(K326="",L326=""),"",IF(AND(L326&lt;0.05,OR(AND(J326="升高改善",K326&gt;0),AND(J326="降低改善",K326&lt;0))),"校正","不校正"))</f>
        <v/>
      </c>
      <c r="N326" s="181" t="inlineStr">
        <is>
          <t>Figure 7；PDF第14页/印刷108页；卫生Hygiene面板；实心菱形</t>
        </is>
      </c>
    </row>
    <row r="327" ht="45" customHeight="1" s="176">
      <c r="A327" s="201" t="inlineStr">
        <is>
          <t>K502</t>
        </is>
      </c>
      <c r="B327" s="201" t="inlineStr">
        <is>
          <t>069-滚雪球</t>
        </is>
      </c>
      <c r="C327" s="201" t="inlineStr">
        <is>
          <t>Tom</t>
        </is>
      </c>
      <c r="D327" s="202" t="inlineStr">
        <is>
          <t>干预</t>
        </is>
      </c>
      <c r="E327" s="181" t="inlineStr">
        <is>
          <t>该情境自然课堂基线 vs 该情境电脑训练开始后的自然课堂</t>
        </is>
      </c>
      <c r="F327" s="178" t="inlineStr">
        <is>
          <t>4, 2, 3, 3</t>
        </is>
      </c>
      <c r="G327" s="201">
        <f>IF(F327="","",LEN(F327)-LEN(SUBSTITUTE(F327,",",""))+1)</f>
        <v/>
      </c>
      <c r="H327" s="178" t="inlineStr">
        <is>
          <t>4, 5, 6, 8, 9, 9, 7, 10, 11, 12, 7, 7, 6, 7, 7, 5, 8, 9</t>
        </is>
      </c>
      <c r="I327" s="201">
        <f>IF(H327="","",LEN(H327)-LEN(SUBSTITUTE(H327,",",""))+1)</f>
        <v/>
      </c>
      <c r="J327" s="202" t="inlineStr">
        <is>
          <t>升高改善</t>
        </is>
      </c>
      <c r="K327" s="203" t="n">
        <v>-0.182574185835055</v>
      </c>
      <c r="L327" s="203" t="n">
        <v>0.7179816667337769</v>
      </c>
      <c r="M327" s="201">
        <f>IF(OR(K327="",L327=""),"",IF(AND(L327&lt;0.05,OR(AND(J327="升高改善",K327&gt;0),AND(J327="降低改善",K327&lt;0))),"校正","不校正"))</f>
        <v/>
      </c>
      <c r="N327" s="181" t="inlineStr">
        <is>
          <t>Figure 8；PDF第15页/印刷109页；游戏Play面板；实心菱形</t>
        </is>
      </c>
    </row>
    <row r="328" ht="45" customHeight="1" s="176">
      <c r="A328" s="201" t="inlineStr">
        <is>
          <t>K503</t>
        </is>
      </c>
      <c r="B328" s="201" t="inlineStr">
        <is>
          <t>069-滚雪球</t>
        </is>
      </c>
      <c r="C328" s="201" t="inlineStr">
        <is>
          <t>Tom</t>
        </is>
      </c>
      <c r="D328" s="202" t="inlineStr">
        <is>
          <t>干预</t>
        </is>
      </c>
      <c r="E328" s="181" t="inlineStr">
        <is>
          <t>该情境自然课堂基线 vs 该情境电脑训练开始后的自然课堂</t>
        </is>
      </c>
      <c r="F328" s="178" t="inlineStr">
        <is>
          <t>4, 2, 3, 3, 3, 4, 4, 5, 4, 5</t>
        </is>
      </c>
      <c r="G328" s="201">
        <f>IF(F328="","",LEN(F328)-LEN(SUBSTITUTE(F328,",",""))+1)</f>
        <v/>
      </c>
      <c r="H328" s="178" t="inlineStr">
        <is>
          <t>8, 1, 7, 6, 7, 9, 6, 6, 5, 4, 8, 9</t>
        </is>
      </c>
      <c r="I328" s="201">
        <f>IF(H328="","",LEN(H328)-LEN(SUBSTITUTE(H328,",",""))+1)</f>
        <v/>
      </c>
      <c r="J328" s="202" t="inlineStr">
        <is>
          <t>升高改善</t>
        </is>
      </c>
      <c r="K328" s="203" t="n">
        <v>0.629940788348712</v>
      </c>
      <c r="L328" s="203" t="n">
        <v>0.0179911062383214</v>
      </c>
      <c r="M328" s="201">
        <f>IF(OR(K328="",L328=""),"",IF(AND(L328&lt;0.05,OR(AND(J328="升高改善",K328&gt;0),AND(J328="降低改善",K328&lt;0))),"校正","不校正"))</f>
        <v/>
      </c>
      <c r="N328" s="181" t="inlineStr">
        <is>
          <t>Figure 8；PDF第15页/印刷109页；进食Food面板；实心菱形</t>
        </is>
      </c>
    </row>
    <row r="329" ht="45" customHeight="1" s="176">
      <c r="A329" s="201" t="inlineStr">
        <is>
          <t>K504</t>
        </is>
      </c>
      <c r="B329" s="201" t="inlineStr">
        <is>
          <t>069-滚雪球</t>
        </is>
      </c>
      <c r="C329" s="201" t="inlineStr">
        <is>
          <t>Tom</t>
        </is>
      </c>
      <c r="D329" s="202" t="inlineStr">
        <is>
          <t>干预</t>
        </is>
      </c>
      <c r="E329" s="181" t="inlineStr">
        <is>
          <t>该情境自然课堂基线 vs 该情境电脑训练开始后的自然课堂</t>
        </is>
      </c>
      <c r="F329" s="178" t="inlineStr">
        <is>
          <t>0, 0, 0, 0, 0, 0, 0, 0, 0, 0, 1, 0, 0, 1, 0, 0</t>
        </is>
      </c>
      <c r="G329" s="201">
        <f>IF(F329="","",LEN(F329)-LEN(SUBSTITUTE(F329,",",""))+1)</f>
        <v/>
      </c>
      <c r="H329" s="178" t="inlineStr">
        <is>
          <t>0, 0, 1, 2, 2, 2</t>
        </is>
      </c>
      <c r="I329" s="201">
        <f>IF(H329="","",LEN(H329)-LEN(SUBSTITUTE(H329,",",""))+1)</f>
        <v/>
      </c>
      <c r="J329" s="202" t="inlineStr">
        <is>
          <t>升高改善</t>
        </is>
      </c>
      <c r="K329" s="203" t="n">
        <v>0.276026223736942</v>
      </c>
      <c r="L329" s="203" t="n">
        <v>0.204008163620672</v>
      </c>
      <c r="M329" s="201">
        <f>IF(OR(K329="",L329=""),"",IF(AND(L329&lt;0.05,OR(AND(J329="升高改善",K329&gt;0),AND(J329="降低改善",K329&lt;0))),"校正","不校正"))</f>
        <v/>
      </c>
      <c r="N329" s="181" t="inlineStr">
        <is>
          <t>Figure 8；PDF第15页/印刷109页；卫生Hygiene面板；实心菱形</t>
        </is>
      </c>
    </row>
    <row r="330" ht="45" customHeight="1" s="176">
      <c r="A330" s="201" t="inlineStr">
        <is>
          <t>K505</t>
        </is>
      </c>
      <c r="B330" s="201" t="inlineStr">
        <is>
          <t>069-滚雪球</t>
        </is>
      </c>
      <c r="C330" s="201" t="inlineStr">
        <is>
          <t>Sid</t>
        </is>
      </c>
      <c r="D330" s="202" t="inlineStr">
        <is>
          <t>干预</t>
        </is>
      </c>
      <c r="E330" s="181" t="inlineStr">
        <is>
          <t>该情境自然课堂基线 vs 该情境电脑训练开始后的自然课堂</t>
        </is>
      </c>
      <c r="F330" s="178" t="inlineStr">
        <is>
          <t>0, 1, 1, 1</t>
        </is>
      </c>
      <c r="G330" s="201">
        <f>IF(F330="","",LEN(F330)-LEN(SUBSTITUTE(F330,",",""))+1)</f>
        <v/>
      </c>
      <c r="H330" s="178" t="inlineStr">
        <is>
          <t>1, 2, 1, 2, 1, 0, 0, 1, 3, 1, 2, 5, 2, 5, 4, 3, 3, 3</t>
        </is>
      </c>
      <c r="I330" s="201">
        <f>IF(H330="","",LEN(H330)-LEN(SUBSTITUTE(H330,",",""))+1)</f>
        <v/>
      </c>
      <c r="J330" s="202" t="inlineStr">
        <is>
          <t>升高改善</t>
        </is>
      </c>
      <c r="K330" s="203" t="n">
        <v>0.707106781186548</v>
      </c>
      <c r="L330" s="203" t="n">
        <v>0.179712494879</v>
      </c>
      <c r="M330" s="201">
        <f>IF(OR(K330="",L330=""),"",IF(AND(L330&lt;0.05,OR(AND(J330="升高改善",K330&gt;0),AND(J330="降低改善",K330&lt;0))),"校正","不校正"))</f>
        <v/>
      </c>
      <c r="N330" s="181" t="inlineStr">
        <is>
          <t>Figure 9；PDF第16页/印刷110页；游戏Play面板；实心菱形</t>
        </is>
      </c>
    </row>
    <row r="331" ht="45" customHeight="1" s="176">
      <c r="A331" s="201" t="inlineStr">
        <is>
          <t>K506</t>
        </is>
      </c>
      <c r="B331" s="201" t="inlineStr">
        <is>
          <t>069-滚雪球</t>
        </is>
      </c>
      <c r="C331" s="201" t="inlineStr">
        <is>
          <t>Sid</t>
        </is>
      </c>
      <c r="D331" s="202" t="inlineStr">
        <is>
          <t>干预</t>
        </is>
      </c>
      <c r="E331" s="181" t="inlineStr">
        <is>
          <t>该情境自然课堂基线 vs 该情境电脑训练开始后的自然课堂</t>
        </is>
      </c>
      <c r="F331" s="178" t="inlineStr">
        <is>
          <t>0, 0, 0, 0, 1, 0, 0, 1, 0, 0</t>
        </is>
      </c>
      <c r="G331" s="201">
        <f>IF(F331="","",LEN(F331)-LEN(SUBSTITUTE(F331,",",""))+1)</f>
        <v/>
      </c>
      <c r="H331" s="178" t="inlineStr">
        <is>
          <t>0, 0, 0, 0, 0, 0, 0, 0, 0, 0, 1, 2</t>
        </is>
      </c>
      <c r="I331" s="201">
        <f>IF(H331="","",LEN(H331)-LEN(SUBSTITUTE(H331,",",""))+1)</f>
        <v/>
      </c>
      <c r="J331" s="202" t="inlineStr">
        <is>
          <t>升高改善</t>
        </is>
      </c>
      <c r="K331" s="203" t="n">
        <v>0.149071198499986</v>
      </c>
      <c r="L331" s="203" t="n">
        <v>0.60150813444059</v>
      </c>
      <c r="M331" s="201">
        <f>IF(OR(K331="",L331=""),"",IF(AND(L331&lt;0.05,OR(AND(J331="升高改善",K331&gt;0),AND(J331="降低改善",K331&lt;0))),"校正","不校正"))</f>
        <v/>
      </c>
      <c r="N331" s="181" t="inlineStr">
        <is>
          <t>Figure 9；PDF第16页/印刷110页；进食Food面板；实心菱形</t>
        </is>
      </c>
    </row>
    <row r="332" ht="45" customHeight="1" s="176">
      <c r="A332" s="201" t="inlineStr">
        <is>
          <t>K507</t>
        </is>
      </c>
      <c r="B332" s="201" t="inlineStr">
        <is>
          <t>069-滚雪球</t>
        </is>
      </c>
      <c r="C332" s="201" t="inlineStr">
        <is>
          <t>Sid</t>
        </is>
      </c>
      <c r="D332" s="202" t="inlineStr">
        <is>
          <t>干预</t>
        </is>
      </c>
      <c r="E332" s="181" t="inlineStr">
        <is>
          <t>该情境自然课堂基线 vs 该情境电脑训练开始后的自然课堂</t>
        </is>
      </c>
      <c r="F332" s="178" t="inlineStr">
        <is>
          <t>1, 1, 1, 0, 0, 1, 0, 1, 1, 2, 3, 4, 1, 1, 0, 0</t>
        </is>
      </c>
      <c r="G332" s="201">
        <f>IF(F332="","",LEN(F332)-LEN(SUBSTITUTE(F332,",",""))+1)</f>
        <v/>
      </c>
      <c r="H332" s="178" t="inlineStr">
        <is>
          <t>0, 0, 1, 2, 1, 2</t>
        </is>
      </c>
      <c r="I332" s="201">
        <f>IF(H332="","",LEN(H332)-LEN(SUBSTITUTE(H332,",",""))+1)</f>
        <v/>
      </c>
      <c r="J332" s="202" t="inlineStr">
        <is>
          <t>升高改善</t>
        </is>
      </c>
      <c r="K332" s="203" t="n">
        <v>0.0604858378909134</v>
      </c>
      <c r="L332" s="203" t="n">
        <v>0.7673536244633929</v>
      </c>
      <c r="M332" s="201">
        <f>IF(OR(K332="",L332=""),"",IF(AND(L332&lt;0.05,OR(AND(J332="升高改善",K332&gt;0),AND(J332="降低改善",K332&lt;0))),"校正","不校正"))</f>
        <v/>
      </c>
      <c r="N332" s="181" t="inlineStr">
        <is>
          <t>Figure 9；PDF第16页/印刷110页；卫生Hygiene面板；实心菱形</t>
        </is>
      </c>
    </row>
    <row r="333" ht="45" customHeight="1" s="176">
      <c r="A333" s="201" t="inlineStr">
        <is>
          <t>K508</t>
        </is>
      </c>
      <c r="B333" s="201" t="inlineStr">
        <is>
          <t>080-二次</t>
        </is>
      </c>
      <c r="C333" s="201" t="inlineStr">
        <is>
          <t>Samuel</t>
        </is>
      </c>
      <c r="D333" s="202" t="inlineStr">
        <is>
          <t>干预</t>
        </is>
      </c>
      <c r="E333" s="181" t="inlineStr">
        <is>
          <t>两段基线合并 vs Intervention</t>
        </is>
      </c>
      <c r="F333" s="178" t="inlineStr">
        <is>
          <t>0, 0, 0, 0, 0, 0, 0, 0, 0</t>
        </is>
      </c>
      <c r="G333" s="201">
        <f>IF(F333="","",LEN(F333)-LEN(SUBSTITUTE(F333,",",""))+1)</f>
        <v/>
      </c>
      <c r="H333" s="178" t="inlineStr">
        <is>
          <t>0, 0, 0, 0, 0, 1, 0, 0, 0, 1</t>
        </is>
      </c>
      <c r="I333" s="201">
        <f>IF(H333="","",LEN(H333)-LEN(SUBSTITUTE(H333,",",""))+1)</f>
        <v/>
      </c>
      <c r="J333" s="202" t="inlineStr">
        <is>
          <t>升高改善</t>
        </is>
      </c>
      <c r="K333" s="203" t="n">
        <v>0</v>
      </c>
      <c r="L333" s="203" t="n">
        <v>1</v>
      </c>
      <c r="M333" s="201">
        <f>IF(OR(K333="",L333=""),"",IF(AND(L333&lt;0.05,OR(AND(J333="升高改善",K333&gt;0),AND(J333="降低改善",K333&lt;0))),"校正","不校正"))</f>
        <v/>
      </c>
      <c r="N333" s="181" t="inlineStr">
        <is>
          <t>Figure 1，PDF 8 / 印刷页69，自上而下第1面板 Samuel，实心圆单曲线</t>
        </is>
      </c>
    </row>
    <row r="334" ht="45" customHeight="1" s="176">
      <c r="A334" s="201" t="inlineStr">
        <is>
          <t>K509</t>
        </is>
      </c>
      <c r="B334" s="201" t="inlineStr">
        <is>
          <t>080-二次</t>
        </is>
      </c>
      <c r="C334" s="201" t="inlineStr">
        <is>
          <t>Samuel</t>
        </is>
      </c>
      <c r="D334" s="202" t="inlineStr">
        <is>
          <t>维持</t>
        </is>
      </c>
      <c r="E334" s="181" t="inlineStr">
        <is>
          <t>两段基线合并 vs Follow Up（图标 Generalization）</t>
        </is>
      </c>
      <c r="F334" s="178" t="inlineStr">
        <is>
          <t>0, 0, 0, 0, 0, 0, 0, 0, 0</t>
        </is>
      </c>
      <c r="G334" s="201">
        <f>IF(F334="","",LEN(F334)-LEN(SUBSTITUTE(F334,",",""))+1)</f>
        <v/>
      </c>
      <c r="H334" s="178" t="inlineStr">
        <is>
          <t>0, 1, 1, 0, 0, 1, 0, 0, 0</t>
        </is>
      </c>
      <c r="I334" s="201">
        <f>IF(H334="","",LEN(H334)-LEN(SUBSTITUTE(H334,",",""))+1)</f>
        <v/>
      </c>
      <c r="J334" s="202" t="inlineStr">
        <is>
          <t>升高改善</t>
        </is>
      </c>
      <c r="K334" s="203" t="n">
        <v>0</v>
      </c>
      <c r="L334" s="203" t="n">
        <v>1</v>
      </c>
      <c r="M334" s="201">
        <f>IF(OR(K334="",L334=""),"",IF(AND(L334&lt;0.05,OR(AND(J334="升高改善",K334&gt;0),AND(J334="降低改善",K334&lt;0))),"校正","不校正"))</f>
        <v/>
      </c>
      <c r="N334" s="181" t="inlineStr">
        <is>
          <t>Figure 1，PDF 8 / 印刷页69，自上而下第1面板 Samuel，实心圆单曲线</t>
        </is>
      </c>
    </row>
    <row r="335" ht="45" customHeight="1" s="176">
      <c r="A335" s="201" t="inlineStr">
        <is>
          <t>K510</t>
        </is>
      </c>
      <c r="B335" s="201" t="inlineStr">
        <is>
          <t>080-二次</t>
        </is>
      </c>
      <c r="C335" s="201" t="inlineStr">
        <is>
          <t>Katarina</t>
        </is>
      </c>
      <c r="D335" s="202" t="inlineStr">
        <is>
          <t>干预</t>
        </is>
      </c>
      <c r="E335" s="181" t="inlineStr">
        <is>
          <t>两段基线合并 vs Intervention</t>
        </is>
      </c>
      <c r="F335" s="178" t="inlineStr">
        <is>
          <t>0, 1, 0, 0, 0, 0, 0, 0, 0, 0, 0, 0, 0, 0, 0</t>
        </is>
      </c>
      <c r="G335" s="201">
        <f>IF(F335="","",LEN(F335)-LEN(SUBSTITUTE(F335,",",""))+1)</f>
        <v/>
      </c>
      <c r="H335" s="178" t="inlineStr">
        <is>
          <t>0, 1, 0, 0, 0, 0, 0, 0, 0, 0, 0</t>
        </is>
      </c>
      <c r="I335" s="201">
        <f>IF(H335="","",LEN(H335)-LEN(SUBSTITUTE(H335,",",""))+1)</f>
        <v/>
      </c>
      <c r="J335" s="202" t="inlineStr">
        <is>
          <t>升高改善</t>
        </is>
      </c>
      <c r="K335" s="203" t="n">
        <v>-0.312984318574381</v>
      </c>
      <c r="L335" s="203" t="n">
        <v>0.164914822553301</v>
      </c>
      <c r="M335" s="201">
        <f>IF(OR(K335="",L335=""),"",IF(AND(L335&lt;0.05,OR(AND(J335="升高改善",K335&gt;0),AND(J335="降低改善",K335&lt;0))),"校正","不校正"))</f>
        <v/>
      </c>
      <c r="N335" s="181" t="inlineStr">
        <is>
          <t>Figure 1，PDF 8 / 印刷页69，自上而下第2面板 Katarina，实心圆单曲线</t>
        </is>
      </c>
    </row>
    <row r="336" ht="45" customHeight="1" s="176">
      <c r="A336" s="201" t="inlineStr">
        <is>
          <t>K511</t>
        </is>
      </c>
      <c r="B336" s="201" t="inlineStr">
        <is>
          <t>080-二次</t>
        </is>
      </c>
      <c r="C336" s="201" t="inlineStr">
        <is>
          <t>Katarina</t>
        </is>
      </c>
      <c r="D336" s="202" t="inlineStr">
        <is>
          <t>维持</t>
        </is>
      </c>
      <c r="E336" s="181" t="inlineStr">
        <is>
          <t>两段基线合并 vs Follow Up（图标 Generalization）</t>
        </is>
      </c>
      <c r="F336" s="178" t="inlineStr">
        <is>
          <t>0, 1, 0, 0, 0, 0, 0, 0, 0, 0, 0, 0, 0, 0, 0</t>
        </is>
      </c>
      <c r="G336" s="201">
        <f>IF(F336="","",LEN(F336)-LEN(SUBSTITUTE(F336,",",""))+1)</f>
        <v/>
      </c>
      <c r="H336" s="178" t="inlineStr">
        <is>
          <t>0, 0, 0, 0, 0</t>
        </is>
      </c>
      <c r="I336" s="201">
        <f>IF(H336="","",LEN(H336)-LEN(SUBSTITUTE(H336,",",""))+1)</f>
        <v/>
      </c>
      <c r="J336" s="202" t="inlineStr">
        <is>
          <t>升高改善</t>
        </is>
      </c>
      <c r="K336" s="203" t="n">
        <v>-0.312984318574381</v>
      </c>
      <c r="L336" s="203" t="n">
        <v>0.164914822553301</v>
      </c>
      <c r="M336" s="201">
        <f>IF(OR(K336="",L336=""),"",IF(AND(L336&lt;0.05,OR(AND(J336="升高改善",K336&gt;0),AND(J336="降低改善",K336&lt;0))),"校正","不校正"))</f>
        <v/>
      </c>
      <c r="N336" s="181" t="inlineStr">
        <is>
          <t>Figure 1，PDF 8 / 印刷页69，自上而下第2面板 Katarina，实心圆单曲线</t>
        </is>
      </c>
    </row>
    <row r="337" ht="45" customHeight="1" s="176">
      <c r="A337" s="201" t="inlineStr">
        <is>
          <t>K512</t>
        </is>
      </c>
      <c r="B337" s="201" t="inlineStr">
        <is>
          <t>102-滚雪球</t>
        </is>
      </c>
      <c r="C337" s="201" t="inlineStr">
        <is>
          <t>Isaiah</t>
        </is>
      </c>
      <c r="D337" s="202" t="inlineStr">
        <is>
          <t>干预</t>
        </is>
      </c>
      <c r="E337" s="178" t="inlineStr">
        <is>
          <t>Baseline vs 电脑嵌入视频教学期</t>
        </is>
      </c>
      <c r="F337" s="178" t="inlineStr">
        <is>
          <t>4, 4, 4</t>
        </is>
      </c>
      <c r="G337" s="201">
        <f>IF(F337="","",LEN(F337)-LEN(SUBSTITUTE(F337,",",""))+1)</f>
        <v/>
      </c>
      <c r="H337" s="178" t="inlineStr">
        <is>
          <t>7, 4, 7, 10, 10, 12, 12, 12, 12, 12, 12, 12, 12, 12, 12, 12, 12, 12, 12</t>
        </is>
      </c>
      <c r="I337" s="201">
        <f>IF(H337="","",LEN(H337)-LEN(SUBSTITUTE(H337,",",""))+1)</f>
        <v/>
      </c>
      <c r="J337" s="202" t="inlineStr">
        <is>
          <t>升高改善</t>
        </is>
      </c>
      <c r="K337" s="203" t="n">
        <v>0</v>
      </c>
      <c r="L337" s="203" t="n">
        <v>1</v>
      </c>
      <c r="M337" s="201">
        <f>IF(OR(K337="",L337=""),"",IF(AND(L337&lt;0.05,OR(AND(J337="升高改善",K337&gt;0),AND(J337="降低改善",K337&lt;0))),"校正","不校正"))</f>
        <v/>
      </c>
      <c r="N337" s="178" t="inlineStr">
        <is>
          <t>Figure 3；PDF第9页/印刷248页；Isaiah面板；正三角 Sharing</t>
        </is>
      </c>
    </row>
    <row r="338" ht="45" customHeight="1" s="176">
      <c r="A338" s="201" t="inlineStr">
        <is>
          <t>K513</t>
        </is>
      </c>
      <c r="B338" s="201" t="inlineStr">
        <is>
          <t>102-滚雪球</t>
        </is>
      </c>
      <c r="C338" s="201" t="inlineStr">
        <is>
          <t>Isaiah</t>
        </is>
      </c>
      <c r="D338" s="202" t="inlineStr">
        <is>
          <t>干预</t>
        </is>
      </c>
      <c r="E338" s="178" t="inlineStr">
        <is>
          <t>Baseline vs 电脑嵌入视频教学期</t>
        </is>
      </c>
      <c r="F338" s="178" t="inlineStr">
        <is>
          <t>1, 1, 1</t>
        </is>
      </c>
      <c r="G338" s="201">
        <f>IF(F338="","",LEN(F338)-LEN(SUBSTITUTE(F338,",",""))+1)</f>
        <v/>
      </c>
      <c r="H338" s="178" t="inlineStr">
        <is>
          <t>3, 2, 5, 5, 2, 2, 6, 6, 5, 4, 5, 7, 8, 8, 9, 10, 9, 9, 11</t>
        </is>
      </c>
      <c r="I338" s="201">
        <f>IF(H338="","",LEN(H338)-LEN(SUBSTITUTE(H338,",",""))+1)</f>
        <v/>
      </c>
      <c r="J338" s="202" t="inlineStr">
        <is>
          <t>升高改善</t>
        </is>
      </c>
      <c r="K338" s="203" t="n">
        <v>0</v>
      </c>
      <c r="L338" s="203" t="n">
        <v>1</v>
      </c>
      <c r="M338" s="201">
        <f>IF(OR(K338="",L338=""),"",IF(AND(L338&lt;0.05,OR(AND(J338="升高改善",K338&gt;0),AND(J338="降低改善",K338&lt;0))),"校正","不校正"))</f>
        <v/>
      </c>
      <c r="N338" s="178" t="inlineStr">
        <is>
          <t>Figure 3；PDF第9页/印刷248页；Isaiah面板；菱形 Greetings</t>
        </is>
      </c>
    </row>
    <row r="339" ht="45" customHeight="1" s="176">
      <c r="A339" s="201" t="inlineStr">
        <is>
          <t>K514</t>
        </is>
      </c>
      <c r="B339" s="201" t="inlineStr">
        <is>
          <t>102-滚雪球</t>
        </is>
      </c>
      <c r="C339" s="201" t="inlineStr">
        <is>
          <t>Hannah</t>
        </is>
      </c>
      <c r="D339" s="202" t="inlineStr">
        <is>
          <t>干预</t>
        </is>
      </c>
      <c r="E339" s="178" t="inlineStr">
        <is>
          <t>Baseline vs 电脑嵌入视频教学期</t>
        </is>
      </c>
      <c r="F339" s="178" t="inlineStr">
        <is>
          <t>7, 7, 7, 8, 8, 8</t>
        </is>
      </c>
      <c r="G339" s="201">
        <f>IF(F339="","",LEN(F339)-LEN(SUBSTITUTE(F339,",",""))+1)</f>
        <v/>
      </c>
      <c r="H339" s="178" t="inlineStr">
        <is>
          <t>10, 10, 10, 10, 11, 10, 11, 12, 10, 12, 11, 10, 10, 12, 12</t>
        </is>
      </c>
      <c r="I339" s="201">
        <f>IF(H339="","",LEN(H339)-LEN(SUBSTITUTE(H339,",",""))+1)</f>
        <v/>
      </c>
      <c r="J339" s="202" t="inlineStr">
        <is>
          <t>升高改善</t>
        </is>
      </c>
      <c r="K339" s="203" t="n">
        <v>0.774596669241483</v>
      </c>
      <c r="L339" s="203" t="n">
        <v>0.0495346134356268</v>
      </c>
      <c r="M339" s="201">
        <f>IF(OR(K339="",L339=""),"",IF(AND(L339&lt;0.05,OR(AND(J339="升高改善",K339&gt;0),AND(J339="降低改善",K339&lt;0))),"校正","不校正"))</f>
        <v/>
      </c>
      <c r="N339" s="178" t="inlineStr">
        <is>
          <t>Figure 3；PDF第9页/印刷248页；Hannah面板；正三角 Sharing</t>
        </is>
      </c>
    </row>
    <row r="340" ht="45" customHeight="1" s="176">
      <c r="A340" s="201" t="inlineStr">
        <is>
          <t>K515</t>
        </is>
      </c>
      <c r="B340" s="201" t="inlineStr">
        <is>
          <t>102-滚雪球</t>
        </is>
      </c>
      <c r="C340" s="201" t="inlineStr">
        <is>
          <t>Hannah</t>
        </is>
      </c>
      <c r="D340" s="202" t="inlineStr">
        <is>
          <t>干预</t>
        </is>
      </c>
      <c r="E340" s="178" t="inlineStr">
        <is>
          <t>Baseline vs 电脑嵌入视频教学期</t>
        </is>
      </c>
      <c r="F340" s="178" t="inlineStr">
        <is>
          <t>6, 7, 7, 8, 8, 8</t>
        </is>
      </c>
      <c r="G340" s="201">
        <f>IF(F340="","",LEN(F340)-LEN(SUBSTITUTE(F340,",",""))+1)</f>
        <v/>
      </c>
      <c r="H340" s="178" t="inlineStr">
        <is>
          <t>7, 7, 9, 9, 9, 9, 9, 10, 10, 9, 9, 10, 11, 12, 12</t>
        </is>
      </c>
      <c r="I340" s="201">
        <f>IF(H340="","",LEN(H340)-LEN(SUBSTITUTE(H340,",",""))+1)</f>
        <v/>
      </c>
      <c r="J340" s="202" t="inlineStr">
        <is>
          <t>升高改善</t>
        </is>
      </c>
      <c r="K340" s="203" t="n">
        <v>0.856348838577675</v>
      </c>
      <c r="L340" s="203" t="n">
        <v>0.0237516574481045</v>
      </c>
      <c r="M340" s="201">
        <f>IF(OR(K340="",L340=""),"",IF(AND(L340&lt;0.05,OR(AND(J340="升高改善",K340&gt;0),AND(J340="降低改善",K340&lt;0))),"校正","不校正"))</f>
        <v/>
      </c>
      <c r="N340" s="178" t="inlineStr">
        <is>
          <t>Figure 3；PDF第9页/印刷248页；Hannah面板；菱形 Greetings</t>
        </is>
      </c>
    </row>
    <row r="341" ht="45" customHeight="1" s="176">
      <c r="A341" s="201" t="inlineStr">
        <is>
          <t>K516</t>
        </is>
      </c>
      <c r="B341" s="201" t="inlineStr">
        <is>
          <t>102-滚雪球</t>
        </is>
      </c>
      <c r="C341" s="201" t="inlineStr">
        <is>
          <t>Marcus</t>
        </is>
      </c>
      <c r="D341" s="202" t="inlineStr">
        <is>
          <t>干预</t>
        </is>
      </c>
      <c r="E341" s="178" t="inlineStr">
        <is>
          <t>Baseline vs 电脑嵌入视频教学期</t>
        </is>
      </c>
      <c r="F341" s="178" t="inlineStr">
        <is>
          <t>5, 5, 5, 5, 5, 5, 5, 5, 5</t>
        </is>
      </c>
      <c r="G341" s="201">
        <f>IF(F341="","",LEN(F341)-LEN(SUBSTITUTE(F341,",",""))+1)</f>
        <v/>
      </c>
      <c r="H341" s="178" t="inlineStr">
        <is>
          <t>9, 8, 10, 9, 10, 10, 12, 11, 12, 10, 12</t>
        </is>
      </c>
      <c r="I341" s="201">
        <f>IF(H341="","",LEN(H341)-LEN(SUBSTITUTE(H341,",",""))+1)</f>
        <v/>
      </c>
      <c r="J341" s="202" t="inlineStr">
        <is>
          <t>升高改善</t>
        </is>
      </c>
      <c r="K341" s="203" t="n">
        <v>0</v>
      </c>
      <c r="L341" s="203" t="n">
        <v>1</v>
      </c>
      <c r="M341" s="201">
        <f>IF(OR(K341="",L341=""),"",IF(AND(L341&lt;0.05,OR(AND(J341="升高改善",K341&gt;0),AND(J341="降低改善",K341&lt;0))),"校正","不校正"))</f>
        <v/>
      </c>
      <c r="N341" s="178" t="inlineStr">
        <is>
          <t>Figure 3；PDF第9页/印刷248页；Marcus面板；正三角 Sharing</t>
        </is>
      </c>
    </row>
    <row r="342" ht="45" customHeight="1" s="176">
      <c r="A342" s="201" t="inlineStr">
        <is>
          <t>K517</t>
        </is>
      </c>
      <c r="B342" s="201" t="inlineStr">
        <is>
          <t>102-滚雪球</t>
        </is>
      </c>
      <c r="C342" s="201" t="inlineStr">
        <is>
          <t>Marcus</t>
        </is>
      </c>
      <c r="D342" s="202" t="inlineStr">
        <is>
          <t>干预</t>
        </is>
      </c>
      <c r="E342" s="178" t="inlineStr">
        <is>
          <t>Baseline vs 电脑嵌入视频教学期</t>
        </is>
      </c>
      <c r="F342" s="178" t="inlineStr">
        <is>
          <t>8, 8, 8, 8, 8, 8, 9, 8, 8</t>
        </is>
      </c>
      <c r="G342" s="201">
        <f>IF(F342="","",LEN(F342)-LEN(SUBSTITUTE(F342,",",""))+1)</f>
        <v/>
      </c>
      <c r="H342" s="178" t="inlineStr">
        <is>
          <t>10, 10, 12, 12, 12, 12, 12, 12, 12, 12, 12</t>
        </is>
      </c>
      <c r="I342" s="201">
        <f>IF(H342="","",LEN(H342)-LEN(SUBSTITUTE(H342,",",""))+1)</f>
        <v/>
      </c>
      <c r="J342" s="202" t="inlineStr">
        <is>
          <t>升高改善</t>
        </is>
      </c>
      <c r="K342" s="203" t="n">
        <v>0.235702260395516</v>
      </c>
      <c r="L342" s="203" t="n">
        <v>0.438578026081</v>
      </c>
      <c r="M342" s="201">
        <f>IF(OR(K342="",L342=""),"",IF(AND(L342&lt;0.05,OR(AND(J342="升高改善",K342&gt;0),AND(J342="降低改善",K342&lt;0))),"校正","不校正"))</f>
        <v/>
      </c>
      <c r="N342" s="178" t="inlineStr">
        <is>
          <t>Figure 3；PDF第9页/印刷248页；Marcus面板；菱形 Greetings</t>
        </is>
      </c>
    </row>
    <row r="343" ht="45" customHeight="1" s="176">
      <c r="A343" s="201" t="inlineStr">
        <is>
          <t>K518</t>
        </is>
      </c>
      <c r="B343" s="201" t="inlineStr">
        <is>
          <t>102-滚雪球</t>
        </is>
      </c>
      <c r="C343" s="201" t="inlineStr">
        <is>
          <t>Kia</t>
        </is>
      </c>
      <c r="D343" s="202" t="inlineStr">
        <is>
          <t>干预</t>
        </is>
      </c>
      <c r="E343" s="178" t="inlineStr">
        <is>
          <t>Baseline vs 电脑嵌入视频教学期</t>
        </is>
      </c>
      <c r="F343" s="178" t="inlineStr">
        <is>
          <t>3, 3, 3, 4, 4, 3, 4, 4, 4, 4, 3, 4</t>
        </is>
      </c>
      <c r="G343" s="201">
        <f>IF(F343="","",LEN(F343)-LEN(SUBSTITUTE(F343,",",""))+1)</f>
        <v/>
      </c>
      <c r="H343" s="178" t="inlineStr">
        <is>
          <t>7, 7, 7, 9, 10</t>
        </is>
      </c>
      <c r="I343" s="201">
        <f>IF(H343="","",LEN(H343)-LEN(SUBSTITUTE(H343,",",""))+1)</f>
        <v/>
      </c>
      <c r="J343" s="202" t="inlineStr">
        <is>
          <t>升高改善</t>
        </is>
      </c>
      <c r="K343" s="203" t="n">
        <v>0.395318929823828</v>
      </c>
      <c r="L343" s="203" t="n">
        <v>0.122880258088228</v>
      </c>
      <c r="M343" s="201">
        <f>IF(OR(K343="",L343=""),"",IF(AND(L343&lt;0.05,OR(AND(J343="升高改善",K343&gt;0),AND(J343="降低改善",K343&lt;0))),"校正","不校正"))</f>
        <v/>
      </c>
      <c r="N343" s="178" t="inlineStr">
        <is>
          <t>Figure 3；PDF第9页/印刷248页；Kia面板；正三角 Sharing</t>
        </is>
      </c>
    </row>
    <row r="344" ht="45" customHeight="1" s="176">
      <c r="A344" s="201" t="inlineStr">
        <is>
          <t>K519</t>
        </is>
      </c>
      <c r="B344" s="201" t="inlineStr">
        <is>
          <t>102-滚雪球</t>
        </is>
      </c>
      <c r="C344" s="201" t="inlineStr">
        <is>
          <t>Kia</t>
        </is>
      </c>
      <c r="D344" s="202" t="inlineStr">
        <is>
          <t>干预</t>
        </is>
      </c>
      <c r="E344" s="178" t="inlineStr">
        <is>
          <t>Baseline vs 电脑嵌入视频教学期</t>
        </is>
      </c>
      <c r="F344" s="178" t="inlineStr">
        <is>
          <t>8, 10, 9, 9, 9, 9, 10, 10, 10, 10, 10, 9</t>
        </is>
      </c>
      <c r="G344" s="201">
        <f>IF(F344="","",LEN(F344)-LEN(SUBSTITUTE(F344,",",""))+1)</f>
        <v/>
      </c>
      <c r="H344" s="178" t="inlineStr">
        <is>
          <t>11, 11, 11, 11, 10</t>
        </is>
      </c>
      <c r="I344" s="201">
        <f>IF(H344="","",LEN(H344)-LEN(SUBSTITUTE(H344,",",""))+1)</f>
        <v/>
      </c>
      <c r="J344" s="202" t="inlineStr">
        <is>
          <t>升高改善</t>
        </is>
      </c>
      <c r="K344" s="203" t="n">
        <v>0.403696885257116</v>
      </c>
      <c r="L344" s="203" t="n">
        <v>0.104847271453332</v>
      </c>
      <c r="M344" s="201">
        <f>IF(OR(K344="",L344=""),"",IF(AND(L344&lt;0.05,OR(AND(J344="升高改善",K344&gt;0),AND(J344="降低改善",K344&lt;0))),"校正","不校正"))</f>
        <v/>
      </c>
      <c r="N344" s="178" t="inlineStr">
        <is>
          <t>Figure 3；PDF第9页/印刷248页；Kia面板；菱形 Greetings</t>
        </is>
      </c>
    </row>
    <row r="345" ht="45" customHeight="1" s="176">
      <c r="A345" s="201" t="inlineStr">
        <is>
          <t>K520</t>
        </is>
      </c>
      <c r="B345" s="201" t="inlineStr">
        <is>
          <t>110-二次</t>
        </is>
      </c>
      <c r="C345" s="201" t="inlineStr">
        <is>
          <t>Isaac</t>
        </is>
      </c>
      <c r="D345" s="202" t="inlineStr">
        <is>
          <t>干预</t>
        </is>
      </c>
      <c r="E345" s="181" t="inlineStr">
        <is>
          <t>该示范者脚本的基线 vs 该示范者视频示范期</t>
        </is>
      </c>
      <c r="F345" s="208" t="inlineStr">
        <is>
          <t>0, 0, 0, 0, 0, 0, 0, 0, 0, 0, 0, 0, 0, 0, 0</t>
        </is>
      </c>
      <c r="G345" s="209">
        <f>IF(F345="","",LEN(F345)-LEN(SUBSTITUTE(F345,",",""))+1)</f>
        <v/>
      </c>
      <c r="H345" s="208" t="inlineStr">
        <is>
          <t>7, 5, 9, 9, 9</t>
        </is>
      </c>
      <c r="I345" s="209">
        <f>IF(H345="","",LEN(H345)-LEN(SUBSTITUTE(H345,",",""))+1)</f>
        <v/>
      </c>
      <c r="J345" s="210" t="inlineStr">
        <is>
          <t>升高改善</t>
        </is>
      </c>
      <c r="K345" s="211" t="n">
        <v>0</v>
      </c>
      <c r="L345" s="211" t="n">
        <v>1</v>
      </c>
      <c r="M345" s="209">
        <f>IF(OR(K345="",L345=""),"",IF(AND(L345&lt;0.05,OR(AND(J345="升高改善",K345&gt;0),AND(J345="降低改善",K345&lt;0))),"校正","不校正"))</f>
        <v/>
      </c>
      <c r="N345" s="181" t="inlineStr">
        <is>
          <t>Figure 2；PDF第13页/印刷274页；Isaac面板；真人成人；符号见原图图例</t>
        </is>
      </c>
    </row>
    <row r="346" ht="45" customHeight="1" s="176">
      <c r="A346" s="201" t="inlineStr">
        <is>
          <t>K521</t>
        </is>
      </c>
      <c r="B346" s="201" t="inlineStr">
        <is>
          <t>110-二次</t>
        </is>
      </c>
      <c r="C346" s="201" t="inlineStr">
        <is>
          <t>Isaac</t>
        </is>
      </c>
      <c r="D346" s="202" t="inlineStr">
        <is>
          <t>干预</t>
        </is>
      </c>
      <c r="E346" s="181" t="inlineStr">
        <is>
          <t>该示范者脚本的基线 vs 该示范者视频示范期</t>
        </is>
      </c>
      <c r="F346" s="208" t="inlineStr">
        <is>
          <t>0, 0, 0, 0</t>
        </is>
      </c>
      <c r="G346" s="209">
        <f>IF(F346="","",LEN(F346)-LEN(SUBSTITUTE(F346,",",""))+1)</f>
        <v/>
      </c>
      <c r="H346" s="208" t="inlineStr">
        <is>
          <t>4, 1, 1, 2, 2, 2, 0, 4, 1, 3, 4, 3</t>
        </is>
      </c>
      <c r="I346" s="209">
        <f>IF(H346="","",LEN(H346)-LEN(SUBSTITUTE(H346,",",""))+1)</f>
        <v/>
      </c>
      <c r="J346" s="210" t="inlineStr">
        <is>
          <t>升高改善</t>
        </is>
      </c>
      <c r="K346" s="211" t="n">
        <v>0</v>
      </c>
      <c r="L346" s="211" t="n">
        <v>1</v>
      </c>
      <c r="M346" s="209">
        <f>IF(OR(K346="",L346=""),"",IF(AND(L346&lt;0.05,OR(AND(J346="升高改善",K346&gt;0),AND(J346="降低改善",K346&lt;0))),"校正","不校正"))</f>
        <v/>
      </c>
      <c r="N346" s="181" t="inlineStr">
        <is>
          <t>Figure 2；PDF第13页/印刷274页；Isaac面板；转描动画；符号见原图图例</t>
        </is>
      </c>
    </row>
    <row r="347" ht="45" customHeight="1" s="176">
      <c r="A347" s="201" t="inlineStr">
        <is>
          <t>K522</t>
        </is>
      </c>
      <c r="B347" s="201" t="inlineStr">
        <is>
          <t>110-二次</t>
        </is>
      </c>
      <c r="C347" s="201" t="inlineStr">
        <is>
          <t>Mark</t>
        </is>
      </c>
      <c r="D347" s="202" t="inlineStr">
        <is>
          <t>干预</t>
        </is>
      </c>
      <c r="E347" s="181" t="inlineStr">
        <is>
          <t>该示范者脚本的基线 vs 该示范者视频示范期</t>
        </is>
      </c>
      <c r="F347" s="208" t="inlineStr">
        <is>
          <t>0, 0, 0, 0, 0, 0, 0, 0, 0, 0, 0, 0, 0, 0, 0, 0, 0</t>
        </is>
      </c>
      <c r="G347" s="209">
        <f>IF(F347="","",LEN(F347)-LEN(SUBSTITUTE(F347,",",""))+1)</f>
        <v/>
      </c>
      <c r="H347" s="208" t="inlineStr">
        <is>
          <t>2, 4, 5, 6, 6, 8</t>
        </is>
      </c>
      <c r="I347" s="209">
        <f>IF(H347="","",LEN(H347)-LEN(SUBSTITUTE(H347,",",""))+1)</f>
        <v/>
      </c>
      <c r="J347" s="210" t="inlineStr">
        <is>
          <t>升高改善</t>
        </is>
      </c>
      <c r="K347" s="211" t="n">
        <v>0</v>
      </c>
      <c r="L347" s="211" t="n">
        <v>1</v>
      </c>
      <c r="M347" s="209">
        <f>IF(OR(K347="",L347=""),"",IF(AND(L347&lt;0.05,OR(AND(J347="升高改善",K347&gt;0),AND(J347="降低改善",K347&lt;0))),"校正","不校正"))</f>
        <v/>
      </c>
      <c r="N347" s="181" t="inlineStr">
        <is>
          <t>Figure 2；PDF第13页/印刷274页；Mark面板；真人成人；符号见原图图例</t>
        </is>
      </c>
    </row>
    <row r="348" ht="45" customHeight="1" s="176">
      <c r="A348" s="201" t="inlineStr">
        <is>
          <t>K523</t>
        </is>
      </c>
      <c r="B348" s="201" t="inlineStr">
        <is>
          <t>110-二次</t>
        </is>
      </c>
      <c r="C348" s="201" t="inlineStr">
        <is>
          <t>Mark</t>
        </is>
      </c>
      <c r="D348" s="202" t="inlineStr">
        <is>
          <t>干预</t>
        </is>
      </c>
      <c r="E348" s="181" t="inlineStr">
        <is>
          <t>该示范者脚本的基线 vs 该示范者视频示范期</t>
        </is>
      </c>
      <c r="F348" s="208" t="inlineStr">
        <is>
          <t>0, 0, 0, 0, 0, 0, 0, 0, 0</t>
        </is>
      </c>
      <c r="G348" s="209">
        <f>IF(F348="","",LEN(F348)-LEN(SUBSTITUTE(F348,",",""))+1)</f>
        <v/>
      </c>
      <c r="H348" s="208" t="inlineStr">
        <is>
          <t>2, 3, 3, 3, 3, 6, 9</t>
        </is>
      </c>
      <c r="I348" s="209">
        <f>IF(H348="","",LEN(H348)-LEN(SUBSTITUTE(H348,",",""))+1)</f>
        <v/>
      </c>
      <c r="J348" s="210" t="inlineStr">
        <is>
          <t>升高改善</t>
        </is>
      </c>
      <c r="K348" s="211" t="n">
        <v>0</v>
      </c>
      <c r="L348" s="211" t="n">
        <v>1</v>
      </c>
      <c r="M348" s="209">
        <f>IF(OR(K348="",L348=""),"",IF(AND(L348&lt;0.05,OR(AND(J348="升高改善",K348&gt;0),AND(J348="降低改善",K348&lt;0))),"校正","不校正"))</f>
        <v/>
      </c>
      <c r="N348" s="181" t="inlineStr">
        <is>
          <t>Figure 2；PDF第13页/印刷274页；Mark面板；转描动画；符号见原图图例</t>
        </is>
      </c>
    </row>
    <row r="349" ht="45" customHeight="1" s="176">
      <c r="A349" s="201" t="inlineStr">
        <is>
          <t>K524</t>
        </is>
      </c>
      <c r="B349" s="201" t="inlineStr">
        <is>
          <t>110-二次</t>
        </is>
      </c>
      <c r="C349" s="201" t="inlineStr">
        <is>
          <t>Anesha</t>
        </is>
      </c>
      <c r="D349" s="202" t="inlineStr">
        <is>
          <t>干预</t>
        </is>
      </c>
      <c r="E349" s="181" t="inlineStr">
        <is>
          <t>该示范者脚本的基线 vs 该示范者视频示范期</t>
        </is>
      </c>
      <c r="F349" s="208" t="inlineStr">
        <is>
          <t>0, 0, 0, 0, 0, 0, 0, 0, 0, 0, 0, 0, 0, 0, 0, 0, 0, 0, 0, 0, 0, 0</t>
        </is>
      </c>
      <c r="G349" s="209">
        <f>IF(F349="","",LEN(F349)-LEN(SUBSTITUTE(F349,",",""))+1)</f>
        <v/>
      </c>
      <c r="H349" s="208" t="inlineStr">
        <is>
          <t>1, 0, 0, 0, 0, 0, 0, 0, 0, 0</t>
        </is>
      </c>
      <c r="I349" s="209">
        <f>IF(H349="","",LEN(H349)-LEN(SUBSTITUTE(H349,",",""))+1)</f>
        <v/>
      </c>
      <c r="J349" s="210" t="inlineStr">
        <is>
          <t>升高改善</t>
        </is>
      </c>
      <c r="K349" s="211" t="n">
        <v>0</v>
      </c>
      <c r="L349" s="211" t="n">
        <v>1</v>
      </c>
      <c r="M349" s="209">
        <f>IF(OR(K349="",L349=""),"",IF(AND(L349&lt;0.05,OR(AND(J349="升高改善",K349&gt;0),AND(J349="降低改善",K349&lt;0))),"校正","不校正"))</f>
        <v/>
      </c>
      <c r="N349" s="181" t="inlineStr">
        <is>
          <t>Figure 2；PDF第13页/印刷274页；Anesha面板；真人成人；符号见原图图例</t>
        </is>
      </c>
    </row>
    <row r="350" ht="45" customHeight="1" s="176">
      <c r="A350" s="201" t="inlineStr">
        <is>
          <t>K525</t>
        </is>
      </c>
      <c r="B350" s="201" t="inlineStr">
        <is>
          <t>110-二次</t>
        </is>
      </c>
      <c r="C350" s="201" t="inlineStr">
        <is>
          <t>Anesha</t>
        </is>
      </c>
      <c r="D350" s="202" t="inlineStr">
        <is>
          <t>干预</t>
        </is>
      </c>
      <c r="E350" s="181" t="inlineStr">
        <is>
          <t>该示范者脚本的基线 vs 该示范者视频示范期</t>
        </is>
      </c>
      <c r="F350" s="208" t="inlineStr">
        <is>
          <t>0, 0, 0, 0, 0, 0, 0, 0, 0, 0, 0, 0</t>
        </is>
      </c>
      <c r="G350" s="209">
        <f>IF(F350="","",LEN(F350)-LEN(SUBSTITUTE(F350,",",""))+1)</f>
        <v/>
      </c>
      <c r="H350" s="208" t="inlineStr">
        <is>
          <t>0, 0, 2, 0, 0, 0, 0, 1, 0, 2</t>
        </is>
      </c>
      <c r="I350" s="209">
        <f>IF(H350="","",LEN(H350)-LEN(SUBSTITUTE(H350,",",""))+1)</f>
        <v/>
      </c>
      <c r="J350" s="210" t="inlineStr">
        <is>
          <t>升高改善</t>
        </is>
      </c>
      <c r="K350" s="211" t="n">
        <v>0</v>
      </c>
      <c r="L350" s="211" t="n">
        <v>1</v>
      </c>
      <c r="M350" s="209">
        <f>IF(OR(K350="",L350=""),"",IF(AND(L350&lt;0.05,OR(AND(J350="升高改善",K350&gt;0),AND(J350="降低改善",K350&lt;0))),"校正","不校正"))</f>
        <v/>
      </c>
      <c r="N350" s="181" t="inlineStr">
        <is>
          <t>Figure 2；PDF第13页/印刷274页；Anesha面板；转描动画；符号见原图图例</t>
        </is>
      </c>
    </row>
    <row r="351" ht="45" customHeight="1" s="176">
      <c r="A351" s="201" t="inlineStr">
        <is>
          <t>K526</t>
        </is>
      </c>
      <c r="B351" s="201" t="inlineStr">
        <is>
          <t>110-二次</t>
        </is>
      </c>
      <c r="C351" s="201" t="inlineStr">
        <is>
          <t>Maria</t>
        </is>
      </c>
      <c r="D351" s="202" t="inlineStr">
        <is>
          <t>干预</t>
        </is>
      </c>
      <c r="E351" s="181" t="inlineStr">
        <is>
          <t>该示范者脚本的基线 vs 该示范者视频示范期</t>
        </is>
      </c>
      <c r="F351" s="208" t="inlineStr">
        <is>
          <t>0, 0, 0, 0, 0, 0, 0, 0, 0, 0, 0, 0, 0, 0, 0, 0, 0, 0, 0, 0, 0, 0, 0, 0, 0, 0</t>
        </is>
      </c>
      <c r="G351" s="209">
        <f>IF(F351="","",LEN(F351)-LEN(SUBSTITUTE(F351,",",""))+1)</f>
        <v/>
      </c>
      <c r="H351" s="208" t="inlineStr">
        <is>
          <t>0, 2, 1, 5, 3, 4, 3, 3, 4, 3</t>
        </is>
      </c>
      <c r="I351" s="209">
        <f>IF(H351="","",LEN(H351)-LEN(SUBSTITUTE(H351,",",""))+1)</f>
        <v/>
      </c>
      <c r="J351" s="210" t="inlineStr">
        <is>
          <t>升高改善</t>
        </is>
      </c>
      <c r="K351" s="211" t="n">
        <v>0</v>
      </c>
      <c r="L351" s="211" t="n">
        <v>1</v>
      </c>
      <c r="M351" s="209">
        <f>IF(OR(K351="",L351=""),"",IF(AND(L351&lt;0.05,OR(AND(J351="升高改善",K351&gt;0),AND(J351="降低改善",K351&lt;0))),"校正","不校正"))</f>
        <v/>
      </c>
      <c r="N351" s="181" t="inlineStr">
        <is>
          <t>Figure 2；PDF第13页/印刷274页；Maria面板；真人成人；符号见原图图例</t>
        </is>
      </c>
    </row>
    <row r="352" ht="45" customHeight="1" s="176">
      <c r="A352" s="201" t="inlineStr">
        <is>
          <t>K527</t>
        </is>
      </c>
      <c r="B352" s="201" t="inlineStr">
        <is>
          <t>110-二次</t>
        </is>
      </c>
      <c r="C352" s="201" t="inlineStr">
        <is>
          <t>Maria</t>
        </is>
      </c>
      <c r="D352" s="202" t="inlineStr">
        <is>
          <t>干预</t>
        </is>
      </c>
      <c r="E352" s="181" t="inlineStr">
        <is>
          <t>该示范者脚本的基线 vs 该示范者视频示范期</t>
        </is>
      </c>
      <c r="F352" s="208" t="inlineStr">
        <is>
          <t>0, 0, 0, 0, 0, 0, 0, 0, 0, 0, 0, 0, 0, 0, 0, 0</t>
        </is>
      </c>
      <c r="G352" s="209">
        <f>IF(F352="","",LEN(F352)-LEN(SUBSTITUTE(F352,",",""))+1)</f>
        <v/>
      </c>
      <c r="H352" s="208" t="inlineStr">
        <is>
          <t>0, 0, 0, 0, 0, 0, 0, 0, 0, 0</t>
        </is>
      </c>
      <c r="I352" s="209">
        <f>IF(H352="","",LEN(H352)-LEN(SUBSTITUTE(H352,",",""))+1)</f>
        <v/>
      </c>
      <c r="J352" s="210" t="inlineStr">
        <is>
          <t>升高改善</t>
        </is>
      </c>
      <c r="K352" s="211" t="n">
        <v>0</v>
      </c>
      <c r="L352" s="211" t="n">
        <v>1</v>
      </c>
      <c r="M352" s="209">
        <f>IF(OR(K352="",L352=""),"",IF(AND(L352&lt;0.05,OR(AND(J352="升高改善",K352&gt;0),AND(J352="降低改善",K352&lt;0))),"校正","不校正"))</f>
        <v/>
      </c>
      <c r="N352" s="181" t="inlineStr">
        <is>
          <t>Figure 2；PDF第13页/印刷274页；Maria面板；转描动画；符号见原图图例</t>
        </is>
      </c>
    </row>
    <row r="353" ht="45" customHeight="1" s="176">
      <c r="A353" s="201" t="inlineStr">
        <is>
          <t>K528</t>
        </is>
      </c>
      <c r="B353" s="201" t="inlineStr">
        <is>
          <t>110-二次</t>
        </is>
      </c>
      <c r="C353" s="201" t="inlineStr">
        <is>
          <t>Ray</t>
        </is>
      </c>
      <c r="D353" s="202" t="inlineStr">
        <is>
          <t>干预</t>
        </is>
      </c>
      <c r="E353" s="181" t="inlineStr">
        <is>
          <t>该示范者脚本的基线 vs 该示范者视频示范期</t>
        </is>
      </c>
      <c r="F353" s="208" t="inlineStr">
        <is>
          <t>0, 0, 0, 0, 0</t>
        </is>
      </c>
      <c r="G353" s="209">
        <f>IF(F353="","",LEN(F353)-LEN(SUBSTITUTE(F353,",",""))+1)</f>
        <v/>
      </c>
      <c r="H353" s="208" t="inlineStr">
        <is>
          <t>3, 6, 5, 6, 6, 5, 6, 3, 3, 4, 1, 3, 3, 5, 0, 6, 6, 6</t>
        </is>
      </c>
      <c r="I353" s="209">
        <f>IF(H353="","",LEN(H353)-LEN(SUBSTITUTE(H353,",",""))+1)</f>
        <v/>
      </c>
      <c r="J353" s="210" t="inlineStr">
        <is>
          <t>升高改善</t>
        </is>
      </c>
      <c r="K353" s="211" t="n">
        <v>0</v>
      </c>
      <c r="L353" s="211" t="n">
        <v>1</v>
      </c>
      <c r="M353" s="209">
        <f>IF(OR(K353="",L353=""),"",IF(AND(L353&lt;0.05,OR(AND(J353="升高改善",K353&gt;0),AND(J353="降低改善",K353&lt;0))),"校正","不校正"))</f>
        <v/>
      </c>
      <c r="N353" s="181" t="inlineStr">
        <is>
          <t>Figure 3；PDF第14页/印刷275页；Ray面板；真人成人；符号见原图图例</t>
        </is>
      </c>
    </row>
    <row r="354" ht="45" customHeight="1" s="176">
      <c r="A354" s="201" t="inlineStr">
        <is>
          <t>K529</t>
        </is>
      </c>
      <c r="B354" s="201" t="inlineStr">
        <is>
          <t>110-二次</t>
        </is>
      </c>
      <c r="C354" s="201" t="inlineStr">
        <is>
          <t>Ray</t>
        </is>
      </c>
      <c r="D354" s="202" t="inlineStr">
        <is>
          <t>干预</t>
        </is>
      </c>
      <c r="E354" s="181" t="inlineStr">
        <is>
          <t>该示范者脚本的基线 vs 该示范者视频示范期</t>
        </is>
      </c>
      <c r="F354" s="208" t="inlineStr">
        <is>
          <t>0, 0, 0, 0, 0, 0, 0, 0, 0, 0, 0, 0, 0, 0, 0, 0, 0, 0, 0, 0, 0, 0, 0</t>
        </is>
      </c>
      <c r="G354" s="209">
        <f>IF(F354="","",LEN(F354)-LEN(SUBSTITUTE(F354,",",""))+1)</f>
        <v/>
      </c>
      <c r="H354" s="208" t="inlineStr">
        <is>
          <t>0, 0, 0, 0, 4, 4, 4, 7, 7, 6</t>
        </is>
      </c>
      <c r="I354" s="209">
        <f>IF(H354="","",LEN(H354)-LEN(SUBSTITUTE(H354,",",""))+1)</f>
        <v/>
      </c>
      <c r="J354" s="210" t="inlineStr">
        <is>
          <t>升高改善</t>
        </is>
      </c>
      <c r="K354" s="211" t="n">
        <v>0</v>
      </c>
      <c r="L354" s="211" t="n">
        <v>1</v>
      </c>
      <c r="M354" s="209">
        <f>IF(OR(K354="",L354=""),"",IF(AND(L354&lt;0.05,OR(AND(J354="升高改善",K354&gt;0),AND(J354="降低改善",K354&lt;0))),"校正","不校正"))</f>
        <v/>
      </c>
      <c r="N354" s="181" t="inlineStr">
        <is>
          <t>Figure 3；PDF第14页/印刷275页；Ray面板；转描动画；符号见原图图例</t>
        </is>
      </c>
    </row>
    <row r="355" ht="45" customHeight="1" s="176">
      <c r="A355" s="201" t="inlineStr">
        <is>
          <t>K530</t>
        </is>
      </c>
      <c r="B355" s="201" t="inlineStr">
        <is>
          <t>110-二次</t>
        </is>
      </c>
      <c r="C355" s="201" t="inlineStr">
        <is>
          <t>Kadeem</t>
        </is>
      </c>
      <c r="D355" s="202" t="inlineStr">
        <is>
          <t>干预</t>
        </is>
      </c>
      <c r="E355" s="181" t="inlineStr">
        <is>
          <t>该示范者脚本的基线 vs 该示范者视频示范期</t>
        </is>
      </c>
      <c r="F355" s="208" t="inlineStr">
        <is>
          <t>0, 0, 0, 0, 0, 0, 0</t>
        </is>
      </c>
      <c r="G355" s="209">
        <f>IF(F355="","",LEN(F355)-LEN(SUBSTITUTE(F355,",",""))+1)</f>
        <v/>
      </c>
      <c r="H355" s="208" t="inlineStr">
        <is>
          <t>2, 7, 6, 6</t>
        </is>
      </c>
      <c r="I355" s="209">
        <f>IF(H355="","",LEN(H355)-LEN(SUBSTITUTE(H355,",",""))+1)</f>
        <v/>
      </c>
      <c r="J355" s="210" t="inlineStr">
        <is>
          <t>升高改善</t>
        </is>
      </c>
      <c r="K355" s="211" t="n">
        <v>0</v>
      </c>
      <c r="L355" s="211" t="n">
        <v>1</v>
      </c>
      <c r="M355" s="209">
        <f>IF(OR(K355="",L355=""),"",IF(AND(L355&lt;0.05,OR(AND(J355="升高改善",K355&gt;0),AND(J355="降低改善",K355&lt;0))),"校正","不校正"))</f>
        <v/>
      </c>
      <c r="N355" s="181" t="inlineStr">
        <is>
          <t>Figure 3；PDF第14页/印刷275页；Kadeem面板；真人成人；符号见原图图例</t>
        </is>
      </c>
    </row>
    <row r="356" ht="45" customHeight="1" s="176">
      <c r="A356" s="201" t="inlineStr">
        <is>
          <t>K531</t>
        </is>
      </c>
      <c r="B356" s="201" t="inlineStr">
        <is>
          <t>110-二次</t>
        </is>
      </c>
      <c r="C356" s="201" t="inlineStr">
        <is>
          <t>Kadeem</t>
        </is>
      </c>
      <c r="D356" s="202" t="inlineStr">
        <is>
          <t>干预</t>
        </is>
      </c>
      <c r="E356" s="181" t="inlineStr">
        <is>
          <t>该示范者脚本的基线 vs 该示范者视频示范期</t>
        </is>
      </c>
      <c r="F356" s="208" t="inlineStr">
        <is>
          <t>0, 0, 0, 0, 0, 0, 0, 0, 0, 0, 0, 0</t>
        </is>
      </c>
      <c r="G356" s="209">
        <f>IF(F356="","",LEN(F356)-LEN(SUBSTITUTE(F356,",",""))+1)</f>
        <v/>
      </c>
      <c r="H356" s="208" t="inlineStr">
        <is>
          <t>7, 4, 7, 8, 8</t>
        </is>
      </c>
      <c r="I356" s="209">
        <f>IF(H356="","",LEN(H356)-LEN(SUBSTITUTE(H356,",",""))+1)</f>
        <v/>
      </c>
      <c r="J356" s="210" t="inlineStr">
        <is>
          <t>升高改善</t>
        </is>
      </c>
      <c r="K356" s="211" t="n">
        <v>0</v>
      </c>
      <c r="L356" s="211" t="n">
        <v>1</v>
      </c>
      <c r="M356" s="209">
        <f>IF(OR(K356="",L356=""),"",IF(AND(L356&lt;0.05,OR(AND(J356="升高改善",K356&gt;0),AND(J356="降低改善",K356&lt;0))),"校正","不校正"))</f>
        <v/>
      </c>
      <c r="N356" s="181" t="inlineStr">
        <is>
          <t>Figure 3；PDF第14页/印刷275页；Kadeem面板；转描动画；符号见原图图例</t>
        </is>
      </c>
    </row>
    <row r="357" ht="45" customHeight="1" s="176">
      <c r="A357" s="201" t="inlineStr">
        <is>
          <t>K532</t>
        </is>
      </c>
      <c r="B357" s="201" t="inlineStr">
        <is>
          <t>110-二次</t>
        </is>
      </c>
      <c r="C357" s="201" t="inlineStr">
        <is>
          <t>Leon</t>
        </is>
      </c>
      <c r="D357" s="202" t="inlineStr">
        <is>
          <t>干预</t>
        </is>
      </c>
      <c r="E357" s="181" t="inlineStr">
        <is>
          <t>该示范者脚本的基线 vs 该示范者视频示范期</t>
        </is>
      </c>
      <c r="F357" s="208" t="inlineStr">
        <is>
          <t>0, 0, 0, 0, 0, 0, 0, 0, 0, 0, 0</t>
        </is>
      </c>
      <c r="G357" s="209">
        <f>IF(F357="","",LEN(F357)-LEN(SUBSTITUTE(F357,",",""))+1)</f>
        <v/>
      </c>
      <c r="H357" s="208" t="inlineStr">
        <is>
          <t>0, 0, 0, 0, 0, 0, 0, 0, 0, 0</t>
        </is>
      </c>
      <c r="I357" s="209">
        <f>IF(H357="","",LEN(H357)-LEN(SUBSTITUTE(H357,",",""))+1)</f>
        <v/>
      </c>
      <c r="J357" s="210" t="inlineStr">
        <is>
          <t>升高改善</t>
        </is>
      </c>
      <c r="K357" s="211" t="n">
        <v>0</v>
      </c>
      <c r="L357" s="211" t="n">
        <v>1</v>
      </c>
      <c r="M357" s="209">
        <f>IF(OR(K357="",L357=""),"",IF(AND(L357&lt;0.05,OR(AND(J357="升高改善",K357&gt;0),AND(J357="降低改善",K357&lt;0))),"校正","不校正"))</f>
        <v/>
      </c>
      <c r="N357" s="181" t="inlineStr">
        <is>
          <t>Figure 3；PDF第14页/印刷275页；Leon面板；真人成人；符号见原图图例</t>
        </is>
      </c>
    </row>
    <row r="358" ht="45" customHeight="1" s="176">
      <c r="A358" s="201" t="inlineStr">
        <is>
          <t>K533</t>
        </is>
      </c>
      <c r="B358" s="201" t="inlineStr">
        <is>
          <t>110-二次</t>
        </is>
      </c>
      <c r="C358" s="201" t="inlineStr">
        <is>
          <t>Leon</t>
        </is>
      </c>
      <c r="D358" s="202" t="inlineStr">
        <is>
          <t>干预</t>
        </is>
      </c>
      <c r="E358" s="181" t="inlineStr">
        <is>
          <t>该示范者脚本的基线 vs 该示范者视频示范期</t>
        </is>
      </c>
      <c r="F358" s="208" t="inlineStr">
        <is>
          <t>0, 0, 0, 0, 0, 0, 0, 0, 0, 0, 0, 0, 0, 0, 0, 0, 0, 0, 0, 0, 0</t>
        </is>
      </c>
      <c r="G358" s="209">
        <f>IF(F358="","",LEN(F358)-LEN(SUBSTITUTE(F358,",",""))+1)</f>
        <v/>
      </c>
      <c r="H358" s="208" t="inlineStr">
        <is>
          <t>0, 0, 0, 0, 3, 3, 1, 7, 2, 6, 5, 8, 8, 7</t>
        </is>
      </c>
      <c r="I358" s="209">
        <f>IF(H358="","",LEN(H358)-LEN(SUBSTITUTE(H358,",",""))+1)</f>
        <v/>
      </c>
      <c r="J358" s="210" t="inlineStr">
        <is>
          <t>升高改善</t>
        </is>
      </c>
      <c r="K358" s="211" t="n">
        <v>0</v>
      </c>
      <c r="L358" s="211" t="n">
        <v>1</v>
      </c>
      <c r="M358" s="209">
        <f>IF(OR(K358="",L358=""),"",IF(AND(L358&lt;0.05,OR(AND(J358="升高改善",K358&gt;0),AND(J358="降低改善",K358&lt;0))),"校正","不校正"))</f>
        <v/>
      </c>
      <c r="N358" s="181" t="inlineStr">
        <is>
          <t>Figure 3；PDF第14页/印刷275页；Leon面板；转描动画；符号见原图图例</t>
        </is>
      </c>
    </row>
    <row r="359" ht="45" customHeight="1" s="176">
      <c r="A359" s="201" t="inlineStr">
        <is>
          <t>K534</t>
        </is>
      </c>
      <c r="B359" s="201" t="inlineStr">
        <is>
          <t>110-二次</t>
        </is>
      </c>
      <c r="C359" s="201" t="inlineStr">
        <is>
          <t>Gavin</t>
        </is>
      </c>
      <c r="D359" s="202" t="inlineStr">
        <is>
          <t>干预</t>
        </is>
      </c>
      <c r="E359" s="181" t="inlineStr">
        <is>
          <t>该示范者脚本的基线 vs 该示范者视频示范期</t>
        </is>
      </c>
      <c r="F359" s="208" t="inlineStr">
        <is>
          <t>0, 0, 0, 0, 0, 0, 0, 0, 0, 0, 0, 0, 0, 0, 0</t>
        </is>
      </c>
      <c r="G359" s="209">
        <f>IF(F359="","",LEN(F359)-LEN(SUBSTITUTE(F359,",",""))+1)</f>
        <v/>
      </c>
      <c r="H359" s="208" t="inlineStr">
        <is>
          <t>0, 0, 0, 0, 0, 0, 1, 0, 0, 0</t>
        </is>
      </c>
      <c r="I359" s="209">
        <f>IF(H359="","",LEN(H359)-LEN(SUBSTITUTE(H359,",",""))+1)</f>
        <v/>
      </c>
      <c r="J359" s="210" t="inlineStr">
        <is>
          <t>升高改善</t>
        </is>
      </c>
      <c r="K359" s="211" t="n">
        <v>0</v>
      </c>
      <c r="L359" s="211" t="n">
        <v>1</v>
      </c>
      <c r="M359" s="209">
        <f>IF(OR(K359="",L359=""),"",IF(AND(L359&lt;0.05,OR(AND(J359="升高改善",K359&gt;0),AND(J359="降低改善",K359&lt;0))),"校正","不校正"))</f>
        <v/>
      </c>
      <c r="N359" s="181" t="inlineStr">
        <is>
          <t>Figure 3；PDF第14页/印刷275页；Gavin面板；真人成人；符号见原图图例</t>
        </is>
      </c>
    </row>
    <row r="360" ht="45" customHeight="1" s="176">
      <c r="A360" s="201" t="inlineStr">
        <is>
          <t>K535</t>
        </is>
      </c>
      <c r="B360" s="201" t="inlineStr">
        <is>
          <t>110-二次</t>
        </is>
      </c>
      <c r="C360" s="201" t="inlineStr">
        <is>
          <t>Gavin</t>
        </is>
      </c>
      <c r="D360" s="202" t="inlineStr">
        <is>
          <t>干预</t>
        </is>
      </c>
      <c r="E360" s="181" t="inlineStr">
        <is>
          <t>该示范者脚本的基线 vs 该示范者视频示范期</t>
        </is>
      </c>
      <c r="F360" s="208" t="inlineStr">
        <is>
          <t>0, 0, 0, 0, 0, 0, 0, 0, 0, 0, 0, 0, 0, 0, 0, 0, 0, 0, 0, 0, 0, 0, 0, 0, 0</t>
        </is>
      </c>
      <c r="G360" s="209">
        <f>IF(F360="","",LEN(F360)-LEN(SUBSTITUTE(F360,",",""))+1)</f>
        <v/>
      </c>
      <c r="H360" s="208" t="inlineStr">
        <is>
          <t>0, 0, 0, 0, 0, 0, 0, 0, 0, 0</t>
        </is>
      </c>
      <c r="I360" s="209">
        <f>IF(H360="","",LEN(H360)-LEN(SUBSTITUTE(H360,",",""))+1)</f>
        <v/>
      </c>
      <c r="J360" s="210" t="inlineStr">
        <is>
          <t>升高改善</t>
        </is>
      </c>
      <c r="K360" s="211" t="n">
        <v>0</v>
      </c>
      <c r="L360" s="211" t="n">
        <v>1</v>
      </c>
      <c r="M360" s="209">
        <f>IF(OR(K360="",L360=""),"",IF(AND(L360&lt;0.05,OR(AND(J360="升高改善",K360&gt;0),AND(J360="降低改善",K360&lt;0))),"校正","不校正"))</f>
        <v/>
      </c>
      <c r="N360" s="181" t="inlineStr">
        <is>
          <t>Figure 3；PDF第14页/印刷275页；Gavin面板；转描动画；符号见原图图例</t>
        </is>
      </c>
    </row>
    <row r="361" ht="45" customHeight="1" s="176">
      <c r="A361" s="201" t="inlineStr">
        <is>
          <t>K536</t>
        </is>
      </c>
      <c r="B361" s="201" t="inlineStr">
        <is>
          <t>059-二次</t>
        </is>
      </c>
      <c r="C361" s="201" t="inlineStr">
        <is>
          <t>Eleni</t>
        </is>
      </c>
      <c r="D361" s="202" t="inlineStr">
        <is>
          <t>干预</t>
        </is>
      </c>
      <c r="E361" s="181" t="inlineStr">
        <is>
          <t>Baseline II vs Video Modeling（训练试次，实心点）</t>
        </is>
      </c>
      <c r="F361" s="208" t="inlineStr">
        <is>
          <t>70, 70, 50, 40, 10, 20, 10</t>
        </is>
      </c>
      <c r="G361" s="209">
        <f>IF(F361="","",LEN(F361)-LEN(SUBSTITUTE(F361,",",""))+1)</f>
        <v/>
      </c>
      <c r="H361" s="208" t="inlineStr">
        <is>
          <t>60, 70, 90, 70, 100, 50, 90, 90, 100, 100, 100</t>
        </is>
      </c>
      <c r="I361" s="209">
        <f>IF(H361="","",LEN(H361)-LEN(SUBSTITUTE(H361,",",""))+1)</f>
        <v/>
      </c>
      <c r="J361" s="210" t="inlineStr">
        <is>
          <t>升高改善</t>
        </is>
      </c>
      <c r="K361" s="211" t="n">
        <v>-0.851</v>
      </c>
      <c r="L361" s="211" t="n">
        <v>0.008999999999999999</v>
      </c>
      <c r="M361" s="209">
        <f>IF(OR(K361="",L361=""),"",IF(AND(L361&lt;0.05,OR(AND(J361="升高改善",K361&gt;0),AND(J361="降低改善",K361&lt;0))),"校正","不校正"))</f>
        <v/>
      </c>
      <c r="N361" s="181" t="inlineStr">
        <is>
          <t>Fig. 1，PDF第8页/印刷552页，Eleni面板（上）；实心点＝训练试次，空心圆＝探测试次</t>
        </is>
      </c>
    </row>
    <row r="362" ht="45" customHeight="1" s="176">
      <c r="A362" s="201" t="inlineStr">
        <is>
          <t>K537</t>
        </is>
      </c>
      <c r="B362" s="201" t="inlineStr">
        <is>
          <t>059-二次</t>
        </is>
      </c>
      <c r="C362" s="201" t="inlineStr">
        <is>
          <t>Billy</t>
        </is>
      </c>
      <c r="D362" s="202" t="inlineStr">
        <is>
          <t>干预</t>
        </is>
      </c>
      <c r="E362" s="181" t="inlineStr">
        <is>
          <t>Baseline I vs Video Modeling（训练试次，实心点）</t>
        </is>
      </c>
      <c r="F362" s="208" t="inlineStr">
        <is>
          <t>0, 0, 10, 0, 0, 0, 0, 0, 0, 0</t>
        </is>
      </c>
      <c r="G362" s="209">
        <f>IF(F362="","",LEN(F362)-LEN(SUBSTITUTE(F362,",",""))+1)</f>
        <v/>
      </c>
      <c r="H362" s="208" t="inlineStr">
        <is>
          <t>0, 0, 0, 10, 10, 30, 80, 60, 50, 60, 90</t>
        </is>
      </c>
      <c r="I362" s="209">
        <f>IF(H362="","",LEN(H362)-LEN(SUBSTITUTE(H362,",",""))+1)</f>
        <v/>
      </c>
      <c r="J362" s="210" t="inlineStr">
        <is>
          <t>升高改善</t>
        </is>
      </c>
      <c r="K362" s="211" t="n">
        <v>-0.248</v>
      </c>
      <c r="L362" s="211" t="n">
        <v>0.384</v>
      </c>
      <c r="M362" s="209">
        <f>IF(OR(K362="",L362=""),"",IF(AND(L362&lt;0.05,OR(AND(J362="升高改善",K362&gt;0),AND(J362="降低改善",K362&lt;0))),"校正","不校正"))</f>
        <v/>
      </c>
      <c r="N362" s="181" t="inlineStr">
        <is>
          <t>Fig. 1，PDF第8页/印刷552页，Billy面板（中）；实心点＝训练试次，空心圆＝探测试次</t>
        </is>
      </c>
    </row>
    <row r="363" ht="45" customHeight="1" s="176">
      <c r="A363" s="201" t="inlineStr">
        <is>
          <t>K538</t>
        </is>
      </c>
      <c r="B363" s="201" t="inlineStr">
        <is>
          <t>059-二次</t>
        </is>
      </c>
      <c r="C363" s="201" t="inlineStr">
        <is>
          <t>Mike</t>
        </is>
      </c>
      <c r="D363" s="202" t="inlineStr">
        <is>
          <t>干预</t>
        </is>
      </c>
      <c r="E363" s="181" t="inlineStr">
        <is>
          <t>Baseline II vs Video Modeling（训练试次，实心点）</t>
        </is>
      </c>
      <c r="F363" s="208" t="inlineStr">
        <is>
          <t>50, 60, 80, 70, 60, 80, 70, 60, 20, 60, 20, 20, 10, 20</t>
        </is>
      </c>
      <c r="G363" s="209">
        <f>IF(F363="","",LEN(F363)-LEN(SUBSTITUTE(F363,",",""))+1)</f>
        <v/>
      </c>
      <c r="H363" s="208" t="inlineStr">
        <is>
          <t>60, 70, 50, 50, 50, 80, 90</t>
        </is>
      </c>
      <c r="I363" s="209">
        <f>IF(H363="","",LEN(H363)-LEN(SUBSTITUTE(H363,",",""))+1)</f>
        <v/>
      </c>
      <c r="J363" s="210" t="inlineStr">
        <is>
          <t>升高改善</t>
        </is>
      </c>
      <c r="K363" s="211" t="n">
        <v>-0.514</v>
      </c>
      <c r="L363" s="211" t="n">
        <v>0.015</v>
      </c>
      <c r="M363" s="209">
        <f>IF(OR(K363="",L363=""),"",IF(AND(L363&lt;0.05,OR(AND(J363="升高改善",K363&gt;0),AND(J363="降低改善",K363&lt;0))),"校正","不校正"))</f>
        <v/>
      </c>
      <c r="N363" s="181" t="inlineStr">
        <is>
          <t>Fig. 1，PDF第8页/印刷552页，Mike面板（下）；实心点＝训练试次，空心圆＝探测试次</t>
        </is>
      </c>
    </row>
    <row r="364" ht="45" customHeight="1" s="176">
      <c r="A364" s="201" t="inlineStr">
        <is>
          <t>K539</t>
        </is>
      </c>
      <c r="B364" s="201" t="inlineStr">
        <is>
          <t>059-二次</t>
        </is>
      </c>
      <c r="C364" s="201" t="inlineStr">
        <is>
          <t>Eleni</t>
        </is>
      </c>
      <c r="D364" s="202" t="inlineStr">
        <is>
          <t>泛化</t>
        </is>
      </c>
      <c r="E364" s="181" t="inlineStr">
        <is>
          <t>Baseline II vs Video Modeling（探测试次＝未训练情境，空心圆）</t>
        </is>
      </c>
      <c r="F364" s="208" t="inlineStr">
        <is>
          <t>75, 0, 50, 25, 0, 25, 0</t>
        </is>
      </c>
      <c r="G364" s="209">
        <f>IF(F364="","",LEN(F364)-LEN(SUBSTITUTE(F364,",",""))+1)</f>
        <v/>
      </c>
      <c r="H364" s="208" t="inlineStr">
        <is>
          <t>50, 75, 75, 50, 100, 75, 75, 100, 75, 100, 100</t>
        </is>
      </c>
      <c r="I364" s="209">
        <f>IF(H364="","",LEN(H364)-LEN(SUBSTITUTE(H364,",",""))+1)</f>
        <v/>
      </c>
      <c r="J364" s="210" t="inlineStr">
        <is>
          <t>升高改善</t>
        </is>
      </c>
      <c r="K364" s="211" t="n">
        <v>-0.476</v>
      </c>
      <c r="L364" s="211" t="n">
        <v>0.153</v>
      </c>
      <c r="M364" s="209">
        <f>IF(OR(K364="",L364=""),"",IF(AND(L364&lt;0.05,OR(AND(J364="升高改善",K364&gt;0),AND(J364="降低改善",K364&lt;0))),"校正","不校正"))</f>
        <v/>
      </c>
      <c r="N364" s="181" t="inlineStr">
        <is>
          <t>Fig. 1，PDF第8页/印刷552页，Eleni面板（上）；实心点＝训练试次，空心圆＝探测试次</t>
        </is>
      </c>
    </row>
    <row r="365" ht="45" customHeight="1" s="176">
      <c r="A365" s="201" t="inlineStr">
        <is>
          <t>K540</t>
        </is>
      </c>
      <c r="B365" s="201" t="inlineStr">
        <is>
          <t>059-二次</t>
        </is>
      </c>
      <c r="C365" s="201" t="inlineStr">
        <is>
          <t>Billy</t>
        </is>
      </c>
      <c r="D365" s="202" t="inlineStr">
        <is>
          <t>泛化</t>
        </is>
      </c>
      <c r="E365" s="181" t="inlineStr">
        <is>
          <t>Baseline I vs Video Modeling（探测试次＝未训练情境，空心圆）</t>
        </is>
      </c>
      <c r="F365" s="208" t="inlineStr">
        <is>
          <t>0, 0, 10, 0, 0, 0, 0, 0, 0, 0</t>
        </is>
      </c>
      <c r="G365" s="209">
        <f>IF(F365="","",LEN(F365)-LEN(SUBSTITUTE(F365,",",""))+1)</f>
        <v/>
      </c>
      <c r="H365" s="208" t="inlineStr">
        <is>
          <t>0, 0, 0, 0, 25, 0, 100, 75, 75, 75, 100</t>
        </is>
      </c>
      <c r="I365" s="209">
        <f>IF(H365="","",LEN(H365)-LEN(SUBSTITUTE(H365,",",""))+1)</f>
        <v/>
      </c>
      <c r="J365" s="210" t="inlineStr">
        <is>
          <t>升高改善</t>
        </is>
      </c>
      <c r="K365" s="211" t="n">
        <v>-0.248</v>
      </c>
      <c r="L365" s="211" t="n">
        <v>0.384</v>
      </c>
      <c r="M365" s="209">
        <f>IF(OR(K365="",L365=""),"",IF(AND(L365&lt;0.05,OR(AND(J365="升高改善",K365&gt;0),AND(J365="降低改善",K365&lt;0))),"校正","不校正"))</f>
        <v/>
      </c>
      <c r="N365" s="181" t="inlineStr">
        <is>
          <t>Fig. 1，PDF第8页/印刷552页，Billy面板（中）；实心点＝训练试次，空心圆＝探测试次</t>
        </is>
      </c>
    </row>
    <row r="366" ht="45" customHeight="1" s="176">
      <c r="A366" s="201" t="inlineStr">
        <is>
          <t>K541</t>
        </is>
      </c>
      <c r="B366" s="201" t="inlineStr">
        <is>
          <t>059-二次</t>
        </is>
      </c>
      <c r="C366" s="201" t="inlineStr">
        <is>
          <t>Mike</t>
        </is>
      </c>
      <c r="D366" s="202" t="inlineStr">
        <is>
          <t>泛化</t>
        </is>
      </c>
      <c r="E366" s="181" t="inlineStr">
        <is>
          <t>Baseline II vs Video Modeling（探测试次＝未训练情境，空心圆）</t>
        </is>
      </c>
      <c r="F366" s="208" t="inlineStr">
        <is>
          <t>75, 0, 25, 100, 25, 25, 50, 100, 25, 0, 0, 0, 25, 0</t>
        </is>
      </c>
      <c r="G366" s="209">
        <f>IF(F366="","",LEN(F366)-LEN(SUBSTITUTE(F366,",",""))+1)</f>
        <v/>
      </c>
      <c r="H366" s="208" t="inlineStr">
        <is>
          <t>50, 75, 0, 100, 50, 75, 100</t>
        </is>
      </c>
      <c r="I366" s="209">
        <f>IF(H366="","",LEN(H366)-LEN(SUBSTITUTE(H366,",",""))+1)</f>
        <v/>
      </c>
      <c r="J366" s="210" t="inlineStr">
        <is>
          <t>升高改善</t>
        </is>
      </c>
      <c r="K366" s="211" t="n">
        <v>-0.351</v>
      </c>
      <c r="L366" s="211" t="n">
        <v>0.106</v>
      </c>
      <c r="M366" s="209">
        <f>IF(OR(K366="",L366=""),"",IF(AND(L366&lt;0.05,OR(AND(J366="升高改善",K366&gt;0),AND(J366="降低改善",K366&lt;0))),"校正","不校正"))</f>
        <v/>
      </c>
      <c r="N366" s="181" t="inlineStr">
        <is>
          <t>Fig. 1，PDF第8页/印刷552页，Mike面板（下）；实心点＝训练试次，空心圆＝探测试次</t>
        </is>
      </c>
    </row>
    <row r="367" ht="45" customHeight="1" s="176">
      <c r="A367" s="201" t="inlineStr">
        <is>
          <t>K542</t>
        </is>
      </c>
      <c r="B367" s="201" t="inlineStr">
        <is>
          <t>068-二次</t>
        </is>
      </c>
      <c r="C367" s="201" t="inlineStr">
        <is>
          <t>Z</t>
        </is>
      </c>
      <c r="D367" s="202" t="inlineStr">
        <is>
          <t>干预</t>
        </is>
      </c>
      <c r="E367" s="181" t="inlineStr">
        <is>
          <t>基线期A vs 交替处理期B中的录像示范点（实线）</t>
        </is>
      </c>
      <c r="F367" s="208" t="inlineStr">
        <is>
          <t>3, 2, 2</t>
        </is>
      </c>
      <c r="G367" s="209">
        <f>IF(F367="","",LEN(F367)-LEN(SUBSTITUTE(F367,",",""))+1)</f>
        <v/>
      </c>
      <c r="H367" s="208" t="inlineStr">
        <is>
          <t>6, 11, 9, 11, 10</t>
        </is>
      </c>
      <c r="I367" s="209">
        <f>IF(H367="","",LEN(H367)-LEN(SUBSTITUTE(H367,",",""))+1)</f>
        <v/>
      </c>
      <c r="J367" s="210" t="inlineStr">
        <is>
          <t>升高改善</t>
        </is>
      </c>
      <c r="K367" s="211" t="n">
        <v>-0.8159999999999999</v>
      </c>
      <c r="L367" s="211" t="n">
        <v>0.221</v>
      </c>
      <c r="M367" s="209">
        <f>IF(OR(K367="",L367=""),"",IF(AND(L367&lt;0.05,OR(AND(J367="升高改善",K367&gt;0),AND(J367="降低改善",K367&lt;0))),"校正","不校正"))</f>
        <v/>
      </c>
      <c r="N367" s="181" t="inlineStr">
        <is>
          <t>图3，PDF第5页/印刷19页，被试Z面板（上）；实线圆点＝VM（取），虚线圆点＝in-vivo（不取）</t>
        </is>
      </c>
    </row>
    <row r="368" ht="45" customHeight="1" s="176">
      <c r="A368" s="201" t="inlineStr">
        <is>
          <t>K543</t>
        </is>
      </c>
      <c r="B368" s="201" t="inlineStr">
        <is>
          <t>068-二次</t>
        </is>
      </c>
      <c r="C368" s="201" t="inlineStr">
        <is>
          <t>M</t>
        </is>
      </c>
      <c r="D368" s="202" t="inlineStr">
        <is>
          <t>干预</t>
        </is>
      </c>
      <c r="E368" s="181" t="inlineStr">
        <is>
          <t>基线期A vs 交替处理期B中的录像示范点（实线）</t>
        </is>
      </c>
      <c r="F368" s="208" t="inlineStr">
        <is>
          <t>2, 2, 2, 3, 3</t>
        </is>
      </c>
      <c r="G368" s="209">
        <f>IF(F368="","",LEN(F368)-LEN(SUBSTITUTE(F368,",",""))+1)</f>
        <v/>
      </c>
      <c r="H368" s="208" t="inlineStr">
        <is>
          <t>4, 6, 9, 10, 9</t>
        </is>
      </c>
      <c r="I368" s="209">
        <f>IF(H368="","",LEN(H368)-LEN(SUBSTITUTE(H368,",",""))+1)</f>
        <v/>
      </c>
      <c r="J368" s="210" t="inlineStr">
        <is>
          <t>升高改善</t>
        </is>
      </c>
      <c r="K368" s="211" t="n">
        <v>0.775</v>
      </c>
      <c r="L368" s="211" t="n">
        <v>0.083</v>
      </c>
      <c r="M368" s="209">
        <f>IF(OR(K368="",L368=""),"",IF(AND(L368&lt;0.05,OR(AND(J368="升高改善",K368&gt;0),AND(J368="降低改善",K368&lt;0))),"校正","不校正"))</f>
        <v/>
      </c>
      <c r="N368" s="181" t="inlineStr">
        <is>
          <t>图3，PDF第5页/印刷19页，被试M面板（中）；实线圆点＝VM（取），虚线圆点＝in-vivo（不取）</t>
        </is>
      </c>
    </row>
    <row r="369" ht="45" customHeight="1" s="176">
      <c r="A369" s="201" t="inlineStr">
        <is>
          <t>K544</t>
        </is>
      </c>
      <c r="B369" s="201" t="inlineStr">
        <is>
          <t>068-二次</t>
        </is>
      </c>
      <c r="C369" s="201" t="inlineStr">
        <is>
          <t>Y</t>
        </is>
      </c>
      <c r="D369" s="202" t="inlineStr">
        <is>
          <t>干预</t>
        </is>
      </c>
      <c r="E369" s="181" t="inlineStr">
        <is>
          <t>基线期A vs 交替处理期B中的录像示范点（实线）</t>
        </is>
      </c>
      <c r="F369" s="208" t="inlineStr">
        <is>
          <t>1, 1, 1, 2, 1</t>
        </is>
      </c>
      <c r="G369" s="209">
        <f>IF(F369="","",LEN(F369)-LEN(SUBSTITUTE(F369,",",""))+1)</f>
        <v/>
      </c>
      <c r="H369" s="208" t="inlineStr">
        <is>
          <t>3, 4, 4, 5, 9</t>
        </is>
      </c>
      <c r="I369" s="209">
        <f>IF(H369="","",LEN(H369)-LEN(SUBSTITUTE(H369,",",""))+1)</f>
        <v/>
      </c>
      <c r="J369" s="210" t="inlineStr">
        <is>
          <t>升高改善</t>
        </is>
      </c>
      <c r="K369" s="211" t="n">
        <v>0.316</v>
      </c>
      <c r="L369" s="211" t="n">
        <v>0.48</v>
      </c>
      <c r="M369" s="209">
        <f>IF(OR(K369="",L369=""),"",IF(AND(L369&lt;0.05,OR(AND(J369="升高改善",K369&gt;0),AND(J369="降低改善",K369&lt;0))),"校正","不校正"))</f>
        <v/>
      </c>
      <c r="N369" s="181" t="inlineStr">
        <is>
          <t>图3，PDF第5页/印刷19页，被试Y面板（下）；实线圆点＝VM（取），虚线圆点＝in-vivo（不取）</t>
        </is>
      </c>
    </row>
    <row r="370" ht="45" customHeight="1" s="176">
      <c r="A370" s="201" t="inlineStr">
        <is>
          <t>K545</t>
        </is>
      </c>
      <c r="B370" s="201" t="inlineStr">
        <is>
          <t>068-二次</t>
        </is>
      </c>
      <c r="C370" s="201" t="inlineStr">
        <is>
          <t>Z</t>
        </is>
      </c>
      <c r="D370" s="202" t="inlineStr">
        <is>
          <t>维持</t>
        </is>
      </c>
      <c r="E370" s="181" t="inlineStr">
        <is>
          <t>基线期A vs 维持期G（在最佳处理期录像示范之后）</t>
        </is>
      </c>
      <c r="F370" s="208" t="inlineStr">
        <is>
          <t>3, 2, 2</t>
        </is>
      </c>
      <c r="G370" s="209">
        <f>IF(F370="","",LEN(F370)-LEN(SUBSTITUTE(F370,",",""))+1)</f>
        <v/>
      </c>
      <c r="H370" s="208" t="inlineStr">
        <is>
          <t>30, 25, 29</t>
        </is>
      </c>
      <c r="I370" s="209">
        <f>IF(H370="","",LEN(H370)-LEN(SUBSTITUTE(H370,",",""))+1)</f>
        <v/>
      </c>
      <c r="J370" s="210" t="inlineStr">
        <is>
          <t>升高改善</t>
        </is>
      </c>
      <c r="K370" s="211" t="n">
        <v>-0.8159999999999999</v>
      </c>
      <c r="L370" s="211" t="n">
        <v>0.221</v>
      </c>
      <c r="M370" s="209">
        <f>IF(OR(K370="",L370=""),"",IF(AND(L370&lt;0.05,OR(AND(J370="升高改善",K370&gt;0),AND(J370="降低改善",K370&lt;0))),"校正","不校正"))</f>
        <v/>
      </c>
      <c r="N370" s="181" t="inlineStr">
        <is>
          <t>图3，PDF第5页/印刷19页，被试Z面板（上）；维持期G方块</t>
        </is>
      </c>
    </row>
    <row r="371" ht="45" customHeight="1" s="176">
      <c r="A371" s="201" t="inlineStr">
        <is>
          <t>K546</t>
        </is>
      </c>
      <c r="B371" s="201" t="inlineStr">
        <is>
          <t>068-二次</t>
        </is>
      </c>
      <c r="C371" s="201" t="inlineStr">
        <is>
          <t>M</t>
        </is>
      </c>
      <c r="D371" s="202" t="inlineStr">
        <is>
          <t>维持</t>
        </is>
      </c>
      <c r="E371" s="181" t="inlineStr">
        <is>
          <t>基线期A vs 维持期G（在最佳处理期录像示范之后）</t>
        </is>
      </c>
      <c r="F371" s="208" t="inlineStr">
        <is>
          <t>2, 2, 2, 3, 3</t>
        </is>
      </c>
      <c r="G371" s="209">
        <f>IF(F371="","",LEN(F371)-LEN(SUBSTITUTE(F371,",",""))+1)</f>
        <v/>
      </c>
      <c r="H371" s="208" t="inlineStr">
        <is>
          <t>23, 21, 25</t>
        </is>
      </c>
      <c r="I371" s="209">
        <f>IF(H371="","",LEN(H371)-LEN(SUBSTITUTE(H371,",",""))+1)</f>
        <v/>
      </c>
      <c r="J371" s="210" t="inlineStr">
        <is>
          <t>升高改善</t>
        </is>
      </c>
      <c r="K371" s="211" t="n">
        <v>0.775</v>
      </c>
      <c r="L371" s="211" t="n">
        <v>0.083</v>
      </c>
      <c r="M371" s="209">
        <f>IF(OR(K371="",L371=""),"",IF(AND(L371&lt;0.05,OR(AND(J371="升高改善",K371&gt;0),AND(J371="降低改善",K371&lt;0))),"校正","不校正"))</f>
        <v/>
      </c>
      <c r="N371" s="181" t="inlineStr">
        <is>
          <t>图3，PDF第5页/印刷19页，被试M面板（中）；维持期G方块</t>
        </is>
      </c>
    </row>
    <row r="372" ht="45" customHeight="1" s="176">
      <c r="A372" s="201" t="inlineStr">
        <is>
          <t>K547</t>
        </is>
      </c>
      <c r="B372" s="201" t="inlineStr">
        <is>
          <t>068-二次</t>
        </is>
      </c>
      <c r="C372" s="201" t="inlineStr">
        <is>
          <t>Y</t>
        </is>
      </c>
      <c r="D372" s="202" t="inlineStr">
        <is>
          <t>维持</t>
        </is>
      </c>
      <c r="E372" s="181" t="inlineStr">
        <is>
          <t>基线期A vs 维持期G（在最佳处理期录像示范之后）</t>
        </is>
      </c>
      <c r="F372" s="208" t="inlineStr">
        <is>
          <t>1, 1, 1, 2, 1</t>
        </is>
      </c>
      <c r="G372" s="209">
        <f>IF(F372="","",LEN(F372)-LEN(SUBSTITUTE(F372,",",""))+1)</f>
        <v/>
      </c>
      <c r="H372" s="208" t="inlineStr">
        <is>
          <t>14, 12, 15</t>
        </is>
      </c>
      <c r="I372" s="209">
        <f>IF(H372="","",LEN(H372)-LEN(SUBSTITUTE(H372,",",""))+1)</f>
        <v/>
      </c>
      <c r="J372" s="210" t="inlineStr">
        <is>
          <t>升高改善</t>
        </is>
      </c>
      <c r="K372" s="211" t="n">
        <v>0.316</v>
      </c>
      <c r="L372" s="211" t="n">
        <v>0.48</v>
      </c>
      <c r="M372" s="209">
        <f>IF(OR(K372="",L372=""),"",IF(AND(L372&lt;0.05,OR(AND(J372="升高改善",K372&gt;0),AND(J372="降低改善",K372&lt;0))),"校正","不校正"))</f>
        <v/>
      </c>
      <c r="N372" s="181" t="inlineStr">
        <is>
          <t>图3，PDF第5页/印刷19页，被试Y面板（下）；维持期G方块</t>
        </is>
      </c>
    </row>
    <row r="373" ht="45" customHeight="1" s="176">
      <c r="A373" s="201" t="inlineStr">
        <is>
          <t>K548</t>
        </is>
      </c>
      <c r="B373" s="201" t="inlineStr">
        <is>
          <t>01-补充</t>
        </is>
      </c>
      <c r="C373" s="201" t="inlineStr">
        <is>
          <t>Anan</t>
        </is>
      </c>
      <c r="D373" s="202" t="inlineStr">
        <is>
          <t>干预</t>
        </is>
      </c>
      <c r="E373" s="181" t="inlineStr">
        <is>
          <t>基线 vs 第一次交替期中的动画视频点（实心方块）</t>
        </is>
      </c>
      <c r="F373" s="208" t="inlineStr">
        <is>
          <t>1, 2, 2, 2, 2</t>
        </is>
      </c>
      <c r="G373" s="209">
        <f>IF(F373="","",LEN(F373)-LEN(SUBSTITUTE(F373,",",""))+1)</f>
        <v/>
      </c>
      <c r="H373" s="208" t="inlineStr">
        <is>
          <t>5, 4, 6, 5, 6, 7</t>
        </is>
      </c>
      <c r="I373" s="209">
        <f>IF(H373="","",LEN(H373)-LEN(SUBSTITUTE(H373,",",""))+1)</f>
        <v/>
      </c>
      <c r="J373" s="210" t="inlineStr">
        <is>
          <t>升高改善</t>
        </is>
      </c>
      <c r="K373" s="211" t="n">
        <v>0.632</v>
      </c>
      <c r="L373" s="211" t="n">
        <v>0.157</v>
      </c>
      <c r="M373" s="209">
        <f>IF(OR(K373="",L373=""),"",IF(AND(L373&lt;0.05,OR(AND(J373="升高改善",K373&gt;0),AND(J373="降低改善",K373&lt;0))),"校正","不校正"))</f>
        <v/>
      </c>
      <c r="N373" s="181" t="inlineStr">
        <is>
          <t>Figure 5，PDF第16页/印刷227页，Anan面板（上）；实心圆＝基线，实心方块＝动画视频，实心三角＝成人视频</t>
        </is>
      </c>
    </row>
    <row r="374" ht="45" customHeight="1" s="176">
      <c r="A374" s="201" t="inlineStr">
        <is>
          <t>K549</t>
        </is>
      </c>
      <c r="B374" s="201" t="inlineStr">
        <is>
          <t>01-补充</t>
        </is>
      </c>
      <c r="C374" s="201" t="inlineStr">
        <is>
          <t>Anan</t>
        </is>
      </c>
      <c r="D374" s="202" t="inlineStr">
        <is>
          <t>干预</t>
        </is>
      </c>
      <c r="E374" s="181" t="inlineStr">
        <is>
          <t>基线 vs 第一次交替期中的成人视频点（实心三角）</t>
        </is>
      </c>
      <c r="F374" s="208" t="inlineStr">
        <is>
          <t>1, 2, 2, 2, 2</t>
        </is>
      </c>
      <c r="G374" s="209">
        <f>IF(F374="","",LEN(F374)-LEN(SUBSTITUTE(F374,",",""))+1)</f>
        <v/>
      </c>
      <c r="H374" s="208" t="inlineStr">
        <is>
          <t>4, 4, 5, 4, 7, 6</t>
        </is>
      </c>
      <c r="I374" s="209">
        <f>IF(H374="","",LEN(H374)-LEN(SUBSTITUTE(H374,",",""))+1)</f>
        <v/>
      </c>
      <c r="J374" s="210" t="inlineStr">
        <is>
          <t>升高改善</t>
        </is>
      </c>
      <c r="K374" s="211" t="n">
        <v>0.632</v>
      </c>
      <c r="L374" s="211" t="n">
        <v>0.157</v>
      </c>
      <c r="M374" s="209">
        <f>IF(OR(K374="",L374=""),"",IF(AND(L374&lt;0.05,OR(AND(J374="升高改善",K374&gt;0),AND(J374="降低改善",K374&lt;0))),"校正","不校正"))</f>
        <v/>
      </c>
      <c r="N374" s="181" t="inlineStr">
        <is>
          <t>Figure 5，PDF第16页/印刷227页，Anan面板（上）；实心圆＝基线，实心方块＝动画视频，实心三角＝成人视频</t>
        </is>
      </c>
    </row>
    <row r="375" ht="45" customHeight="1" s="176">
      <c r="A375" s="201" t="inlineStr">
        <is>
          <t>K550</t>
        </is>
      </c>
      <c r="B375" s="201" t="inlineStr">
        <is>
          <t>01-补充</t>
        </is>
      </c>
      <c r="C375" s="201" t="inlineStr">
        <is>
          <t>Bobo</t>
        </is>
      </c>
      <c r="D375" s="202" t="inlineStr">
        <is>
          <t>干预</t>
        </is>
      </c>
      <c r="E375" s="181" t="inlineStr">
        <is>
          <t>基线 vs 第一次交替期中的动画视频点（实心方块）</t>
        </is>
      </c>
      <c r="F375" s="208" t="inlineStr">
        <is>
          <t>2, 3, 3, 3, 3</t>
        </is>
      </c>
      <c r="G375" s="209">
        <f>IF(F375="","",LEN(F375)-LEN(SUBSTITUTE(F375,",",""))+1)</f>
        <v/>
      </c>
      <c r="H375" s="208" t="inlineStr">
        <is>
          <t>9, 3, 6, 11, 11, 12</t>
        </is>
      </c>
      <c r="I375" s="209">
        <f>IF(H375="","",LEN(H375)-LEN(SUBSTITUTE(H375,",",""))+1)</f>
        <v/>
      </c>
      <c r="J375" s="210" t="inlineStr">
        <is>
          <t>升高改善</t>
        </is>
      </c>
      <c r="K375" s="211" t="n">
        <v>0.632</v>
      </c>
      <c r="L375" s="211" t="n">
        <v>0.157</v>
      </c>
      <c r="M375" s="209">
        <f>IF(OR(K375="",L375=""),"",IF(AND(L375&lt;0.05,OR(AND(J375="升高改善",K375&gt;0),AND(J375="降低改善",K375&lt;0))),"校正","不校正"))</f>
        <v/>
      </c>
      <c r="N375" s="181" t="inlineStr">
        <is>
          <t>Figure 5，PDF第16页/印刷227页，Bobo面板（中）；实心圆＝基线，实心方块＝动画视频，实心三角＝成人视频</t>
        </is>
      </c>
    </row>
    <row r="376" ht="45" customHeight="1" s="176">
      <c r="A376" s="201" t="inlineStr">
        <is>
          <t>K551</t>
        </is>
      </c>
      <c r="B376" s="201" t="inlineStr">
        <is>
          <t>01-补充</t>
        </is>
      </c>
      <c r="C376" s="201" t="inlineStr">
        <is>
          <t>Bobo</t>
        </is>
      </c>
      <c r="D376" s="202" t="inlineStr">
        <is>
          <t>干预</t>
        </is>
      </c>
      <c r="E376" s="181" t="inlineStr">
        <is>
          <t>基线 vs 第一次交替期中的成人视频点（实心三角）</t>
        </is>
      </c>
      <c r="F376" s="208" t="inlineStr">
        <is>
          <t>2, 3, 3, 3, 3</t>
        </is>
      </c>
      <c r="G376" s="209">
        <f>IF(F376="","",LEN(F376)-LEN(SUBSTITUTE(F376,",",""))+1)</f>
        <v/>
      </c>
      <c r="H376" s="208" t="inlineStr">
        <is>
          <t>3, 2, 6, 5, 9, 12</t>
        </is>
      </c>
      <c r="I376" s="209">
        <f>IF(H376="","",LEN(H376)-LEN(SUBSTITUTE(H376,",",""))+1)</f>
        <v/>
      </c>
      <c r="J376" s="210" t="inlineStr">
        <is>
          <t>升高改善</t>
        </is>
      </c>
      <c r="K376" s="211" t="n">
        <v>0.632</v>
      </c>
      <c r="L376" s="211" t="n">
        <v>0.157</v>
      </c>
      <c r="M376" s="209">
        <f>IF(OR(K376="",L376=""),"",IF(AND(L376&lt;0.05,OR(AND(J376="升高改善",K376&gt;0),AND(J376="降低改善",K376&lt;0))),"校正","不校正"))</f>
        <v/>
      </c>
      <c r="N376" s="181" t="inlineStr">
        <is>
          <t>Figure 5，PDF第16页/印刷227页，Bobo面板（中）；实心圆＝基线，实心方块＝动画视频，实心三角＝成人视频</t>
        </is>
      </c>
    </row>
    <row r="377" ht="45" customHeight="1" s="176">
      <c r="A377" s="201" t="inlineStr">
        <is>
          <t>K552</t>
        </is>
      </c>
      <c r="B377" s="201" t="inlineStr">
        <is>
          <t>01-补充</t>
        </is>
      </c>
      <c r="C377" s="201" t="inlineStr">
        <is>
          <t>Cici</t>
        </is>
      </c>
      <c r="D377" s="202" t="inlineStr">
        <is>
          <t>干预</t>
        </is>
      </c>
      <c r="E377" s="181" t="inlineStr">
        <is>
          <t>基线 vs 第一次交替期中的动画视频点（实心方块）</t>
        </is>
      </c>
      <c r="F377" s="208" t="inlineStr">
        <is>
          <t>1, 0, 1, 2, 1, 1, 1, 1</t>
        </is>
      </c>
      <c r="G377" s="209">
        <f>IF(F377="","",LEN(F377)-LEN(SUBSTITUTE(F377,",",""))+1)</f>
        <v/>
      </c>
      <c r="H377" s="208" t="inlineStr">
        <is>
          <t>4, 3, 4, 5, 5, 7</t>
        </is>
      </c>
      <c r="I377" s="209">
        <f>IF(H377="","",LEN(H377)-LEN(SUBSTITUTE(H377,",",""))+1)</f>
        <v/>
      </c>
      <c r="J377" s="210" t="inlineStr">
        <is>
          <t>升高改善</t>
        </is>
      </c>
      <c r="K377" s="211" t="n">
        <v>0.157</v>
      </c>
      <c r="L377" s="211" t="n">
        <v>0.622</v>
      </c>
      <c r="M377" s="209">
        <f>IF(OR(K377="",L377=""),"",IF(AND(L377&lt;0.05,OR(AND(J377="升高改善",K377&gt;0),AND(J377="降低改善",K377&lt;0))),"校正","不校正"))</f>
        <v/>
      </c>
      <c r="N377" s="181" t="inlineStr">
        <is>
          <t>Figure 5，PDF第16页/印刷227页，Cici面板（下）；实心圆＝基线，实心方块＝动画视频，实心三角＝成人视频</t>
        </is>
      </c>
    </row>
    <row r="378" ht="45" customHeight="1" s="176">
      <c r="A378" s="201" t="inlineStr">
        <is>
          <t>K553</t>
        </is>
      </c>
      <c r="B378" s="201" t="inlineStr">
        <is>
          <t>01-补充</t>
        </is>
      </c>
      <c r="C378" s="201" t="inlineStr">
        <is>
          <t>Cici</t>
        </is>
      </c>
      <c r="D378" s="202" t="inlineStr">
        <is>
          <t>干预</t>
        </is>
      </c>
      <c r="E378" s="181" t="inlineStr">
        <is>
          <t>基线 vs 第一次交替期中的成人视频点（实心三角）</t>
        </is>
      </c>
      <c r="F378" s="208" t="inlineStr">
        <is>
          <t>1, 0, 1, 2, 1, 1, 1, 1</t>
        </is>
      </c>
      <c r="G378" s="209">
        <f>IF(F378="","",LEN(F378)-LEN(SUBSTITUTE(F378,",",""))+1)</f>
        <v/>
      </c>
      <c r="H378" s="208" t="inlineStr">
        <is>
          <t>3, 3, 4, 3, 5, 4</t>
        </is>
      </c>
      <c r="I378" s="209">
        <f>IF(H378="","",LEN(H378)-LEN(SUBSTITUTE(H378,",",""))+1)</f>
        <v/>
      </c>
      <c r="J378" s="210" t="inlineStr">
        <is>
          <t>升高改善</t>
        </is>
      </c>
      <c r="K378" s="211" t="n">
        <v>0.157</v>
      </c>
      <c r="L378" s="211" t="n">
        <v>0.622</v>
      </c>
      <c r="M378" s="209">
        <f>IF(OR(K378="",L378=""),"",IF(AND(L378&lt;0.05,OR(AND(J378="升高改善",K378&gt;0),AND(J378="降低改善",K378&lt;0))),"校正","不校正"))</f>
        <v/>
      </c>
      <c r="N378" s="181" t="inlineStr">
        <is>
          <t>Figure 5，PDF第16页/印刷227页，Cici面板（下）；实心圆＝基线，实心方块＝动画视频，实心三角＝成人视频</t>
        </is>
      </c>
    </row>
    <row r="379" ht="45" customHeight="1" s="176">
      <c r="A379" s="201" t="inlineStr">
        <is>
          <t>K554</t>
        </is>
      </c>
      <c r="B379" s="201" t="inlineStr">
        <is>
          <t>01-补充</t>
        </is>
      </c>
      <c r="C379" s="201" t="inlineStr">
        <is>
          <t>Anan</t>
        </is>
      </c>
      <c r="D379" s="202" t="inlineStr">
        <is>
          <t>干预</t>
        </is>
      </c>
      <c r="E379" s="181" t="inlineStr">
        <is>
          <t>基线 vs 第一次交替期中的动画视频点（实心方块）</t>
        </is>
      </c>
      <c r="F379" s="208" t="inlineStr">
        <is>
          <t>0, 0, 0, 1, 0</t>
        </is>
      </c>
      <c r="G379" s="209">
        <f>IF(F379="","",LEN(F379)-LEN(SUBSTITUTE(F379,",",""))+1)</f>
        <v/>
      </c>
      <c r="H379" s="208" t="inlineStr">
        <is>
          <t>3, 3, 2, 3, 2, 3</t>
        </is>
      </c>
      <c r="I379" s="209">
        <f>IF(H379="","",LEN(H379)-LEN(SUBSTITUTE(H379,",",""))+1)</f>
        <v/>
      </c>
      <c r="J379" s="210" t="inlineStr">
        <is>
          <t>升高改善</t>
        </is>
      </c>
      <c r="K379" s="211" t="n">
        <v>0.316</v>
      </c>
      <c r="L379" s="211" t="n">
        <v>0.48</v>
      </c>
      <c r="M379" s="209">
        <f>IF(OR(K379="",L379=""),"",IF(AND(L379&lt;0.05,OR(AND(J379="升高改善",K379&gt;0),AND(J379="降低改善",K379&lt;0))),"校正","不校正"))</f>
        <v/>
      </c>
      <c r="N379" s="181" t="inlineStr">
        <is>
          <t>Figure 6，PDF第17页/印刷228页，Anan面板（上）；实心圆＝基线，实心方块＝动画视频，实心三角＝成人视频</t>
        </is>
      </c>
    </row>
    <row r="380" ht="45" customHeight="1" s="176">
      <c r="A380" s="201" t="inlineStr">
        <is>
          <t>K555</t>
        </is>
      </c>
      <c r="B380" s="201" t="inlineStr">
        <is>
          <t>01-补充</t>
        </is>
      </c>
      <c r="C380" s="201" t="inlineStr">
        <is>
          <t>Anan</t>
        </is>
      </c>
      <c r="D380" s="202" t="inlineStr">
        <is>
          <t>干预</t>
        </is>
      </c>
      <c r="E380" s="181" t="inlineStr">
        <is>
          <t>基线 vs 第一次交替期中的成人视频点（实心三角）</t>
        </is>
      </c>
      <c r="F380" s="208" t="inlineStr">
        <is>
          <t>0, 0, 0, 1, 0</t>
        </is>
      </c>
      <c r="G380" s="209">
        <f>IF(F380="","",LEN(F380)-LEN(SUBSTITUTE(F380,",",""))+1)</f>
        <v/>
      </c>
      <c r="H380" s="208" t="inlineStr">
        <is>
          <t>0, 0, 1, 3, 1, 2</t>
        </is>
      </c>
      <c r="I380" s="209">
        <f>IF(H380="","",LEN(H380)-LEN(SUBSTITUTE(H380,",",""))+1)</f>
        <v/>
      </c>
      <c r="J380" s="210" t="inlineStr">
        <is>
          <t>升高改善</t>
        </is>
      </c>
      <c r="K380" s="211" t="n">
        <v>0.316</v>
      </c>
      <c r="L380" s="211" t="n">
        <v>0.48</v>
      </c>
      <c r="M380" s="209">
        <f>IF(OR(K380="",L380=""),"",IF(AND(L380&lt;0.05,OR(AND(J380="升高改善",K380&gt;0),AND(J380="降低改善",K380&lt;0))),"校正","不校正"))</f>
        <v/>
      </c>
      <c r="N380" s="181" t="inlineStr">
        <is>
          <t>Figure 6，PDF第17页/印刷228页，Anan面板（上）；实心圆＝基线，实心方块＝动画视频，实心三角＝成人视频</t>
        </is>
      </c>
    </row>
    <row r="381" ht="45" customHeight="1" s="176">
      <c r="A381" s="201" t="inlineStr">
        <is>
          <t>K556</t>
        </is>
      </c>
      <c r="B381" s="201" t="inlineStr">
        <is>
          <t>01-补充</t>
        </is>
      </c>
      <c r="C381" s="201" t="inlineStr">
        <is>
          <t>Bobo</t>
        </is>
      </c>
      <c r="D381" s="202" t="inlineStr">
        <is>
          <t>干预</t>
        </is>
      </c>
      <c r="E381" s="181" t="inlineStr">
        <is>
          <t>基线 vs 第一次交替期中的动画视频点（实心方块）</t>
        </is>
      </c>
      <c r="F381" s="208" t="inlineStr">
        <is>
          <t>0, 1, 0, 0, 0</t>
        </is>
      </c>
      <c r="G381" s="209">
        <f>IF(F381="","",LEN(F381)-LEN(SUBSTITUTE(F381,",",""))+1)</f>
        <v/>
      </c>
      <c r="H381" s="208" t="inlineStr">
        <is>
          <t>1, 5, 3, 3, 5, 4</t>
        </is>
      </c>
      <c r="I381" s="209">
        <f>IF(H381="","",LEN(H381)-LEN(SUBSTITUTE(H381,",",""))+1)</f>
        <v/>
      </c>
      <c r="J381" s="210" t="inlineStr">
        <is>
          <t>升高改善</t>
        </is>
      </c>
      <c r="K381" s="211" t="n">
        <v>-0.316</v>
      </c>
      <c r="L381" s="211" t="n">
        <v>0.48</v>
      </c>
      <c r="M381" s="209">
        <f>IF(OR(K381="",L381=""),"",IF(AND(L381&lt;0.05,OR(AND(J381="升高改善",K381&gt;0),AND(J381="降低改善",K381&lt;0))),"校正","不校正"))</f>
        <v/>
      </c>
      <c r="N381" s="181" t="inlineStr">
        <is>
          <t>Figure 6，PDF第17页/印刷228页，Bobo面板（中）；实心圆＝基线，实心方块＝动画视频，实心三角＝成人视频</t>
        </is>
      </c>
    </row>
    <row r="382" ht="45" customHeight="1" s="176">
      <c r="A382" s="201" t="inlineStr">
        <is>
          <t>K557</t>
        </is>
      </c>
      <c r="B382" s="201" t="inlineStr">
        <is>
          <t>01-补充</t>
        </is>
      </c>
      <c r="C382" s="201" t="inlineStr">
        <is>
          <t>Bobo</t>
        </is>
      </c>
      <c r="D382" s="202" t="inlineStr">
        <is>
          <t>干预</t>
        </is>
      </c>
      <c r="E382" s="181" t="inlineStr">
        <is>
          <t>基线 vs 第一次交替期中的成人视频点（实心三角）</t>
        </is>
      </c>
      <c r="F382" s="208" t="inlineStr">
        <is>
          <t>0, 1, 0, 0, 0</t>
        </is>
      </c>
      <c r="G382" s="209">
        <f>IF(F382="","",LEN(F382)-LEN(SUBSTITUTE(F382,",",""))+1)</f>
        <v/>
      </c>
      <c r="H382" s="208" t="inlineStr">
        <is>
          <t>1, 3, 3, 2, 4, 2</t>
        </is>
      </c>
      <c r="I382" s="209">
        <f>IF(H382="","",LEN(H382)-LEN(SUBSTITUTE(H382,",",""))+1)</f>
        <v/>
      </c>
      <c r="J382" s="210" t="inlineStr">
        <is>
          <t>升高改善</t>
        </is>
      </c>
      <c r="K382" s="211" t="n">
        <v>-0.316</v>
      </c>
      <c r="L382" s="211" t="n">
        <v>0.48</v>
      </c>
      <c r="M382" s="209">
        <f>IF(OR(K382="",L382=""),"",IF(AND(L382&lt;0.05,OR(AND(J382="升高改善",K382&gt;0),AND(J382="降低改善",K382&lt;0))),"校正","不校正"))</f>
        <v/>
      </c>
      <c r="N382" s="181" t="inlineStr">
        <is>
          <t>Figure 6，PDF第17页/印刷228页，Bobo面板（中）；实心圆＝基线，实心方块＝动画视频，实心三角＝成人视频</t>
        </is>
      </c>
    </row>
    <row r="383" ht="45" customHeight="1" s="176">
      <c r="A383" s="201" t="inlineStr">
        <is>
          <t>K558</t>
        </is>
      </c>
      <c r="B383" s="201" t="inlineStr">
        <is>
          <t>01-补充</t>
        </is>
      </c>
      <c r="C383" s="201" t="inlineStr">
        <is>
          <t>Cici</t>
        </is>
      </c>
      <c r="D383" s="202" t="inlineStr">
        <is>
          <t>干预</t>
        </is>
      </c>
      <c r="E383" s="181" t="inlineStr">
        <is>
          <t>基线 vs 第一次交替期中的动画视频点（实心方块）</t>
        </is>
      </c>
      <c r="F383" s="208" t="inlineStr">
        <is>
          <t>0, 0, 0, 0, 0, 0, 0, 0</t>
        </is>
      </c>
      <c r="G383" s="209">
        <f>IF(F383="","",LEN(F383)-LEN(SUBSTITUTE(F383,",",""))+1)</f>
        <v/>
      </c>
      <c r="H383" s="208" t="inlineStr">
        <is>
          <t>0, 1, 2, 3, 3, 2</t>
        </is>
      </c>
      <c r="I383" s="209">
        <f>IF(H383="","",LEN(H383)-LEN(SUBSTITUTE(H383,",",""))+1)</f>
        <v/>
      </c>
      <c r="J383" s="210" t="inlineStr">
        <is>
          <t>升高改善</t>
        </is>
      </c>
      <c r="K383" s="211" t="n">
        <v>0</v>
      </c>
      <c r="L383" s="211" t="n">
        <v>1</v>
      </c>
      <c r="M383" s="209">
        <f>IF(OR(K383="",L383=""),"",IF(AND(L383&lt;0.05,OR(AND(J383="升高改善",K383&gt;0),AND(J383="降低改善",K383&lt;0))),"校正","不校正"))</f>
        <v/>
      </c>
      <c r="N383" s="181" t="inlineStr">
        <is>
          <t>Figure 6，PDF第17页/印刷228页，Cici面板（下）；实心圆＝基线，实心方块＝动画视频，实心三角＝成人视频</t>
        </is>
      </c>
    </row>
    <row r="384" ht="45" customHeight="1" s="176">
      <c r="A384" s="201" t="inlineStr">
        <is>
          <t>K559</t>
        </is>
      </c>
      <c r="B384" s="201" t="inlineStr">
        <is>
          <t>01-补充</t>
        </is>
      </c>
      <c r="C384" s="201" t="inlineStr">
        <is>
          <t>Cici</t>
        </is>
      </c>
      <c r="D384" s="202" t="inlineStr">
        <is>
          <t>干预</t>
        </is>
      </c>
      <c r="E384" s="181" t="inlineStr">
        <is>
          <t>基线 vs 第一次交替期中的成人视频点（实心三角）</t>
        </is>
      </c>
      <c r="F384" s="208" t="inlineStr">
        <is>
          <t>0, 0, 0, 0, 0, 0, 0, 0</t>
        </is>
      </c>
      <c r="G384" s="209">
        <f>IF(F384="","",LEN(F384)-LEN(SUBSTITUTE(F384,",",""))+1)</f>
        <v/>
      </c>
      <c r="H384" s="208" t="inlineStr">
        <is>
          <t>1, 2, 3, 3, 3, 3</t>
        </is>
      </c>
      <c r="I384" s="209">
        <f>IF(H384="","",LEN(H384)-LEN(SUBSTITUTE(H384,",",""))+1)</f>
        <v/>
      </c>
      <c r="J384" s="210" t="inlineStr">
        <is>
          <t>升高改善</t>
        </is>
      </c>
      <c r="K384" s="211" t="n">
        <v>0</v>
      </c>
      <c r="L384" s="211" t="n">
        <v>1</v>
      </c>
      <c r="M384" s="209">
        <f>IF(OR(K384="",L384=""),"",IF(AND(L384&lt;0.05,OR(AND(J384="升高改善",K384&gt;0),AND(J384="降低改善",K384&lt;0))),"校正","不校正"))</f>
        <v/>
      </c>
      <c r="N384" s="181" t="inlineStr">
        <is>
          <t>Figure 6，PDF第17页/印刷228页，Cici面板（下）；实心圆＝基线，实心方块＝动画视频，实心三角＝成人视频</t>
        </is>
      </c>
    </row>
    <row r="385" ht="45" customHeight="1" s="176">
      <c r="A385" s="221" t="inlineStr">
        <is>
          <t>K564</t>
        </is>
      </c>
      <c r="B385" s="221" t="inlineStr">
        <is>
          <t>002-滚雪球</t>
        </is>
      </c>
      <c r="C385" s="221" t="inlineStr">
        <is>
          <t>Nick</t>
        </is>
      </c>
      <c r="D385" s="222" t="inlineStr">
        <is>
          <t>干预</t>
        </is>
      </c>
      <c r="E385" s="223" t="inlineStr">
        <is>
          <t>原购物店Baseline vs 视频示范+言语提示Intervention</t>
        </is>
      </c>
      <c r="F385" s="224" t="inlineStr">
        <is>
          <t>2, 2, 1, 1, 1, 1, 2, 1, 1, 1</t>
        </is>
      </c>
      <c r="G385" s="221">
        <f>IF(F385="","",LEN(F385)-LEN(SUBSTITUTE(F385,",",""))+1)</f>
        <v/>
      </c>
      <c r="H385" s="224" t="inlineStr">
        <is>
          <t>3, 4, 3, 4, 3, 4</t>
        </is>
      </c>
      <c r="I385" s="221">
        <f>IF(H385="","",LEN(H385)-LEN(SUBSTITUTE(H385,",",""))+1)</f>
        <v/>
      </c>
      <c r="J385" s="222" t="inlineStr">
        <is>
          <t>升高改善</t>
        </is>
      </c>
      <c r="K385" s="225" t="n">
        <v>-0.4228900316110311</v>
      </c>
      <c r="L385" s="225" t="n">
        <v>0.1384767150321172</v>
      </c>
      <c r="M385" s="221">
        <f>IF(OR(K385="",L385=""),"",IF(AND(L385&lt;0.05,OR(AND(J385="升高改善",K385&gt;0),AND(J385="降低改善",K385&lt;0))),"校正","不校正"))</f>
        <v/>
      </c>
      <c r="N385" s="223" t="inlineStr">
        <is>
          <t>Figure 1，PDF第8页/印刷42页，Nick面板，实心菱形；Baseline 1–10，Intervention 11–16</t>
        </is>
      </c>
    </row>
    <row r="386" ht="45" customHeight="1" s="176">
      <c r="A386" s="221" t="inlineStr">
        <is>
          <t>K565</t>
        </is>
      </c>
      <c r="B386" s="221" t="inlineStr">
        <is>
          <t>002-滚雪球</t>
        </is>
      </c>
      <c r="C386" s="221" t="inlineStr">
        <is>
          <t>Nick</t>
        </is>
      </c>
      <c r="D386" s="222" t="inlineStr">
        <is>
          <t>泛化</t>
        </is>
      </c>
      <c r="E386" s="223" t="inlineStr">
        <is>
          <t>原购物店Baseline vs 第二家未训练店Generalization</t>
        </is>
      </c>
      <c r="F386" s="224" t="inlineStr">
        <is>
          <t>2, 2, 1, 1, 1, 1, 2, 1, 1, 1</t>
        </is>
      </c>
      <c r="G386" s="221">
        <f>IF(F386="","",LEN(F386)-LEN(SUBSTITUTE(F386,",",""))+1)</f>
        <v/>
      </c>
      <c r="H386" s="224" t="inlineStr">
        <is>
          <t>3, 3, 3</t>
        </is>
      </c>
      <c r="I386" s="221">
        <f>IF(H386="","",LEN(H386)-LEN(SUBSTITUTE(H386,",",""))+1)</f>
        <v/>
      </c>
      <c r="J386" s="222" t="inlineStr">
        <is>
          <t>升高改善</t>
        </is>
      </c>
      <c r="K386" s="225" t="n">
        <v>-0.4228900316110311</v>
      </c>
      <c r="L386" s="225" t="n">
        <v>0.1384767150321172</v>
      </c>
      <c r="M386" s="221">
        <f>IF(OR(K386="",L386=""),"",IF(AND(L386&lt;0.05,OR(AND(J386="升高改善",K386&gt;0),AND(J386="降低改善",K386&lt;0))),"校正","不校正"))</f>
        <v/>
      </c>
      <c r="N386" s="223" t="inlineStr">
        <is>
          <t>Figure 1，PDF第8页/印刷42页，Nick面板，实心菱形；Baseline 1–10，Generalization 17–19</t>
        </is>
      </c>
    </row>
    <row r="387" ht="45" customHeight="1" s="176">
      <c r="A387" s="221" t="inlineStr">
        <is>
          <t>K566</t>
        </is>
      </c>
      <c r="B387" s="221" t="inlineStr">
        <is>
          <t>061-二次</t>
        </is>
      </c>
      <c r="C387" s="221" t="inlineStr">
        <is>
          <t>Kevin</t>
        </is>
      </c>
      <c r="D387" s="222" t="inlineStr">
        <is>
          <t>干预</t>
        </is>
      </c>
      <c r="E387" s="223" t="inlineStr">
        <is>
          <t>第一次Baseline A（会话1–5）vs第一次Treatment B（会话6–10）；第二轮A/B不另增加K。</t>
        </is>
      </c>
      <c r="F387" s="224" t="inlineStr">
        <is>
          <t>0, 0, 0, 0, 0</t>
        </is>
      </c>
      <c r="G387" s="221">
        <f>IF(F387="","",LEN(F387)-LEN(SUBSTITUTE(F387,",",""))+1)</f>
        <v/>
      </c>
      <c r="H387" s="224" t="inlineStr">
        <is>
          <t>0, 66.67, 66.67, 33.33, 100</t>
        </is>
      </c>
      <c r="I387" s="221">
        <f>IF(H387="","",LEN(H387)-LEN(SUBSTITUTE(H387,",",""))+1)</f>
        <v/>
      </c>
      <c r="J387" s="222" t="inlineStr">
        <is>
          <t>升高改善</t>
        </is>
      </c>
      <c r="K387" s="225" t="n">
        <v>0</v>
      </c>
      <c r="L387" s="225" t="n">
        <v>1</v>
      </c>
      <c r="M387" s="221">
        <f>IF(OR(K387="",L387=""),"",IF(AND(L387&lt;0.05,OR(AND(J387="升高改善",K387&gt;0),AND(J387="降低改善",K387&lt;0))),"校正","不校正"))</f>
        <v/>
      </c>
      <c r="N387" s="223" t="inlineStr">
        <is>
          <t>Figure 1，PDF第13页/印刷526页，第1面板（Kevin），实心圆；第一次Baseline A（会话1–5）vs第一次Treatment B（会话6–10）；第二轮A/B不另增加K。</t>
        </is>
      </c>
    </row>
    <row r="388" ht="45" customHeight="1" s="176">
      <c r="A388" s="221" t="inlineStr">
        <is>
          <t>K567</t>
        </is>
      </c>
      <c r="B388" s="221" t="inlineStr">
        <is>
          <t>061-二次</t>
        </is>
      </c>
      <c r="C388" s="221" t="inlineStr">
        <is>
          <t>Ricky</t>
        </is>
      </c>
      <c r="D388" s="222" t="inlineStr">
        <is>
          <t>干预</t>
        </is>
      </c>
      <c r="E388" s="223" t="inlineStr">
        <is>
          <t>第一次Baseline A（会话1–5）vs第一次Treatment B（会话6–10）；第二轮A/B不另增加K。</t>
        </is>
      </c>
      <c r="F388" s="224" t="inlineStr">
        <is>
          <t>0, 33.33, 33.33, 33.33, 0</t>
        </is>
      </c>
      <c r="G388" s="221">
        <f>IF(F388="","",LEN(F388)-LEN(SUBSTITUTE(F388,",",""))+1)</f>
        <v/>
      </c>
      <c r="H388" s="224" t="inlineStr">
        <is>
          <t>33.33, 0, 33.33, 0, 66.67</t>
        </is>
      </c>
      <c r="I388" s="221">
        <f>IF(H388="","",LEN(H388)-LEN(SUBSTITUTE(H388,",",""))+1)</f>
        <v/>
      </c>
      <c r="J388" s="222" t="inlineStr">
        <is>
          <t>升高改善</t>
        </is>
      </c>
      <c r="K388" s="225" t="n">
        <v>0</v>
      </c>
      <c r="L388" s="225" t="n">
        <v>1</v>
      </c>
      <c r="M388" s="221">
        <f>IF(OR(K388="",L388=""),"",IF(AND(L388&lt;0.05,OR(AND(J388="升高改善",K388&gt;0),AND(J388="降低改善",K388&lt;0))),"校正","不校正"))</f>
        <v/>
      </c>
      <c r="N388" s="223" t="inlineStr">
        <is>
          <t>Figure 1，PDF第13页/印刷526页，第2面板（Ricky），实心圆；第一次Baseline A（会话1–5）vs第一次Treatment B（会话6–10）；第二轮A/B不另增加K。</t>
        </is>
      </c>
    </row>
    <row r="389" ht="45" customHeight="1" s="176">
      <c r="A389" s="221" t="inlineStr">
        <is>
          <t>K568</t>
        </is>
      </c>
      <c r="B389" s="221" t="inlineStr">
        <is>
          <t>061-二次</t>
        </is>
      </c>
      <c r="C389" s="221" t="inlineStr">
        <is>
          <t>Andy</t>
        </is>
      </c>
      <c r="D389" s="222" t="inlineStr">
        <is>
          <t>干预</t>
        </is>
      </c>
      <c r="E389" s="223" t="inlineStr">
        <is>
          <t>第一次Baseline A（会话1–5）vs第一次Treatment B（会话6–10）；第二轮A/B不另增加K。</t>
        </is>
      </c>
      <c r="F389" s="224" t="inlineStr">
        <is>
          <t>0, 33.33, 33.33, 0, 0</t>
        </is>
      </c>
      <c r="G389" s="221">
        <f>IF(F389="","",LEN(F389)-LEN(SUBSTITUTE(F389,",",""))+1)</f>
        <v/>
      </c>
      <c r="H389" s="224" t="inlineStr">
        <is>
          <t>33.33, 33.33, 66.67, 33.33, 33.33</t>
        </is>
      </c>
      <c r="I389" s="221">
        <f>IF(H389="","",LEN(H389)-LEN(SUBSTITUTE(H389,",",""))+1)</f>
        <v/>
      </c>
      <c r="J389" s="222" t="inlineStr">
        <is>
          <t>升高改善</t>
        </is>
      </c>
      <c r="K389" s="225" t="n">
        <v>-0.2581988897471611</v>
      </c>
      <c r="L389" s="225" t="n">
        <v>0.5637028616507731</v>
      </c>
      <c r="M389" s="221">
        <f>IF(OR(K389="",L389=""),"",IF(AND(L389&lt;0.05,OR(AND(J389="升高改善",K389&gt;0),AND(J389="降低改善",K389&lt;0))),"校正","不校正"))</f>
        <v/>
      </c>
      <c r="N389" s="223" t="inlineStr">
        <is>
          <t>Figure 1，PDF第13页/印刷526页，第3面板（Andy），实心圆；第一次Baseline A（会话1–5）vs第一次Treatment B（会话6–10）；第二轮A/B不另增加K。</t>
        </is>
      </c>
    </row>
    <row r="390" ht="45" customHeight="1" s="176">
      <c r="A390" s="221" t="inlineStr">
        <is>
          <t>K569</t>
        </is>
      </c>
      <c r="B390" s="221" t="inlineStr">
        <is>
          <t>061-二次</t>
        </is>
      </c>
      <c r="C390" s="221" t="inlineStr">
        <is>
          <t>Adrian</t>
        </is>
      </c>
      <c r="D390" s="222" t="inlineStr">
        <is>
          <t>干预</t>
        </is>
      </c>
      <c r="E390" s="223" t="inlineStr">
        <is>
          <t>第一次Baseline A（会话1–5）vs第一次Treatment B（会话6–10）；第二轮A/B不另增加K。</t>
        </is>
      </c>
      <c r="F390" s="224" t="inlineStr">
        <is>
          <t>33.33, 0, 33.33, 0, 0</t>
        </is>
      </c>
      <c r="G390" s="221">
        <f>IF(F390="","",LEN(F390)-LEN(SUBSTITUTE(F390,",",""))+1)</f>
        <v/>
      </c>
      <c r="H390" s="224" t="inlineStr">
        <is>
          <t>0, 0, 66.67, 33.33, 66.67</t>
        </is>
      </c>
      <c r="I390" s="221">
        <f>IF(H390="","",LEN(H390)-LEN(SUBSTITUTE(H390,",",""))+1)</f>
        <v/>
      </c>
      <c r="J390" s="222" t="inlineStr">
        <is>
          <t>升高改善</t>
        </is>
      </c>
      <c r="K390" s="225" t="n">
        <v>-0.5163977794943222</v>
      </c>
      <c r="L390" s="225" t="n">
        <v>0.2482130789899236</v>
      </c>
      <c r="M390" s="221">
        <f>IF(OR(K390="",L390=""),"",IF(AND(L390&lt;0.05,OR(AND(J390="升高改善",K390&gt;0),AND(J390="降低改善",K390&lt;0))),"校正","不校正"))</f>
        <v/>
      </c>
      <c r="N390" s="223" t="inlineStr">
        <is>
          <t>Figure 1，PDF第13页/印刷526页，第4面板（Adrian），实心圆；第一次Baseline A（会话1–5）vs第一次Treatment B（会话6–10）；第二轮A/B不另增加K。</t>
        </is>
      </c>
    </row>
    <row r="391" ht="45" customHeight="1" s="176">
      <c r="A391" s="221" t="inlineStr">
        <is>
          <t>K570</t>
        </is>
      </c>
      <c r="B391" s="221" t="inlineStr">
        <is>
          <t>061-二次</t>
        </is>
      </c>
      <c r="C391" s="221" t="inlineStr">
        <is>
          <t>Sue</t>
        </is>
      </c>
      <c r="D391" s="222" t="inlineStr">
        <is>
          <t>干预</t>
        </is>
      </c>
      <c r="E391" s="223" t="inlineStr">
        <is>
          <t>第一次Baseline A（会话1–5）vs第一次Treatment B（会话6–10）；第二轮A/B不另增加K。</t>
        </is>
      </c>
      <c r="F391" s="224" t="inlineStr">
        <is>
          <t>33.33, 0, 33.33, 0, 0</t>
        </is>
      </c>
      <c r="G391" s="221">
        <f>IF(F391="","",LEN(F391)-LEN(SUBSTITUTE(F391,",",""))+1)</f>
        <v/>
      </c>
      <c r="H391" s="224" t="inlineStr">
        <is>
          <t>66.67, 33.33, 33.33, 33.33, 66.67</t>
        </is>
      </c>
      <c r="I391" s="221">
        <f>IF(H391="","",LEN(H391)-LEN(SUBSTITUTE(H391,",",""))+1)</f>
        <v/>
      </c>
      <c r="J391" s="222" t="inlineStr">
        <is>
          <t>升高改善</t>
        </is>
      </c>
      <c r="K391" s="225" t="n">
        <v>-0.5163977794943222</v>
      </c>
      <c r="L391" s="225" t="n">
        <v>0.2482130789899236</v>
      </c>
      <c r="M391" s="221">
        <f>IF(OR(K391="",L391=""),"",IF(AND(L391&lt;0.05,OR(AND(J391="升高改善",K391&gt;0),AND(J391="降低改善",K391&lt;0))),"校正","不校正"))</f>
        <v/>
      </c>
      <c r="N391" s="223" t="inlineStr">
        <is>
          <t>Figure 1，PDF第13页/印刷526页，第5面板（Sue），实心圆；第一次Baseline A（会话1–5）vs第一次Treatment B（会话6–10）；第二轮A/B不另增加K。</t>
        </is>
      </c>
    </row>
    <row r="392" ht="45" customHeight="1" s="176">
      <c r="A392" s="221" t="inlineStr">
        <is>
          <t>K571</t>
        </is>
      </c>
      <c r="B392" s="221" t="inlineStr">
        <is>
          <t>061-二次</t>
        </is>
      </c>
      <c r="C392" s="221" t="inlineStr">
        <is>
          <t>Wes</t>
        </is>
      </c>
      <c r="D392" s="222" t="inlineStr">
        <is>
          <t>干预</t>
        </is>
      </c>
      <c r="E392" s="223" t="inlineStr">
        <is>
          <t>第一次Baseline A（会话1–5）vs第一次Treatment B（会话6–10）；第二轮A/B不另增加K。</t>
        </is>
      </c>
      <c r="F392" s="224" t="inlineStr">
        <is>
          <t>33.33, 33.33, 33.33, 0, 0</t>
        </is>
      </c>
      <c r="G392" s="221">
        <f>IF(F392="","",LEN(F392)-LEN(SUBSTITUTE(F392,",",""))+1)</f>
        <v/>
      </c>
      <c r="H392" s="224" t="inlineStr">
        <is>
          <t>100, 100, 100, 100, 100</t>
        </is>
      </c>
      <c r="I392" s="221">
        <f>IF(H392="","",LEN(H392)-LEN(SUBSTITUTE(H392,",",""))+1)</f>
        <v/>
      </c>
      <c r="J392" s="222" t="inlineStr">
        <is>
          <t>升高改善</t>
        </is>
      </c>
      <c r="K392" s="225" t="n">
        <v>-0.7745966692414834</v>
      </c>
      <c r="L392" s="225" t="n">
        <v>0.08326451666355043</v>
      </c>
      <c r="M392" s="221">
        <f>IF(OR(K392="",L392=""),"",IF(AND(L392&lt;0.05,OR(AND(J392="升高改善",K392&gt;0),AND(J392="降低改善",K392&lt;0))),"校正","不校正"))</f>
        <v/>
      </c>
      <c r="N392" s="223" t="inlineStr">
        <is>
          <t>Figure 1，PDF第13页/印刷526页，第6面板（Wes），实心圆；第一次Baseline A（会话1–5）vs第一次Treatment B（会话6–10）；第二轮A/B不另增加K。</t>
        </is>
      </c>
    </row>
    <row r="393" ht="45" customHeight="1" s="176">
      <c r="A393" s="221" t="inlineStr">
        <is>
          <t>K572</t>
        </is>
      </c>
      <c r="B393" s="221" t="inlineStr">
        <is>
          <t>061-二次</t>
        </is>
      </c>
      <c r="C393" s="221" t="inlineStr">
        <is>
          <t>Kade</t>
        </is>
      </c>
      <c r="D393" s="222" t="inlineStr">
        <is>
          <t>干预</t>
        </is>
      </c>
      <c r="E393" s="223" t="inlineStr">
        <is>
          <t>两个首次VM前Baseline A（会话1–10）vs连续两个Treatment B（会话11–19）；B1五点、B2四点。</t>
        </is>
      </c>
      <c r="F393" s="224" t="inlineStr">
        <is>
          <t>33.33, 0, 33.33, 66.67, 33.33, 0, 33.33, 33.33, 33.33, 33.33</t>
        </is>
      </c>
      <c r="G393" s="221">
        <f>IF(F393="","",LEN(F393)-LEN(SUBSTITUTE(F393,",",""))+1)</f>
        <v/>
      </c>
      <c r="H393" s="224" t="inlineStr">
        <is>
          <t>33.33, 100, 100, 100, 100, 100, 100, 100, 100</t>
        </is>
      </c>
      <c r="I393" s="221">
        <f>IF(H393="","",LEN(H393)-LEN(SUBSTITUTE(H393,",",""))+1)</f>
        <v/>
      </c>
      <c r="J393" s="222" t="inlineStr">
        <is>
          <t>升高改善</t>
        </is>
      </c>
      <c r="K393" s="225" t="n">
        <v>0.09325048082403138</v>
      </c>
      <c r="L393" s="225" t="n">
        <v>0.7367870436916689</v>
      </c>
      <c r="M393" s="221">
        <f>IF(OR(K393="",L393=""),"",IF(AND(L393&lt;0.05,OR(AND(J393="升高改善",K393&gt;0),AND(J393="降低改善",K393&lt;0))),"校正","不校正"))</f>
        <v/>
      </c>
      <c r="N393" s="223" t="inlineStr">
        <is>
          <t>Figure 2，PDF第14页/印刷527页，第1面板（Kade），实心圆；两个首次VM前Baseline A（会话1–10）vs连续两个Treatment B（会话11–19）；B1五点、B2四点。</t>
        </is>
      </c>
    </row>
    <row r="394" ht="45" customHeight="1" s="176">
      <c r="A394" s="221" t="inlineStr">
        <is>
          <t>K573</t>
        </is>
      </c>
      <c r="B394" s="221" t="inlineStr">
        <is>
          <t>061-二次</t>
        </is>
      </c>
      <c r="C394" s="221" t="inlineStr">
        <is>
          <t>Hank</t>
        </is>
      </c>
      <c r="D394" s="222" t="inlineStr">
        <is>
          <t>干预</t>
        </is>
      </c>
      <c r="E394" s="223" t="inlineStr">
        <is>
          <t>两个首次VM前Baseline A（会话1–10）vs连续两个Treatment B（会话11–19）；B1五点、B2四点。</t>
        </is>
      </c>
      <c r="F394" s="224" t="inlineStr">
        <is>
          <t>33.33, 0, 0, 33.33, 33.33, 33.33, 33.33, 0, 0, 33.33</t>
        </is>
      </c>
      <c r="G394" s="221">
        <f>IF(F394="","",LEN(F394)-LEN(SUBSTITUTE(F394,",",""))+1)</f>
        <v/>
      </c>
      <c r="H394" s="224" t="inlineStr">
        <is>
          <t>66.67, 100, 66.67, 66.67, 66.67, 66.67, 66.67, 100, 100</t>
        </is>
      </c>
      <c r="I394" s="221">
        <f>IF(H394="","",LEN(H394)-LEN(SUBSTITUTE(H394,",",""))+1)</f>
        <v/>
      </c>
      <c r="J394" s="222" t="inlineStr">
        <is>
          <t>升高改善</t>
        </is>
      </c>
      <c r="K394" s="225" t="n">
        <v>0</v>
      </c>
      <c r="L394" s="225" t="n">
        <v>1</v>
      </c>
      <c r="M394" s="221">
        <f>IF(OR(K394="",L394=""),"",IF(AND(L394&lt;0.05,OR(AND(J394="升高改善",K394&gt;0),AND(J394="降低改善",K394&lt;0))),"校正","不校正"))</f>
        <v/>
      </c>
      <c r="N394" s="223" t="inlineStr">
        <is>
          <t>Figure 2，PDF第14页/印刷527页，第2面板（Hank），实心圆；两个首次VM前Baseline A（会话1–10）vs连续两个Treatment B（会话11–19）；B1五点、B2四点。</t>
        </is>
      </c>
    </row>
    <row r="395" ht="45" customHeight="1" s="176"/>
    <row r="396" ht="45" customHeight="1" s="176"/>
    <row r="397" ht="29.85" customHeight="1" s="176"/>
    <row r="398" ht="29.85" customHeight="1" s="176"/>
    <row r="399" ht="29.85" customHeight="1" s="176"/>
    <row r="400" ht="29.85" customHeight="1" s="176"/>
    <row r="401" ht="29.85" customHeight="1" s="176"/>
    <row r="402" ht="29.85" customHeight="1" s="176"/>
    <row r="403" ht="29.85" customHeight="1" s="176"/>
    <row r="404" ht="29.85" customHeight="1" s="176"/>
    <row r="405" ht="29.85" customHeight="1" s="176"/>
    <row r="406" ht="29.85" customHeight="1" s="176"/>
    <row r="407" ht="29.85" customHeight="1" s="176"/>
    <row r="408" ht="29.85" customHeight="1" s="176"/>
    <row r="409" ht="29.85" customHeight="1" s="176"/>
    <row r="410" ht="29.85" customHeight="1" s="176"/>
    <row r="411" ht="29.85" customHeight="1" s="176"/>
    <row r="412" ht="29.85" customHeight="1" s="176"/>
    <row r="413" ht="29.85" customHeight="1" s="176"/>
    <row r="414" ht="29.85" customHeight="1" s="176"/>
    <row r="415" ht="29.85" customHeight="1" s="176"/>
    <row r="416" ht="29.85" customHeight="1" s="176"/>
    <row r="417" ht="29.85" customHeight="1" s="176"/>
    <row r="418" ht="29.85" customHeight="1" s="176"/>
    <row r="419" ht="29.85" customHeight="1" s="176"/>
    <row r="420" ht="29.85" customHeight="1" s="176"/>
    <row r="421" ht="72" customHeight="1" s="176"/>
    <row r="422" ht="72" customHeight="1" s="176"/>
    <row r="423" ht="72" customHeight="1" s="176"/>
    <row r="424" ht="72" customHeight="1" s="176"/>
    <row r="425" ht="72" customHeight="1" s="176"/>
    <row r="426" ht="72" customHeight="1" s="176"/>
    <row r="427" ht="72" customHeight="1" s="176"/>
    <row r="428" ht="72" customHeight="1" s="176"/>
    <row r="429" ht="72" customHeight="1" s="176"/>
    <row r="430" ht="72" customHeight="1" s="176"/>
  </sheetData>
  <autoFilter ref="A1:N394"/>
  <dataValidations count="1">
    <dataValidation sqref="J2:J394" showDropDown="0" showInputMessage="0" showErrorMessage="0" allowBlank="1" type="list" errorStyle="stop" operator="between">
      <formula1>"升高改善,降低改善"</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75" min="1" max="1"/>
    <col width="110" customWidth="1" style="175" min="2" max="2"/>
  </cols>
  <sheetData>
    <row r="1" ht="36.75" customHeight="1" s="176">
      <c r="A1" s="177" t="inlineStr">
        <is>
          <t>Tau-U数据填写说明</t>
        </is>
      </c>
      <c r="B1" s="178" t="n"/>
    </row>
    <row r="2" ht="15" customHeight="1" s="176">
      <c r="A2" s="179" t="n"/>
      <c r="B2" s="178" t="n"/>
    </row>
    <row r="3" ht="15" customHeight="1" s="176">
      <c r="A3" s="180" t="inlineStr">
        <is>
          <t>用途</t>
        </is>
      </c>
      <c r="B3" s="178" t="inlineStr">
        <is>
          <t>“Tau-U数据”表每个K一行，填算Tau-U要用的三样：前后两段的数值、改善方向、基线趋势校正判断。本表不算Tau-U本身。</t>
        </is>
      </c>
    </row>
    <row r="4" ht="108" customHeight="1" s="176">
      <c r="A4" s="180" t="inlineStr">
        <is>
          <t>已填范围</t>
        </is>
      </c>
      <c r="B4" s="178" t="inlineStr">
        <is>
          <t>001-二次、002-二次原有30个K保持原样；GPT另补263个。详见“取点核查记录”。 2026-10-17新增002-滚雪球、061-二次共14K（K560–K573）：干预11、泛化3；逐点数据、基线趋势及图页定位已补齐。 本次按年龄排除Tom、Steve共4K（K560–K563）后，补充部分现保留10K（K564–K573）：干预9、泛化1。 2026-10-18同步为429K：删除013二次、040二次，恢复018二次、080二次。 2026-10-24同步为393K：删除031滚雪球20K；044二次泛化合并（删除16K）；056滚雪球35K改取Accuracy，前后段数值与基线趋势τ、p已重算。</t>
        </is>
      </c>
    </row>
    <row r="5" ht="24" customHeight="1" s="176">
      <c r="A5" s="180" t="inlineStr">
        <is>
          <t>前段、后段数值</t>
        </is>
      </c>
      <c r="B5" s="181" t="inlineStr">
        <is>
          <t>前段、后段按本表“比较的两段”和原文阶段定义确定。旧清单只用于K对应文献、参与者、指标、图页和面板的定位；不采用旧点数或旧数值。原文有疑点则整条暂不补入并记录。</t>
        </is>
      </c>
    </row>
    <row r="6" ht="15" customHeight="1" s="176">
      <c r="A6" s="179" t="n"/>
      <c r="B6" s="181" t="inlineStr">
        <is>
          <t>按横轴会话顺序从左到右写，英文逗号加空格分隔，如“0, 0, 40, 20”。</t>
        </is>
      </c>
    </row>
    <row r="7" ht="24" customHeight="1" s="176">
      <c r="A7" s="179" t="n"/>
      <c r="B7" s="181" t="inlineStr">
        <is>
          <t>同一高度的点记同一个值，不同高度的点保持可区分。百分比一般取整；若不同水平取整后会合并，则多保留一位。不将标记形状造成的微小坐标偏差当作真实差异。</t>
        </is>
      </c>
    </row>
    <row r="8" ht="15" customHeight="1" s="176">
      <c r="A8" s="179" t="n"/>
      <c r="B8" s="181" t="inlineStr">
        <is>
          <t>同一会话训练点和泛化点重叠时，被盖住的点也要取。矢量图可从PDF坐标算出精确值（001、002都是这样取的）。</t>
        </is>
      </c>
    </row>
    <row r="9" ht="15" customHeight="1" s="176">
      <c r="A9" s="179" t="n"/>
      <c r="B9" s="181" t="inlineStr">
        <is>
          <t>维持K的前段与对应干预K的前段完全相同。</t>
        </is>
      </c>
    </row>
    <row r="10" ht="15" customHeight="1" s="176">
      <c r="A10" s="179" t="n"/>
      <c r="B10" s="181" t="inlineStr">
        <is>
          <t>“前段点数”“后段点数”是公式，按逗号自动计数，不用手填。</t>
        </is>
      </c>
    </row>
    <row r="11" ht="15" customHeight="1" s="176">
      <c r="A11" s="180" t="inlineStr">
        <is>
          <t>改善方向</t>
        </is>
      </c>
      <c r="B11" s="181" t="inlineStr">
        <is>
          <t>依指标定义和原文填写“升高改善”或“降低改善”；潜伏期越短越好，适当行为频率、正确率、时长或多样性按原文目标核定。</t>
        </is>
      </c>
    </row>
    <row r="12" ht="29.25" customHeight="1" s="176">
      <c r="A12" s="180" t="inlineStr">
        <is>
          <t>反向K（降低改善）</t>
        </is>
      </c>
      <c r="B12" s="181" t="inlineStr">
        <is>
          <t>共33个（2026-10-24合并044泛化后由41个减为33个），都是社会发起潜伏期（从得到机会到主动发起互动的秒数，越短越好）。已在“Tau-U数据”表填好“降低改善”，整行标橙色。</t>
        </is>
      </c>
    </row>
    <row r="13" ht="29.25" customHeight="1" s="176">
      <c r="A13" s="179" t="n"/>
      <c r="B13" s="178" t="inlineStr">
        <is>
          <t>039-二次（18个）：J. 干预K285、K287、K289，维持K286、K288、K290；P. 干预K293、K295、K297，维持K294、K296、K298；S. 干预K301、K303、K305，维持K302、K304、K306。</t>
        </is>
      </c>
    </row>
    <row r="14" ht="29.25" customHeight="1" s="176">
      <c r="A14" s="179" t="n"/>
      <c r="B14" s="178" t="inlineStr">
        <is>
          <t>043-二次（6个）：Daniel K341（干预）、K342（维持）；Christopher K345（干预）、K346（维持）；Andrew K349（干预）、K350（维持）。</t>
        </is>
      </c>
    </row>
    <row r="15" ht="29.25" customHeight="1" s="176">
      <c r="A15" s="179" t="n"/>
      <c r="B15" s="178" t="inlineStr">
        <is>
          <t>044-二次（9个）：Kirsty K353（干预）、K354（维持）、泛化K355（条件C–F合并）；Niko K365（干预）、K366（维持）、泛化K367（条件C–F合并）；Jamie K377（干预）、K378（维持）、泛化K380（条件D–F合并）。2026-10-24前为17个，K356–K358、K368–K370、K381、K382已并入。</t>
        </is>
      </c>
    </row>
    <row r="16" ht="15" customHeight="1" s="176">
      <c r="A16" s="179" t="n"/>
      <c r="B16" s="181" t="inlineStr">
        <is>
          <t>其中40个在469K表“改善方向”列已标降低改善；K380是后来新增的，不在469K表里，见“新增K取点”说明（降低改善，先乘-1）。 （历史说明，现以“Tau-U数据”表为准。）</t>
        </is>
      </c>
    </row>
    <row r="17" ht="15" customHeight="1" s="176">
      <c r="A17" s="179" t="n"/>
      <c r="B17" s="181" t="inlineStr">
        <is>
          <t>同文献里的互惠游戏时长（如039的K291、K292，043的K343、K344，044的B2相互游戏总时长）是越长越好，不是反向，不要翻转。</t>
        </is>
      </c>
    </row>
    <row r="18" ht="29.25" customHeight="1" s="176">
      <c r="A18" s="179" t="n"/>
      <c r="B18" s="181" t="inlineStr">
        <is>
          <t>这33个K：基线趋势τ为负且p＜.05才算与改善方向一致、需要校正（“是否校正”公式已按此判断）；正式算Tau-U时，把数值都乘以−1，或在计算器里选“降低”，效应量才是正的。</t>
        </is>
      </c>
    </row>
    <row r="19" ht="24" customHeight="1" s="176">
      <c r="A19" s="180" t="inlineStr">
        <is>
          <t>基线趋势τ、p</t>
        </is>
      </c>
      <c r="B19" s="181" t="inlineStr">
        <is>
          <t>用前段数值与会话序号1,2,…,n计算Kendall τ-b及双侧p，算法口径参照scipy.stats.kendalltau默认auto。新增值存完整精度、仅显示三位小数，“是否校正”按完整值判断。原有001、002保持不动。</t>
        </is>
      </c>
    </row>
    <row r="20" ht="15" customHeight="1" s="176">
      <c r="A20" s="179" t="n"/>
      <c r="B20" s="181" t="inlineStr">
        <is>
          <t>前段数值全部相同时，τ记0，p记1。</t>
        </is>
      </c>
    </row>
    <row r="21" ht="15" customHeight="1" s="176">
      <c r="A21" s="180" t="inlineStr">
        <is>
          <t>是否校正</t>
        </is>
      </c>
      <c r="B21" s="181" t="inlineStr">
        <is>
          <t>公式自动判断，不用手填：p＜.05，且趋势方向与改善方向一致（升高改善时τ＞0，降低改善时τ＜0）→“校正”；其余→“不校正”。</t>
        </is>
      </c>
    </row>
    <row r="22" ht="29.25" customHeight="1" s="176">
      <c r="A22" s="179" t="n"/>
      <c r="B22" s="181" t="inlineStr">
        <is>
          <t>依据：Fingerhut、Xu和Moeyaert（2021）的Tau-U选择流程图，先检验每个个案的基线趋势是否显著且与预期干预效果同向，是则校正；显著性水平.05参照Tarlow（2017）。</t>
        </is>
      </c>
    </row>
    <row r="23" ht="15" customHeight="1" s="176">
      <c r="A23" s="179" t="n"/>
      <c r="B23" s="181" t="inlineStr">
        <is>
          <t>示例：K019 基线τ＝−0.788，p＝.032，显著但为下降，与改善方向相反，不校正。001、002的30个K都不需要校正。</t>
        </is>
      </c>
    </row>
    <row r="24" ht="36" customHeight="1" s="176">
      <c r="A24" s="179" t="n"/>
      <c r="B24" s="181" t="inlineStr">
        <is>
          <t>需要校正的K统一采用Parker等（2011）的“A vs B − Trend A”，对应singlecaseresearch.org同名结果，不用Tarlow（2017）的基线校正Tau。若超出±1照实报告并说明局限；标准误按计算器输出。正式计算前挑2–3个K核对网页。本表仅判断是否校正，尚未计算Tau-U或校正后的效应量。</t>
        </is>
      </c>
    </row>
    <row r="25" ht="43.5" customHeight="1" s="176">
      <c r="A25" s="180" t="inlineStr">
        <is>
          <t>与K清单点数不同</t>
        </is>
      </c>
      <c r="B25" s="181" t="inlineStr">
        <is>
          <t>以本表为准：K004 前段12（清单11）；K014 后段5（清单4）；K016 前段4（清单3）；K019 前段6（清单5）；K020 前段11（清单8）；K021 前段9（清单4）；K027 前段5（清单4）；K032 前段8（清单7）。K004、K020是清单漏数基线点，K014漏数干预点；其余5个是被训练点盖住的泛化前测点。</t>
        </is>
      </c>
    </row>
    <row r="26" ht="15" customHeight="1" s="176">
      <c r="A26" s="180" t="inlineStr">
        <is>
          <t>数值核对</t>
        </is>
      </c>
      <c r="B26" s="178" t="inlineStr">
        <is>
          <t>002：按本表数值算出的NAP与原文Table 2对照，22个K中21个一致；K028按图为0.91，原文为0.93，以图为准。</t>
        </is>
      </c>
    </row>
    <row r="27" ht="29.25" customHeight="1" s="176">
      <c r="A27" s="179" t="n"/>
      <c r="B27" s="178" t="inlineStr">
        <is>
          <t>001：与正文报告的均值、范围对照，大多一致；K004后段均值按图40%、正文55%，K009后段按图60%、正文65%，K005前段范围按图0–50%、正文0–25%，均以图为准。</t>
        </is>
      </c>
    </row>
    <row r="28" ht="34.5" customHeight="1" s="176">
      <c r="A28" s="180" t="inlineStr">
        <is>
          <t>参考文献</t>
        </is>
      </c>
      <c r="B28" s="178" t="inlineStr">
        <is>
          <t>Fingerhut, J., Xu, X., &amp; Moeyaert, M. (2021). Selecting the proper Tau-U measure for single-case experimental designs: Development and application of a decision flowchart. Evidence-Based Communication Assessment and Intervention, 15(3), 99–114. https://doi.org/10.1080/17489539.2021.1937851</t>
        </is>
      </c>
    </row>
    <row r="29" ht="23.25" customHeight="1" s="176">
      <c r="A29" s="179" t="n"/>
      <c r="B29" s="178" t="inlineStr">
        <is>
          <t>Tarlow, K. R. (2017). An improved rank correlation effect size statistic for single-case designs: Baseline corrected Tau. Behavior Modification, 41(4), 427–467. https://doi.org/10.1177/0145445516676750</t>
        </is>
      </c>
    </row>
    <row r="30" ht="24" customHeight="1" s="176">
      <c r="A30" s="180" t="inlineStr">
        <is>
          <t>本次检验核验</t>
        </is>
      </c>
      <c r="B30" s="181" t="inlineStr">
        <is>
          <t>新增基线统计按默认auto算法同口径实现；与既有30条保存的三位小数结果逐条一致。算法参考：https://docs.scipy.org/doc/scipy/reference/generated/scipy.stats.kendalltau.html</t>
        </is>
      </c>
    </row>
    <row r="31" ht="15" customHeight="1" s="176">
      <c r="A31" s="180" t="inlineStr">
        <is>
          <t>图位置</t>
        </is>
      </c>
      <c r="B31" s="178" t="inlineStr">
        <is>
          <t>“Tau-U数据”N列给出图号／PDF页／面板／符号定位；原始PDF文件路径见“取点核查记录”。未完成核查或原文缺失会注明。</t>
        </is>
      </c>
    </row>
    <row r="32" ht="29.25" customHeight="1" s="176">
      <c r="A32" s="179" t="inlineStr">
        <is>
          <t>Claude补入的判断（需用户留意）</t>
        </is>
      </c>
      <c r="B32" s="178" t="inlineStr">
        <is>
          <t>026、027：图中与阶段均值相等的非整数点判定为作者画的均值标记，已剔除；027各儿童按表3三阶段均值与PND划分阶段（Helen的虚线比实际晚约3次）。</t>
        </is>
      </c>
    </row>
    <row r="33" ht="15" customHeight="1" s="176">
      <c r="A33" s="179" t="n"/>
      <c r="B33" s="178" t="inlineStr">
        <is>
          <t>039：SI-Table、SI-Rags按已定规则从首次出现在录像中起算干预，此前为基线；GPT已填的J.、P.、S.相关9个K据此修正（浅紫色）。</t>
        </is>
      </c>
    </row>
    <row r="34" ht="29.25" customHeight="1" s="176">
      <c r="A34" s="179" t="n"/>
      <c r="B34" s="178" t="inlineStr">
        <is>
          <t>040：BSL|VM虚线与场次标记对不齐，前段取第一个非零点之前的全部0，后段从第一个非零点起；有口头提示的K截止到B箭头所指点之前。</t>
        </is>
      </c>
    </row>
    <row r="35" ht="15" customHeight="1" s="176">
      <c r="A35" s="179" t="n"/>
      <c r="B35" s="181" t="inlineStr">
        <is>
          <t>其余：正文与图不一致处（均值、范围、基线次数、提示引入场次）一律按规则8以图为准，具体写在各K的核查记录里。</t>
        </is>
      </c>
    </row>
    <row r="36" ht="132" customHeight="1" s="176">
      <c r="A36" s="226" t="inlineStr">
        <is>
          <t>002滚雪球、061取点口径</t>
        </is>
      </c>
      <c r="B36" s="227" t="inlineStr">
        <is>
          <t>002取Figure 1完整6步骤总分，泛化沿用原训练店基线，不另计维持。061取三目标总分：6名Later Gators首次A1–B1各5点；Kade/Hank首次VM前10点对图示9个干预点。061百分比序列保留2位小数（1/3=33.33%，2/3=66.67%），保持大小顺序和并列关系；第二轮、C及不足3点的M/G不另取K。</t>
        </is>
      </c>
    </row>
    <row r="37">
      <c r="A37" s="179" t="inlineStr">
        <is>
          <t>2026-10-24修订</t>
        </is>
      </c>
      <c r="B37" s="178" t="inlineStr">
        <is>
          <t>056滚雪球：改取Figure 1–5右轴Accuracy空心方形（任务分析步骤正确百分比），不再取左轴Variability（不重复正确反应连续计数）。前段BL，干预K后段为紧接BL的第一个干预条件，维持K后段为最后一条阶段线后的Maintenance；从PDF矢量坐标读取，按各技能步数（回答问题4步、维持交谈5步、表达需求6步、参与5步）对齐到合法百分比；8个不在网格上的点（K441、K457、K458、K459、K466）按图保留。K473原后段误抄K472干预段，已更正。</t>
        </is>
      </c>
    </row>
    <row r="38">
      <c r="A38" s="179" t="n"/>
      <c r="B38" s="178" t="inlineStr">
        <is>
          <t>044二次：条件C–F依次换玩具、不看视频，按达标规则顺序推进、共用同一基线，同属跨玩具泛化；每名儿童每个因变量只取1个泛化K，后段按条件顺序拼接（Jamie条件C未取，为D–F）。</t>
        </is>
      </c>
    </row>
    <row r="39">
      <c r="A39" s="179" t="n"/>
      <c r="B39" s="178" t="inlineStr">
        <is>
          <t>031滚雪球整篇排除（视频反馈，非视频示范）。039二次复核：SI-Table、SI-Rags已按规则取段，干预段开头的300秒来自首次视频3未达标及其后回到视频1的会话，未改。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51"/>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6" customWidth="1" style="175" min="1" max="1"/>
    <col width="26" customWidth="1" style="175" min="2" max="2"/>
    <col width="8" customWidth="1" style="175" min="3" max="8"/>
    <col width="22" customWidth="1" style="175" min="9" max="9"/>
  </cols>
  <sheetData>
    <row r="1" ht="18.75" customHeight="1" s="176">
      <c r="A1" s="228" t="inlineStr">
        <is>
          <t>各组K数与篇数（公式按“K分组表”实时计算）</t>
        </is>
      </c>
    </row>
    <row r="2" ht="42" customHeight="1" s="176">
      <c r="A2" s="229" t="inlineStr">
        <is>
          <t>“篇”为该组在该效果类型下的不同文献数。“比较条件”列提示哪类效果不满足“至少2篇、3个K”：不满足的只报告效应量，不做组间比较。灰色行“不纳入该变量”只供核对，不作为一组。</t>
        </is>
      </c>
    </row>
    <row r="4" ht="15" customHeight="1" s="176">
      <c r="A4" s="183" t="inlineStr">
        <is>
          <t>变量</t>
        </is>
      </c>
      <c r="B4" s="183" t="inlineStr">
        <is>
          <t>组</t>
        </is>
      </c>
      <c r="C4" s="183" t="inlineStr">
        <is>
          <t>干预 K</t>
        </is>
      </c>
      <c r="D4" s="183" t="inlineStr">
        <is>
          <t>干预 篇</t>
        </is>
      </c>
      <c r="E4" s="183" t="inlineStr">
        <is>
          <t>维持 K</t>
        </is>
      </c>
      <c r="F4" s="183" t="inlineStr">
        <is>
          <t>维持 篇</t>
        </is>
      </c>
      <c r="G4" s="183" t="inlineStr">
        <is>
          <t>泛化 K</t>
        </is>
      </c>
      <c r="H4" s="183" t="inlineStr">
        <is>
          <t>泛化 篇</t>
        </is>
      </c>
      <c r="I4" s="183" t="inlineStr">
        <is>
          <t>比较条件</t>
        </is>
      </c>
    </row>
    <row r="5" ht="15" customHeight="1" s="176">
      <c r="A5" s="230" t="inlineStr">
        <is>
          <t>被试特征</t>
        </is>
      </c>
    </row>
    <row r="6" ht="15" customHeight="1" s="176">
      <c r="A6" s="187" t="inlineStr">
        <is>
          <t>年龄</t>
        </is>
      </c>
      <c r="B6" s="186" t="inlineStr">
        <is>
          <t>6岁以下</t>
        </is>
      </c>
      <c r="C6" s="231">
        <f>COUNTIFS(K分组表!$E$2:$E$394,$B6,K分组表!$D$2:$D$394,"干预")</f>
        <v/>
      </c>
      <c r="D6" s="231">
        <f>SUMPRODUCT((K分组表!$E$2:$E$394=$B6)*(K分组表!$D$2:$D$394="干预")/COUNTIFS(K分组表!$B$2:$B$394,K分组表!$B$2:$B$394,K分组表!$E$2:$E$394,K分组表!$E$2:$E$394,K分组表!$D$2:$D$394,K分组表!$D$2:$D$394))</f>
        <v/>
      </c>
      <c r="E6" s="231">
        <f>COUNTIFS(K分组表!$E$2:$E$394,$B6,K分组表!$D$2:$D$394,"维持")</f>
        <v/>
      </c>
      <c r="F6" s="231">
        <f>SUMPRODUCT((K分组表!$E$2:$E$394=$B6)*(K分组表!$D$2:$D$394="维持")/COUNTIFS(K分组表!$B$2:$B$394,K分组表!$B$2:$B$394,K分组表!$E$2:$E$394,K分组表!$E$2:$E$394,K分组表!$D$2:$D$394,K分组表!$D$2:$D$394))</f>
        <v/>
      </c>
      <c r="G6" s="231">
        <f>COUNTIFS(K分组表!$E$2:$E$394,$B6,K分组表!$D$2:$D$394,"泛化")</f>
        <v/>
      </c>
      <c r="H6" s="231">
        <f>SUMPRODUCT((K分组表!$E$2:$E$394=$B6)*(K分组表!$D$2:$D$394="泛化")/COUNTIFS(K分组表!$B$2:$B$394,K分组表!$B$2:$B$394,K分组表!$E$2:$E$394,K分组表!$E$2:$E$394,K分组表!$D$2:$D$394,K分组表!$D$2:$D$394))</f>
        <v/>
      </c>
      <c r="I6" s="232">
        <f>IF(OR(C6&lt;3,D6&lt;2),"干预 ","")&amp;IF(OR(E6&lt;3,F6&lt;2),"维持 ","")&amp;IF(OR(G6&lt;3,H6&lt;2),"泛化","")</f>
        <v/>
      </c>
    </row>
    <row r="7" ht="15" customHeight="1" s="176">
      <c r="A7" s="187" t="inlineStr">
        <is>
          <t>年龄</t>
        </is>
      </c>
      <c r="B7" s="186" t="inlineStr">
        <is>
          <t>6–8岁</t>
        </is>
      </c>
      <c r="C7" s="231">
        <f>COUNTIFS(K分组表!$E$2:$E$394,$B7,K分组表!$D$2:$D$394,"干预")</f>
        <v/>
      </c>
      <c r="D7" s="231">
        <f>SUMPRODUCT((K分组表!$E$2:$E$394=$B7)*(K分组表!$D$2:$D$394="干预")/COUNTIFS(K分组表!$B$2:$B$394,K分组表!$B$2:$B$394,K分组表!$E$2:$E$394,K分组表!$E$2:$E$394,K分组表!$D$2:$D$394,K分组表!$D$2:$D$394))</f>
        <v/>
      </c>
      <c r="E7" s="231">
        <f>COUNTIFS(K分组表!$E$2:$E$394,$B7,K分组表!$D$2:$D$394,"维持")</f>
        <v/>
      </c>
      <c r="F7" s="231">
        <f>SUMPRODUCT((K分组表!$E$2:$E$394=$B7)*(K分组表!$D$2:$D$394="维持")/COUNTIFS(K分组表!$B$2:$B$394,K分组表!$B$2:$B$394,K分组表!$E$2:$E$394,K分组表!$E$2:$E$394,K分组表!$D$2:$D$394,K分组表!$D$2:$D$394))</f>
        <v/>
      </c>
      <c r="G7" s="231">
        <f>COUNTIFS(K分组表!$E$2:$E$394,$B7,K分组表!$D$2:$D$394,"泛化")</f>
        <v/>
      </c>
      <c r="H7" s="231">
        <f>SUMPRODUCT((K分组表!$E$2:$E$394=$B7)*(K分组表!$D$2:$D$394="泛化")/COUNTIFS(K分组表!$B$2:$B$394,K分组表!$B$2:$B$394,K分组表!$E$2:$E$394,K分组表!$E$2:$E$394,K分组表!$D$2:$D$394,K分组表!$D$2:$D$394))</f>
        <v/>
      </c>
      <c r="I7" s="232">
        <f>IF(OR(C7&lt;3,D7&lt;2),"干预 ","")&amp;IF(OR(E7&lt;3,F7&lt;2),"维持 ","")&amp;IF(OR(G7&lt;3,H7&lt;2),"泛化","")</f>
        <v/>
      </c>
    </row>
    <row r="8" ht="15" customHeight="1" s="176">
      <c r="A8" s="187" t="inlineStr">
        <is>
          <t>年龄</t>
        </is>
      </c>
      <c r="B8" s="186" t="inlineStr">
        <is>
          <t>9–12岁</t>
        </is>
      </c>
      <c r="C8" s="231">
        <f>COUNTIFS(K分组表!$E$2:$E$394,$B8,K分组表!$D$2:$D$394,"干预")</f>
        <v/>
      </c>
      <c r="D8" s="231">
        <f>SUMPRODUCT((K分组表!$E$2:$E$394=$B8)*(K分组表!$D$2:$D$394="干预")/COUNTIFS(K分组表!$B$2:$B$394,K分组表!$B$2:$B$394,K分组表!$E$2:$E$394,K分组表!$E$2:$E$394,K分组表!$D$2:$D$394,K分组表!$D$2:$D$394))</f>
        <v/>
      </c>
      <c r="E8" s="231">
        <f>COUNTIFS(K分组表!$E$2:$E$394,$B8,K分组表!$D$2:$D$394,"维持")</f>
        <v/>
      </c>
      <c r="F8" s="231">
        <f>SUMPRODUCT((K分组表!$E$2:$E$394=$B8)*(K分组表!$D$2:$D$394="维持")/COUNTIFS(K分组表!$B$2:$B$394,K分组表!$B$2:$B$394,K分组表!$E$2:$E$394,K分组表!$E$2:$E$394,K分组表!$D$2:$D$394,K分组表!$D$2:$D$394))</f>
        <v/>
      </c>
      <c r="G8" s="231">
        <f>COUNTIFS(K分组表!$E$2:$E$394,$B8,K分组表!$D$2:$D$394,"泛化")</f>
        <v/>
      </c>
      <c r="H8" s="231">
        <f>SUMPRODUCT((K分组表!$E$2:$E$394=$B8)*(K分组表!$D$2:$D$394="泛化")/COUNTIFS(K分组表!$B$2:$B$394,K分组表!$B$2:$B$394,K分组表!$E$2:$E$394,K分组表!$E$2:$E$394,K分组表!$D$2:$D$394,K分组表!$D$2:$D$394))</f>
        <v/>
      </c>
      <c r="I8" s="232">
        <f>IF(OR(C8&lt;3,D8&lt;2),"干预 ","")&amp;IF(OR(E8&lt;3,F8&lt;2),"维持 ","")&amp;IF(OR(G8&lt;3,H8&lt;2),"泛化","")</f>
        <v/>
      </c>
    </row>
    <row r="9" ht="15" customHeight="1" s="176">
      <c r="A9" s="187" t="inlineStr">
        <is>
          <t>性别</t>
        </is>
      </c>
      <c r="B9" s="187" t="inlineStr">
        <is>
          <t>男</t>
        </is>
      </c>
      <c r="C9" s="231">
        <f>COUNTIFS(K分组表!$F$2:$F$394,$B9,K分组表!$D$2:$D$394,"干预")</f>
        <v/>
      </c>
      <c r="D9" s="231">
        <f>SUMPRODUCT((K分组表!$F$2:$F$394=$B9)*(K分组表!$D$2:$D$394="干预")/COUNTIFS(K分组表!$B$2:$B$394,K分组表!$B$2:$B$394,K分组表!$F$2:$F$394,K分组表!$F$2:$F$394,K分组表!$D$2:$D$394,K分组表!$D$2:$D$394))</f>
        <v/>
      </c>
      <c r="E9" s="231">
        <f>COUNTIFS(K分组表!$F$2:$F$394,$B9,K分组表!$D$2:$D$394,"维持")</f>
        <v/>
      </c>
      <c r="F9" s="231">
        <f>SUMPRODUCT((K分组表!$F$2:$F$394=$B9)*(K分组表!$D$2:$D$394="维持")/COUNTIFS(K分组表!$B$2:$B$394,K分组表!$B$2:$B$394,K分组表!$F$2:$F$394,K分组表!$F$2:$F$394,K分组表!$D$2:$D$394,K分组表!$D$2:$D$394))</f>
        <v/>
      </c>
      <c r="G9" s="231">
        <f>COUNTIFS(K分组表!$F$2:$F$394,$B9,K分组表!$D$2:$D$394,"泛化")</f>
        <v/>
      </c>
      <c r="H9" s="231">
        <f>SUMPRODUCT((K分组表!$F$2:$F$394=$B9)*(K分组表!$D$2:$D$394="泛化")/COUNTIFS(K分组表!$B$2:$B$394,K分组表!$B$2:$B$394,K分组表!$F$2:$F$394,K分组表!$F$2:$F$394,K分组表!$D$2:$D$394,K分组表!$D$2:$D$394))</f>
        <v/>
      </c>
      <c r="I9" s="232">
        <f>IF(OR(C9&lt;3,D9&lt;2),"干预 ","")&amp;IF(OR(E9&lt;3,F9&lt;2),"维持 ","")&amp;IF(OR(G9&lt;3,H9&lt;2),"泛化","")</f>
        <v/>
      </c>
    </row>
    <row r="10" ht="15" customHeight="1" s="176">
      <c r="A10" s="187" t="inlineStr">
        <is>
          <t>性别</t>
        </is>
      </c>
      <c r="B10" s="187" t="inlineStr">
        <is>
          <t>女</t>
        </is>
      </c>
      <c r="C10" s="231">
        <f>COUNTIFS(K分组表!$F$2:$F$394,$B10,K分组表!$D$2:$D$394,"干预")</f>
        <v/>
      </c>
      <c r="D10" s="231">
        <f>SUMPRODUCT((K分组表!$F$2:$F$394=$B10)*(K分组表!$D$2:$D$394="干预")/COUNTIFS(K分组表!$B$2:$B$394,K分组表!$B$2:$B$394,K分组表!$F$2:$F$394,K分组表!$F$2:$F$394,K分组表!$D$2:$D$394,K分组表!$D$2:$D$394))</f>
        <v/>
      </c>
      <c r="E10" s="231">
        <f>COUNTIFS(K分组表!$F$2:$F$394,$B10,K分组表!$D$2:$D$394,"维持")</f>
        <v/>
      </c>
      <c r="F10" s="231">
        <f>SUMPRODUCT((K分组表!$F$2:$F$394=$B10)*(K分组表!$D$2:$D$394="维持")/COUNTIFS(K分组表!$B$2:$B$394,K分组表!$B$2:$B$394,K分组表!$F$2:$F$394,K分组表!$F$2:$F$394,K分组表!$D$2:$D$394,K分组表!$D$2:$D$394))</f>
        <v/>
      </c>
      <c r="G10" s="231">
        <f>COUNTIFS(K分组表!$F$2:$F$394,$B10,K分组表!$D$2:$D$394,"泛化")</f>
        <v/>
      </c>
      <c r="H10" s="231">
        <f>SUMPRODUCT((K分组表!$F$2:$F$394=$B10)*(K分组表!$D$2:$D$394="泛化")/COUNTIFS(K分组表!$B$2:$B$394,K分组表!$B$2:$B$394,K分组表!$F$2:$F$394,K分组表!$F$2:$F$394,K分组表!$D$2:$D$394,K分组表!$D$2:$D$394))</f>
        <v/>
      </c>
      <c r="I10" s="232">
        <f>IF(OR(C10&lt;3,D10&lt;2),"干预 ","")&amp;IF(OR(E10&lt;3,F10&lt;2),"维持 ","")&amp;IF(OR(G10&lt;3,H10&lt;2),"泛化","")</f>
        <v/>
      </c>
    </row>
    <row r="11" ht="15" customHeight="1" s="176">
      <c r="A11" s="188" t="inlineStr">
        <is>
          <t>性别</t>
        </is>
      </c>
      <c r="B11" s="188" t="inlineStr">
        <is>
          <t>不纳入该变量（原文未报告）</t>
        </is>
      </c>
      <c r="C11" s="233">
        <f>COUNTIFS(K分组表!$F$2:$F$394,$B11,K分组表!$D$2:$D$394,"干预")</f>
        <v/>
      </c>
      <c r="D11" s="233">
        <f>SUMPRODUCT((K分组表!$F$2:$F$394=$B11)*(K分组表!$D$2:$D$394="干预")/COUNTIFS(K分组表!$B$2:$B$394,K分组表!$B$2:$B$394,K分组表!$F$2:$F$394,K分组表!$F$2:$F$394,K分组表!$D$2:$D$394,K分组表!$D$2:$D$394))</f>
        <v/>
      </c>
      <c r="E11" s="233">
        <f>COUNTIFS(K分组表!$F$2:$F$394,$B11,K分组表!$D$2:$D$394,"维持")</f>
        <v/>
      </c>
      <c r="F11" s="233">
        <f>SUMPRODUCT((K分组表!$F$2:$F$394=$B11)*(K分组表!$D$2:$D$394="维持")/COUNTIFS(K分组表!$B$2:$B$394,K分组表!$B$2:$B$394,K分组表!$F$2:$F$394,K分组表!$F$2:$F$394,K分组表!$D$2:$D$394,K分组表!$D$2:$D$394))</f>
        <v/>
      </c>
      <c r="G11" s="233">
        <f>COUNTIFS(K分组表!$F$2:$F$394,$B11,K分组表!$D$2:$D$394,"泛化")</f>
        <v/>
      </c>
      <c r="H11" s="233">
        <f>SUMPRODUCT((K分组表!$F$2:$F$394=$B11)*(K分组表!$D$2:$D$394="泛化")/COUNTIFS(K分组表!$B$2:$B$394,K分组表!$B$2:$B$394,K分组表!$F$2:$F$394,K分组表!$F$2:$F$394,K分组表!$D$2:$D$394,K分组表!$D$2:$D$394))</f>
        <v/>
      </c>
      <c r="I11" s="234" t="n"/>
    </row>
    <row r="13" ht="15" customHeight="1" s="176">
      <c r="A13" s="187" t="inlineStr">
        <is>
          <t>孤独症程度</t>
        </is>
      </c>
      <c r="B13" s="187" t="inlineStr">
        <is>
          <t>轻中度</t>
        </is>
      </c>
      <c r="C13" s="231">
        <f>COUNTIFS(K分组表!$G$2:$G$394,$B13,K分组表!$D$2:$D$394,"干预")</f>
        <v/>
      </c>
      <c r="D13" s="231">
        <f>SUMPRODUCT((K分组表!$G$2:$G$394=$B13)*(K分组表!$D$2:$D$394="干预")/COUNTIFS(K分组表!$B$2:$B$394,K分组表!$B$2:$B$394,K分组表!$G$2:$G$394,K分组表!$G$2:$G$394,K分组表!$D$2:$D$394,K分组表!$D$2:$D$394))</f>
        <v/>
      </c>
      <c r="E13" s="231">
        <f>COUNTIFS(K分组表!$G$2:$G$394,$B13,K分组表!$D$2:$D$394,"维持")</f>
        <v/>
      </c>
      <c r="F13" s="231">
        <f>SUMPRODUCT((K分组表!$G$2:$G$394=$B13)*(K分组表!$D$2:$D$394="维持")/COUNTIFS(K分组表!$B$2:$B$394,K分组表!$B$2:$B$394,K分组表!$G$2:$G$394,K分组表!$G$2:$G$394,K分组表!$D$2:$D$394,K分组表!$D$2:$D$394))</f>
        <v/>
      </c>
      <c r="G13" s="231">
        <f>COUNTIFS(K分组表!$G$2:$G$394,$B13,K分组表!$D$2:$D$394,"泛化")</f>
        <v/>
      </c>
      <c r="H13" s="231">
        <f>SUMPRODUCT((K分组表!$G$2:$G$394=$B13)*(K分组表!$D$2:$D$394="泛化")/COUNTIFS(K分组表!$B$2:$B$394,K分组表!$B$2:$B$394,K分组表!$G$2:$G$394,K分组表!$G$2:$G$394,K分组表!$D$2:$D$394,K分组表!$D$2:$D$394))</f>
        <v/>
      </c>
      <c r="I13" s="232">
        <f>IF(OR(C13&lt;3,D13&lt;2),"干预 ","")&amp;IF(OR(E13&lt;3,F13&lt;2),"维持 ","")&amp;IF(OR(G13&lt;3,H13&lt;2),"泛化","")</f>
        <v/>
      </c>
    </row>
    <row r="14" ht="15" customHeight="1" s="176">
      <c r="A14" s="187" t="inlineStr">
        <is>
          <t>孤独症程度</t>
        </is>
      </c>
      <c r="B14" s="187" t="inlineStr">
        <is>
          <t>重度</t>
        </is>
      </c>
      <c r="C14" s="231">
        <f>COUNTIFS(K分组表!$G$2:$G$394,$B14,K分组表!$D$2:$D$394,"干预")</f>
        <v/>
      </c>
      <c r="D14" s="231">
        <f>SUMPRODUCT((K分组表!$G$2:$G$394=$B14)*(K分组表!$D$2:$D$394="干预")/COUNTIFS(K分组表!$B$2:$B$394,K分组表!$B$2:$B$394,K分组表!$G$2:$G$394,K分组表!$G$2:$G$394,K分组表!$D$2:$D$394,K分组表!$D$2:$D$394))</f>
        <v/>
      </c>
      <c r="E14" s="231">
        <f>COUNTIFS(K分组表!$G$2:$G$394,$B14,K分组表!$D$2:$D$394,"维持")</f>
        <v/>
      </c>
      <c r="F14" s="231">
        <f>SUMPRODUCT((K分组表!$G$2:$G$394=$B14)*(K分组表!$D$2:$D$394="维持")/COUNTIFS(K分组表!$B$2:$B$394,K分组表!$B$2:$B$394,K分组表!$G$2:$G$394,K分组表!$G$2:$G$394,K分组表!$D$2:$D$394,K分组表!$D$2:$D$394))</f>
        <v/>
      </c>
      <c r="G14" s="231">
        <f>COUNTIFS(K分组表!$G$2:$G$394,$B14,K分组表!$D$2:$D$394,"泛化")</f>
        <v/>
      </c>
      <c r="H14" s="231">
        <f>SUMPRODUCT((K分组表!$G$2:$G$394=$B14)*(K分组表!$D$2:$D$394="泛化")/COUNTIFS(K分组表!$B$2:$B$394,K分组表!$B$2:$B$394,K分组表!$G$2:$G$394,K分组表!$G$2:$G$394,K分组表!$D$2:$D$394,K分组表!$D$2:$D$394))</f>
        <v/>
      </c>
      <c r="I14" s="232">
        <f>IF(OR(C14&lt;3,D14&lt;2),"干预 ","")&amp;IF(OR(E14&lt;3,F14&lt;2),"维持 ","")&amp;IF(OR(G14&lt;3,H14&lt;2),"泛化","")</f>
        <v/>
      </c>
    </row>
    <row r="15" ht="15" customHeight="1" s="176">
      <c r="A15" s="188" t="inlineStr">
        <is>
          <t>孤独症程度</t>
        </is>
      </c>
      <c r="B15" s="188" t="inlineStr">
        <is>
          <t>不纳入该变量（原文未报告）</t>
        </is>
      </c>
      <c r="C15" s="233">
        <f>COUNTIFS(K分组表!$G$2:$G$394,$B15,K分组表!$D$2:$D$394,"干预")</f>
        <v/>
      </c>
      <c r="D15" s="233">
        <f>SUMPRODUCT((K分组表!$G$2:$G$394=$B15)*(K分组表!$D$2:$D$394="干预")/COUNTIFS(K分组表!$B$2:$B$394,K分组表!$B$2:$B$394,K分组表!$G$2:$G$394,K分组表!$G$2:$G$394,K分组表!$D$2:$D$394,K分组表!$D$2:$D$394))</f>
        <v/>
      </c>
      <c r="E15" s="233">
        <f>COUNTIFS(K分组表!$G$2:$G$394,$B15,K分组表!$D$2:$D$394,"维持")</f>
        <v/>
      </c>
      <c r="F15" s="233">
        <f>SUMPRODUCT((K分组表!$G$2:$G$394=$B15)*(K分组表!$D$2:$D$394="维持")/COUNTIFS(K分组表!$B$2:$B$394,K分组表!$B$2:$B$394,K分组表!$G$2:$G$394,K分组表!$G$2:$G$394,K分组表!$D$2:$D$394,K分组表!$D$2:$D$394))</f>
        <v/>
      </c>
      <c r="G15" s="233">
        <f>COUNTIFS(K分组表!$G$2:$G$394,$B15,K分组表!$D$2:$D$394,"泛化")</f>
        <v/>
      </c>
      <c r="H15" s="233">
        <f>SUMPRODUCT((K分组表!$G$2:$G$394=$B15)*(K分组表!$D$2:$D$394="泛化")/COUNTIFS(K分组表!$B$2:$B$394,K分组表!$B$2:$B$394,K分组表!$G$2:$G$394,K分组表!$G$2:$G$394,K分组表!$D$2:$D$394,K分组表!$D$2:$D$394))</f>
        <v/>
      </c>
      <c r="I15" s="234" t="n"/>
    </row>
    <row r="17" ht="15" customHeight="1" s="176">
      <c r="A17" s="230" t="inlineStr">
        <is>
          <t>干预过程特征</t>
        </is>
      </c>
    </row>
    <row r="18" ht="15" customHeight="1" s="176">
      <c r="A18" s="187" t="inlineStr">
        <is>
          <t>示范者</t>
        </is>
      </c>
      <c r="B18" s="187" t="inlineStr">
        <is>
          <t>同伴儿童+动画角色</t>
        </is>
      </c>
      <c r="C18" s="231">
        <f>COUNTIFS(K分组表!$H$2:$H$394,$B18,K分组表!$D$2:$D$394,"干预")</f>
        <v/>
      </c>
      <c r="D18" s="231">
        <f>SUMPRODUCT((K分组表!$H$2:$H$394=$B18)*(K分组表!$D$2:$D$394="干预")/COUNTIFS(K分组表!$B$2:$B$394,K分组表!$B$2:$B$394,K分组表!$H$2:$H$394,K分组表!$H$2:$H$394,K分组表!$D$2:$D$394,K分组表!$D$2:$D$394))</f>
        <v/>
      </c>
      <c r="E18" s="231">
        <f>COUNTIFS(K分组表!$H$2:$H$394,$B18,K分组表!$D$2:$D$394,"维持")</f>
        <v/>
      </c>
      <c r="F18" s="231">
        <f>SUMPRODUCT((K分组表!$H$2:$H$394=$B18)*(K分组表!$D$2:$D$394="维持")/COUNTIFS(K分组表!$B$2:$B$394,K分组表!$B$2:$B$394,K分组表!$H$2:$H$394,K分组表!$H$2:$H$394,K分组表!$D$2:$D$394,K分组表!$D$2:$D$394))</f>
        <v/>
      </c>
      <c r="G18" s="231">
        <f>COUNTIFS(K分组表!$H$2:$H$394,$B18,K分组表!$D$2:$D$394,"泛化")</f>
        <v/>
      </c>
      <c r="H18" s="231">
        <f>SUMPRODUCT((K分组表!$H$2:$H$394=$B18)*(K分组表!$D$2:$D$394="泛化")/COUNTIFS(K分组表!$B$2:$B$394,K分组表!$B$2:$B$394,K分组表!$H$2:$H$394,K分组表!$H$2:$H$394,K分组表!$D$2:$D$394,K分组表!$D$2:$D$394))</f>
        <v/>
      </c>
      <c r="I18" s="232">
        <f>IF(OR(C18&lt;3,D18&lt;2),"干预 ","")&amp;IF(OR(E18&lt;3,F18&lt;2),"维持 ","")&amp;IF(OR(G18&lt;3,H18&lt;2),"泛化","")</f>
        <v/>
      </c>
    </row>
    <row r="19" ht="15" customHeight="1" s="176">
      <c r="A19" s="187" t="inlineStr">
        <is>
          <t>示范者</t>
        </is>
      </c>
      <c r="B19" s="187" t="inlineStr">
        <is>
          <t>同伴儿童（含兄弟姐妹）</t>
        </is>
      </c>
      <c r="C19" s="231">
        <f>COUNTIFS(K分组表!$H$2:$H$394,$B19,K分组表!$D$2:$D$394,"干预")</f>
        <v/>
      </c>
      <c r="D19" s="231">
        <f>SUMPRODUCT((K分组表!$H$2:$H$394=$B19)*(K分组表!$D$2:$D$394="干预")/COUNTIFS(K分组表!$B$2:$B$394,K分组表!$B$2:$B$394,K分组表!$H$2:$H$394,K分组表!$H$2:$H$394,K分组表!$D$2:$D$394,K分组表!$D$2:$D$394))</f>
        <v/>
      </c>
      <c r="E19" s="231">
        <f>COUNTIFS(K分组表!$H$2:$H$394,$B19,K分组表!$D$2:$D$394,"维持")</f>
        <v/>
      </c>
      <c r="F19" s="231">
        <f>SUMPRODUCT((K分组表!$H$2:$H$394=$B19)*(K分组表!$D$2:$D$394="维持")/COUNTIFS(K分组表!$B$2:$B$394,K分组表!$B$2:$B$394,K分组表!$H$2:$H$394,K分组表!$H$2:$H$394,K分组表!$D$2:$D$394,K分组表!$D$2:$D$394))</f>
        <v/>
      </c>
      <c r="G19" s="231">
        <f>COUNTIFS(K分组表!$H$2:$H$394,$B19,K分组表!$D$2:$D$394,"泛化")</f>
        <v/>
      </c>
      <c r="H19" s="231">
        <f>SUMPRODUCT((K分组表!$H$2:$H$394=$B19)*(K分组表!$D$2:$D$394="泛化")/COUNTIFS(K分组表!$B$2:$B$394,K分组表!$B$2:$B$394,K分组表!$H$2:$H$394,K分组表!$H$2:$H$394,K分组表!$D$2:$D$394,K分组表!$D$2:$D$394))</f>
        <v/>
      </c>
      <c r="I19" s="232">
        <f>IF(OR(C19&lt;3,D19&lt;2),"干预 ","")&amp;IF(OR(E19&lt;3,F19&lt;2),"维持 ","")&amp;IF(OR(G19&lt;3,H19&lt;2),"泛化","")</f>
        <v/>
      </c>
    </row>
    <row r="20" ht="15" customHeight="1" s="176">
      <c r="A20" s="187" t="inlineStr">
        <is>
          <t>示范者</t>
        </is>
      </c>
      <c r="B20" s="187" t="inlineStr">
        <is>
          <t>成人</t>
        </is>
      </c>
      <c r="C20" s="231">
        <f>COUNTIFS(K分组表!$H$2:$H$394,$B20,K分组表!$D$2:$D$394,"干预")</f>
        <v/>
      </c>
      <c r="D20" s="231">
        <f>SUMPRODUCT((K分组表!$H$2:$H$394=$B20)*(K分组表!$D$2:$D$394="干预")/COUNTIFS(K分组表!$B$2:$B$394,K分组表!$B$2:$B$394,K分组表!$H$2:$H$394,K分组表!$H$2:$H$394,K分组表!$D$2:$D$394,K分组表!$D$2:$D$394))</f>
        <v/>
      </c>
      <c r="E20" s="231">
        <f>COUNTIFS(K分组表!$H$2:$H$394,$B20,K分组表!$D$2:$D$394,"维持")</f>
        <v/>
      </c>
      <c r="F20" s="231">
        <f>SUMPRODUCT((K分组表!$H$2:$H$394=$B20)*(K分组表!$D$2:$D$394="维持")/COUNTIFS(K分组表!$B$2:$B$394,K分组表!$B$2:$B$394,K分组表!$H$2:$H$394,K分组表!$H$2:$H$394,K分组表!$D$2:$D$394,K分组表!$D$2:$D$394))</f>
        <v/>
      </c>
      <c r="G20" s="231">
        <f>COUNTIFS(K分组表!$H$2:$H$394,$B20,K分组表!$D$2:$D$394,"泛化")</f>
        <v/>
      </c>
      <c r="H20" s="231">
        <f>SUMPRODUCT((K分组表!$H$2:$H$394=$B20)*(K分组表!$D$2:$D$394="泛化")/COUNTIFS(K分组表!$B$2:$B$394,K分组表!$B$2:$B$394,K分组表!$H$2:$H$394,K分组表!$H$2:$H$394,K分组表!$D$2:$D$394,K分组表!$D$2:$D$394))</f>
        <v/>
      </c>
      <c r="I20" s="232">
        <f>IF(OR(C20&lt;3,D20&lt;2),"干预 ","")&amp;IF(OR(E20&lt;3,F20&lt;2),"维持 ","")&amp;IF(OR(G20&lt;3,H20&lt;2),"泛化","")</f>
        <v/>
      </c>
    </row>
    <row r="21" ht="15" customHeight="1" s="176">
      <c r="A21" s="187" t="inlineStr">
        <is>
          <t>示范者</t>
        </is>
      </c>
      <c r="B21" s="187" t="inlineStr">
        <is>
          <t>儿童本人</t>
        </is>
      </c>
      <c r="C21" s="231">
        <f>COUNTIFS(K分组表!$H$2:$H$394,$B21,K分组表!$D$2:$D$394,"干预")</f>
        <v/>
      </c>
      <c r="D21" s="231">
        <f>SUMPRODUCT((K分组表!$H$2:$H$394=$B21)*(K分组表!$D$2:$D$394="干预")/COUNTIFS(K分组表!$B$2:$B$394,K分组表!$B$2:$B$394,K分组表!$H$2:$H$394,K分组表!$H$2:$H$394,K分组表!$D$2:$D$394,K分组表!$D$2:$D$394))</f>
        <v/>
      </c>
      <c r="E21" s="231">
        <f>COUNTIFS(K分组表!$H$2:$H$394,$B21,K分组表!$D$2:$D$394,"维持")</f>
        <v/>
      </c>
      <c r="F21" s="231">
        <f>SUMPRODUCT((K分组表!$H$2:$H$394=$B21)*(K分组表!$D$2:$D$394="维持")/COUNTIFS(K分组表!$B$2:$B$394,K分组表!$B$2:$B$394,K分组表!$H$2:$H$394,K分组表!$H$2:$H$394,K分组表!$D$2:$D$394,K分组表!$D$2:$D$394))</f>
        <v/>
      </c>
      <c r="G21" s="231">
        <f>COUNTIFS(K分组表!$H$2:$H$394,$B21,K分组表!$D$2:$D$394,"泛化")</f>
        <v/>
      </c>
      <c r="H21" s="231">
        <f>SUMPRODUCT((K分组表!$H$2:$H$394=$B21)*(K分组表!$D$2:$D$394="泛化")/COUNTIFS(K分组表!$B$2:$B$394,K分组表!$B$2:$B$394,K分组表!$H$2:$H$394,K分组表!$H$2:$H$394,K分组表!$D$2:$D$394,K分组表!$D$2:$D$394))</f>
        <v/>
      </c>
      <c r="I21" s="232">
        <f>IF(OR(C21&lt;3,D21&lt;2),"干预 ","")&amp;IF(OR(E21&lt;3,F21&lt;2),"维持 ","")&amp;IF(OR(G21&lt;3,H21&lt;2),"泛化","")</f>
        <v/>
      </c>
    </row>
    <row r="22" ht="15" customHeight="1" s="176">
      <c r="A22" s="187" t="inlineStr">
        <is>
          <t>示范者</t>
        </is>
      </c>
      <c r="B22" s="187" t="inlineStr">
        <is>
          <t>动画角色</t>
        </is>
      </c>
      <c r="C22" s="231">
        <f>COUNTIFS(K分组表!$H$2:$H$394,$B22,K分组表!$D$2:$D$394,"干预")</f>
        <v/>
      </c>
      <c r="D22" s="231">
        <f>SUMPRODUCT((K分组表!$H$2:$H$394=$B22)*(K分组表!$D$2:$D$394="干预")/COUNTIFS(K分组表!$B$2:$B$394,K分组表!$B$2:$B$394,K分组表!$H$2:$H$394,K分组表!$H$2:$H$394,K分组表!$D$2:$D$394,K分组表!$D$2:$D$394))</f>
        <v/>
      </c>
      <c r="E22" s="231">
        <f>COUNTIFS(K分组表!$H$2:$H$394,$B22,K分组表!$D$2:$D$394,"维持")</f>
        <v/>
      </c>
      <c r="F22" s="231">
        <f>SUMPRODUCT((K分组表!$H$2:$H$394=$B22)*(K分组表!$D$2:$D$394="维持")/COUNTIFS(K分组表!$B$2:$B$394,K分组表!$B$2:$B$394,K分组表!$H$2:$H$394,K分组表!$H$2:$H$394,K分组表!$D$2:$D$394,K分组表!$D$2:$D$394))</f>
        <v/>
      </c>
      <c r="G22" s="231">
        <f>COUNTIFS(K分组表!$H$2:$H$394,$B22,K分组表!$D$2:$D$394,"泛化")</f>
        <v/>
      </c>
      <c r="H22" s="231">
        <f>SUMPRODUCT((K分组表!$H$2:$H$394=$B22)*(K分组表!$D$2:$D$394="泛化")/COUNTIFS(K分组表!$B$2:$B$394,K分组表!$B$2:$B$394,K分组表!$H$2:$H$394,K分组表!$H$2:$H$394,K分组表!$D$2:$D$394,K分组表!$D$2:$D$394))</f>
        <v/>
      </c>
      <c r="I22" s="232">
        <f>IF(OR(C22&lt;3,D22&lt;2),"干预 ","")&amp;IF(OR(E22&lt;3,F22&lt;2),"维持 ","")&amp;IF(OR(G22&lt;3,H22&lt;2),"泛化","")</f>
        <v/>
      </c>
    </row>
    <row r="24" ht="15" customHeight="1" s="176">
      <c r="A24" s="187" t="inlineStr">
        <is>
          <t>视频示范实施方式</t>
        </is>
      </c>
      <c r="B24" s="187" t="inlineStr">
        <is>
          <t>单独实施</t>
        </is>
      </c>
      <c r="C24" s="231">
        <f>COUNTIFS(K分组表!$I$2:$I$394,$B24,K分组表!$D$2:$D$394,"干预")</f>
        <v/>
      </c>
      <c r="D24" s="231">
        <f>SUMPRODUCT((K分组表!$I$2:$I$394=$B24)*(K分组表!$D$2:$D$394="干预")/COUNTIFS(K分组表!$B$2:$B$394,K分组表!$B$2:$B$394,K分组表!$I$2:$I$394,K分组表!$I$2:$I$394,K分组表!$D$2:$D$394,K分组表!$D$2:$D$394))</f>
        <v/>
      </c>
      <c r="E24" s="231">
        <f>COUNTIFS(K分组表!$I$2:$I$394,$B24,K分组表!$D$2:$D$394,"维持")</f>
        <v/>
      </c>
      <c r="F24" s="231">
        <f>SUMPRODUCT((K分组表!$I$2:$I$394=$B24)*(K分组表!$D$2:$D$394="维持")/COUNTIFS(K分组表!$B$2:$B$394,K分组表!$B$2:$B$394,K分组表!$I$2:$I$394,K分组表!$I$2:$I$394,K分组表!$D$2:$D$394,K分组表!$D$2:$D$394))</f>
        <v/>
      </c>
      <c r="G24" s="231">
        <f>COUNTIFS(K分组表!$I$2:$I$394,$B24,K分组表!$D$2:$D$394,"泛化")</f>
        <v/>
      </c>
      <c r="H24" s="231">
        <f>SUMPRODUCT((K分组表!$I$2:$I$394=$B24)*(K分组表!$D$2:$D$394="泛化")/COUNTIFS(K分组表!$B$2:$B$394,K分组表!$B$2:$B$394,K分组表!$I$2:$I$394,K分组表!$I$2:$I$394,K分组表!$D$2:$D$394,K分组表!$D$2:$D$394))</f>
        <v/>
      </c>
      <c r="I24" s="232">
        <f>IF(OR(C24&lt;3,D24&lt;2),"干预 ","")&amp;IF(OR(E24&lt;3,F24&lt;2),"维持 ","")&amp;IF(OR(G24&lt;3,H24&lt;2),"泛化","")</f>
        <v/>
      </c>
    </row>
    <row r="25" ht="15" customHeight="1" s="176">
      <c r="A25" s="187" t="inlineStr">
        <is>
          <t>视频示范实施方式</t>
        </is>
      </c>
      <c r="B25" s="187" t="inlineStr">
        <is>
          <t>结合教学程序</t>
        </is>
      </c>
      <c r="C25" s="231">
        <f>COUNTIFS(K分组表!$I$2:$I$394,$B25,K分组表!$D$2:$D$394,"干预")</f>
        <v/>
      </c>
      <c r="D25" s="231">
        <f>SUMPRODUCT((K分组表!$I$2:$I$394=$B25)*(K分组表!$D$2:$D$394="干预")/COUNTIFS(K分组表!$B$2:$B$394,K分组表!$B$2:$B$394,K分组表!$I$2:$I$394,K分组表!$I$2:$I$394,K分组表!$D$2:$D$394,K分组表!$D$2:$D$394))</f>
        <v/>
      </c>
      <c r="E25" s="231">
        <f>COUNTIFS(K分组表!$I$2:$I$394,$B25,K分组表!$D$2:$D$394,"维持")</f>
        <v/>
      </c>
      <c r="F25" s="231">
        <f>SUMPRODUCT((K分组表!$I$2:$I$394=$B25)*(K分组表!$D$2:$D$394="维持")/COUNTIFS(K分组表!$B$2:$B$394,K分组表!$B$2:$B$394,K分组表!$I$2:$I$394,K分组表!$I$2:$I$394,K分组表!$D$2:$D$394,K分组表!$D$2:$D$394))</f>
        <v/>
      </c>
      <c r="G25" s="231">
        <f>COUNTIFS(K分组表!$I$2:$I$394,$B25,K分组表!$D$2:$D$394,"泛化")</f>
        <v/>
      </c>
      <c r="H25" s="231">
        <f>SUMPRODUCT((K分组表!$I$2:$I$394=$B25)*(K分组表!$D$2:$D$394="泛化")/COUNTIFS(K分组表!$B$2:$B$394,K分组表!$B$2:$B$394,K分组表!$I$2:$I$394,K分组表!$I$2:$I$394,K分组表!$D$2:$D$394,K分组表!$D$2:$D$394))</f>
        <v/>
      </c>
      <c r="I25" s="232">
        <f>IF(OR(C25&lt;3,D25&lt;2),"干预 ","")&amp;IF(OR(E25&lt;3,F25&lt;2),"维持 ","")&amp;IF(OR(G25&lt;3,H25&lt;2),"泛化","")</f>
        <v/>
      </c>
    </row>
    <row r="26" ht="15" customHeight="1" s="176">
      <c r="A26" s="187" t="inlineStr">
        <is>
          <t>视频示范实施方式</t>
        </is>
      </c>
      <c r="B26" s="187" t="inlineStr">
        <is>
          <t>嵌入综合干预方案</t>
        </is>
      </c>
      <c r="C26" s="231">
        <f>COUNTIFS(K分组表!$I$2:$I$394,$B26,K分组表!$D$2:$D$394,"干预")</f>
        <v/>
      </c>
      <c r="D26" s="231">
        <f>SUMPRODUCT((K分组表!$I$2:$I$394=$B26)*(K分组表!$D$2:$D$394="干预")/COUNTIFS(K分组表!$B$2:$B$394,K分组表!$B$2:$B$394,K分组表!$I$2:$I$394,K分组表!$I$2:$I$394,K分组表!$D$2:$D$394,K分组表!$D$2:$D$394))</f>
        <v/>
      </c>
      <c r="E26" s="231">
        <f>COUNTIFS(K分组表!$I$2:$I$394,$B26,K分组表!$D$2:$D$394,"维持")</f>
        <v/>
      </c>
      <c r="F26" s="231">
        <f>SUMPRODUCT((K分组表!$I$2:$I$394=$B26)*(K分组表!$D$2:$D$394="维持")/COUNTIFS(K分组表!$B$2:$B$394,K分组表!$B$2:$B$394,K分组表!$I$2:$I$394,K分组表!$I$2:$I$394,K分组表!$D$2:$D$394,K分组表!$D$2:$D$394))</f>
        <v/>
      </c>
      <c r="G26" s="231">
        <f>COUNTIFS(K分组表!$I$2:$I$394,$B26,K分组表!$D$2:$D$394,"泛化")</f>
        <v/>
      </c>
      <c r="H26" s="231">
        <f>SUMPRODUCT((K分组表!$I$2:$I$394=$B26)*(K分组表!$D$2:$D$394="泛化")/COUNTIFS(K分组表!$B$2:$B$394,K分组表!$B$2:$B$394,K分组表!$I$2:$I$394,K分组表!$I$2:$I$394,K分组表!$D$2:$D$394,K分组表!$D$2:$D$394))</f>
        <v/>
      </c>
      <c r="I26" s="232">
        <f>IF(OR(C26&lt;3,D26&lt;2),"干预 ","")&amp;IF(OR(E26&lt;3,F26&lt;2),"维持 ","")&amp;IF(OR(G26&lt;3,H26&lt;2),"泛化","")</f>
        <v/>
      </c>
    </row>
    <row r="28" ht="15" customHeight="1" s="176">
      <c r="A28" s="187" t="inlineStr">
        <is>
          <t>视频呈现设备</t>
        </is>
      </c>
      <c r="B28" s="187" t="inlineStr">
        <is>
          <t>电视</t>
        </is>
      </c>
      <c r="C28" s="231">
        <f>COUNTIFS(K分组表!$J$2:$J$394,$B28,K分组表!$D$2:$D$394,"干预")</f>
        <v/>
      </c>
      <c r="D28" s="231">
        <f>SUMPRODUCT((K分组表!$J$2:$J$394=$B28)*(K分组表!$D$2:$D$394="干预")/COUNTIFS(K分组表!$B$2:$B$394,K分组表!$B$2:$B$394,K分组表!$J$2:$J$394,K分组表!$J$2:$J$394,K分组表!$D$2:$D$394,K分组表!$D$2:$D$394))</f>
        <v/>
      </c>
      <c r="E28" s="231">
        <f>COUNTIFS(K分组表!$J$2:$J$394,$B28,K分组表!$D$2:$D$394,"维持")</f>
        <v/>
      </c>
      <c r="F28" s="231">
        <f>SUMPRODUCT((K分组表!$J$2:$J$394=$B28)*(K分组表!$D$2:$D$394="维持")/COUNTIFS(K分组表!$B$2:$B$394,K分组表!$B$2:$B$394,K分组表!$J$2:$J$394,K分组表!$J$2:$J$394,K分组表!$D$2:$D$394,K分组表!$D$2:$D$394))</f>
        <v/>
      </c>
      <c r="G28" s="231">
        <f>COUNTIFS(K分组表!$J$2:$J$394,$B28,K分组表!$D$2:$D$394,"泛化")</f>
        <v/>
      </c>
      <c r="H28" s="231">
        <f>SUMPRODUCT((K分组表!$J$2:$J$394=$B28)*(K分组表!$D$2:$D$394="泛化")/COUNTIFS(K分组表!$B$2:$B$394,K分组表!$B$2:$B$394,K分组表!$J$2:$J$394,K分组表!$J$2:$J$394,K分组表!$D$2:$D$394,K分组表!$D$2:$D$394))</f>
        <v/>
      </c>
      <c r="I28" s="232">
        <f>IF(OR(C28&lt;3,D28&lt;2),"干预 ","")&amp;IF(OR(E28&lt;3,F28&lt;2),"维持 ","")&amp;IF(OR(G28&lt;3,H28&lt;2),"泛化","")</f>
        <v/>
      </c>
    </row>
    <row r="29" ht="15" customHeight="1" s="176">
      <c r="A29" s="187" t="inlineStr">
        <is>
          <t>视频呈现设备</t>
        </is>
      </c>
      <c r="B29" s="187" t="inlineStr">
        <is>
          <t>电脑</t>
        </is>
      </c>
      <c r="C29" s="231">
        <f>COUNTIFS(K分组表!$J$2:$J$394,$B29,K分组表!$D$2:$D$394,"干预")</f>
        <v/>
      </c>
      <c r="D29" s="231">
        <f>SUMPRODUCT((K分组表!$J$2:$J$394=$B29)*(K分组表!$D$2:$D$394="干预")/COUNTIFS(K分组表!$B$2:$B$394,K分组表!$B$2:$B$394,K分组表!$J$2:$J$394,K分组表!$J$2:$J$394,K分组表!$D$2:$D$394,K分组表!$D$2:$D$394))</f>
        <v/>
      </c>
      <c r="E29" s="231">
        <f>COUNTIFS(K分组表!$J$2:$J$394,$B29,K分组表!$D$2:$D$394,"维持")</f>
        <v/>
      </c>
      <c r="F29" s="231">
        <f>SUMPRODUCT((K分组表!$J$2:$J$394=$B29)*(K分组表!$D$2:$D$394="维持")/COUNTIFS(K分组表!$B$2:$B$394,K分组表!$B$2:$B$394,K分组表!$J$2:$J$394,K分组表!$J$2:$J$394,K分组表!$D$2:$D$394,K分组表!$D$2:$D$394))</f>
        <v/>
      </c>
      <c r="G29" s="231">
        <f>COUNTIFS(K分组表!$J$2:$J$394,$B29,K分组表!$D$2:$D$394,"泛化")</f>
        <v/>
      </c>
      <c r="H29" s="231">
        <f>SUMPRODUCT((K分组表!$J$2:$J$394=$B29)*(K分组表!$D$2:$D$394="泛化")/COUNTIFS(K分组表!$B$2:$B$394,K分组表!$B$2:$B$394,K分组表!$J$2:$J$394,K分组表!$J$2:$J$394,K分组表!$D$2:$D$394,K分组表!$D$2:$D$394))</f>
        <v/>
      </c>
      <c r="I29" s="232">
        <f>IF(OR(C29&lt;3,D29&lt;2),"干预 ","")&amp;IF(OR(E29&lt;3,F29&lt;2),"维持 ","")&amp;IF(OR(G29&lt;3,H29&lt;2),"泛化","")</f>
        <v/>
      </c>
    </row>
    <row r="30" ht="15" customHeight="1" s="176">
      <c r="A30" s="187" t="inlineStr">
        <is>
          <t>视频呈现设备</t>
        </is>
      </c>
      <c r="B30" s="187" t="inlineStr">
        <is>
          <t>便携触屏设备</t>
        </is>
      </c>
      <c r="C30" s="231">
        <f>COUNTIFS(K分组表!$J$2:$J$394,$B30,K分组表!$D$2:$D$394,"干预")</f>
        <v/>
      </c>
      <c r="D30" s="231">
        <f>SUMPRODUCT((K分组表!$J$2:$J$394=$B30)*(K分组表!$D$2:$D$394="干预")/COUNTIFS(K分组表!$B$2:$B$394,K分组表!$B$2:$B$394,K分组表!$J$2:$J$394,K分组表!$J$2:$J$394,K分组表!$D$2:$D$394,K分组表!$D$2:$D$394))</f>
        <v/>
      </c>
      <c r="E30" s="231">
        <f>COUNTIFS(K分组表!$J$2:$J$394,$B30,K分组表!$D$2:$D$394,"维持")</f>
        <v/>
      </c>
      <c r="F30" s="231">
        <f>SUMPRODUCT((K分组表!$J$2:$J$394=$B30)*(K分组表!$D$2:$D$394="维持")/COUNTIFS(K分组表!$B$2:$B$394,K分组表!$B$2:$B$394,K分组表!$J$2:$J$394,K分组表!$J$2:$J$394,K分组表!$D$2:$D$394,K分组表!$D$2:$D$394))</f>
        <v/>
      </c>
      <c r="G30" s="231">
        <f>COUNTIFS(K分组表!$J$2:$J$394,$B30,K分组表!$D$2:$D$394,"泛化")</f>
        <v/>
      </c>
      <c r="H30" s="231">
        <f>SUMPRODUCT((K分组表!$J$2:$J$394=$B30)*(K分组表!$D$2:$D$394="泛化")/COUNTIFS(K分组表!$B$2:$B$394,K分组表!$B$2:$B$394,K分组表!$J$2:$J$394,K分组表!$J$2:$J$394,K分组表!$D$2:$D$394,K分组表!$D$2:$D$394))</f>
        <v/>
      </c>
      <c r="I30" s="232">
        <f>IF(OR(C30&lt;3,D30&lt;2),"干预 ","")&amp;IF(OR(E30&lt;3,F30&lt;2),"维持 ","")&amp;IF(OR(G30&lt;3,H30&lt;2),"泛化","")</f>
        <v/>
      </c>
    </row>
    <row r="31" ht="15" customHeight="1" s="176">
      <c r="A31" s="187" t="inlineStr">
        <is>
          <t>视频呈现设备</t>
        </is>
      </c>
      <c r="B31" s="187" t="inlineStr">
        <is>
          <t>投影与白板</t>
        </is>
      </c>
      <c r="C31" s="231">
        <f>COUNTIFS(K分组表!$J$2:$J$394,$B31,K分组表!$D$2:$D$394,"干预")</f>
        <v/>
      </c>
      <c r="D31" s="231">
        <f>SUMPRODUCT((K分组表!$J$2:$J$394=$B31)*(K分组表!$D$2:$D$394="干预")/COUNTIFS(K分组表!$B$2:$B$394,K分组表!$B$2:$B$394,K分组表!$J$2:$J$394,K分组表!$J$2:$J$394,K分组表!$D$2:$D$394,K分组表!$D$2:$D$394))</f>
        <v/>
      </c>
      <c r="E31" s="231">
        <f>COUNTIFS(K分组表!$J$2:$J$394,$B31,K分组表!$D$2:$D$394,"维持")</f>
        <v/>
      </c>
      <c r="F31" s="231">
        <f>SUMPRODUCT((K分组表!$J$2:$J$394=$B31)*(K分组表!$D$2:$D$394="维持")/COUNTIFS(K分组表!$B$2:$B$394,K分组表!$B$2:$B$394,K分组表!$J$2:$J$394,K分组表!$J$2:$J$394,K分组表!$D$2:$D$394,K分组表!$D$2:$D$394))</f>
        <v/>
      </c>
      <c r="G31" s="231">
        <f>COUNTIFS(K分组表!$J$2:$J$394,$B31,K分组表!$D$2:$D$394,"泛化")</f>
        <v/>
      </c>
      <c r="H31" s="231">
        <f>SUMPRODUCT((K分组表!$J$2:$J$394=$B31)*(K分组表!$D$2:$D$394="泛化")/COUNTIFS(K分组表!$B$2:$B$394,K分组表!$B$2:$B$394,K分组表!$J$2:$J$394,K分组表!$J$2:$J$394,K分组表!$D$2:$D$394,K分组表!$D$2:$D$394))</f>
        <v/>
      </c>
      <c r="I31" s="232">
        <f>IF(OR(C31&lt;3,D31&lt;2),"干预 ","")&amp;IF(OR(E31&lt;3,F31&lt;2),"维持 ","")&amp;IF(OR(G31&lt;3,H31&lt;2),"泛化","")</f>
        <v/>
      </c>
    </row>
    <row r="32" ht="15" customHeight="1" s="176">
      <c r="A32" s="188" t="inlineStr">
        <is>
          <t>视频呈现设备</t>
        </is>
      </c>
      <c r="B32" s="188" t="inlineStr">
        <is>
          <t>不纳入该变量（原文未报告）</t>
        </is>
      </c>
      <c r="C32" s="233">
        <f>COUNTIFS(K分组表!$J$2:$J$394,$B32,K分组表!$D$2:$D$394,"干预")</f>
        <v/>
      </c>
      <c r="D32" s="233">
        <f>SUMPRODUCT((K分组表!$J$2:$J$394=$B32)*(K分组表!$D$2:$D$394="干预")/COUNTIFS(K分组表!$B$2:$B$394,K分组表!$B$2:$B$394,K分组表!$J$2:$J$394,K分组表!$J$2:$J$394,K分组表!$D$2:$D$394,K分组表!$D$2:$D$394))</f>
        <v/>
      </c>
      <c r="E32" s="233">
        <f>COUNTIFS(K分组表!$J$2:$J$394,$B32,K分组表!$D$2:$D$394,"维持")</f>
        <v/>
      </c>
      <c r="F32" s="233">
        <f>SUMPRODUCT((K分组表!$J$2:$J$394=$B32)*(K分组表!$D$2:$D$394="维持")/COUNTIFS(K分组表!$B$2:$B$394,K分组表!$B$2:$B$394,K分组表!$J$2:$J$394,K分组表!$J$2:$J$394,K分组表!$D$2:$D$394,K分组表!$D$2:$D$394))</f>
        <v/>
      </c>
      <c r="G32" s="233">
        <f>COUNTIFS(K分组表!$J$2:$J$394,$B32,K分组表!$D$2:$D$394,"泛化")</f>
        <v/>
      </c>
      <c r="H32" s="233">
        <f>SUMPRODUCT((K分组表!$J$2:$J$394=$B32)*(K分组表!$D$2:$D$394="泛化")/COUNTIFS(K分组表!$B$2:$B$394,K分组表!$B$2:$B$394,K分组表!$J$2:$J$394,K分组表!$J$2:$J$394,K分组表!$D$2:$D$394,K分组表!$D$2:$D$394))</f>
        <v/>
      </c>
      <c r="I32" s="234" t="n"/>
    </row>
    <row r="33" ht="15" customHeight="1" s="176">
      <c r="A33" s="187" t="inlineStr">
        <is>
          <t>单次干预时长</t>
        </is>
      </c>
      <c r="B33" s="186" t="inlineStr">
        <is>
          <t>10分钟及以下</t>
        </is>
      </c>
      <c r="C33" s="231">
        <f>COUNTIFS(K分组表!$K$2:$K$394,$B33,K分组表!$D$2:$D$394,"干预")</f>
        <v/>
      </c>
      <c r="D33" s="231">
        <f>SUMPRODUCT((K分组表!$K$2:$K$394=$B33)*(K分组表!$D$2:$D$394="干预")/COUNTIFS(K分组表!$B$2:$B$394,K分组表!$B$2:$B$394,K分组表!$K$2:$K$394,K分组表!$K$2:$K$394,K分组表!$D$2:$D$394,K分组表!$D$2:$D$394))</f>
        <v/>
      </c>
      <c r="E33" s="231">
        <f>COUNTIFS(K分组表!$K$2:$K$394,$B33,K分组表!$D$2:$D$394,"维持")</f>
        <v/>
      </c>
      <c r="F33" s="231">
        <f>SUMPRODUCT((K分组表!$K$2:$K$394=$B33)*(K分组表!$D$2:$D$394="维持")/COUNTIFS(K分组表!$B$2:$B$394,K分组表!$B$2:$B$394,K分组表!$K$2:$K$394,K分组表!$K$2:$K$394,K分组表!$D$2:$D$394,K分组表!$D$2:$D$394))</f>
        <v/>
      </c>
      <c r="G33" s="231">
        <f>COUNTIFS(K分组表!$K$2:$K$394,$B33,K分组表!$D$2:$D$394,"泛化")</f>
        <v/>
      </c>
      <c r="H33" s="231">
        <f>SUMPRODUCT((K分组表!$K$2:$K$394=$B33)*(K分组表!$D$2:$D$394="泛化")/COUNTIFS(K分组表!$B$2:$B$394,K分组表!$B$2:$B$394,K分组表!$K$2:$K$394,K分组表!$K$2:$K$394,K分组表!$D$2:$D$394,K分组表!$D$2:$D$394))</f>
        <v/>
      </c>
      <c r="I33" s="232">
        <f>IF(OR(C33&lt;3,D33&lt;2),"干预 ","")&amp;IF(OR(E33&lt;3,F33&lt;2),"维持 ","")&amp;IF(OR(G33&lt;3,H33&lt;2),"泛化","")</f>
        <v/>
      </c>
    </row>
    <row r="34" ht="15" customHeight="1" s="176">
      <c r="A34" s="187" t="inlineStr">
        <is>
          <t>单次干预时长</t>
        </is>
      </c>
      <c r="B34" s="186" t="inlineStr">
        <is>
          <t>11～60分钟</t>
        </is>
      </c>
      <c r="C34" s="231">
        <f>COUNTIFS(K分组表!$K$2:$K$394,$B34,K分组表!$D$2:$D$394,"干预")</f>
        <v/>
      </c>
      <c r="D34" s="231">
        <f>SUMPRODUCT((K分组表!$K$2:$K$394=$B34)*(K分组表!$D$2:$D$394="干预")/COUNTIFS(K分组表!$B$2:$B$394,K分组表!$B$2:$B$394,K分组表!$K$2:$K$394,K分组表!$K$2:$K$394,K分组表!$D$2:$D$394,K分组表!$D$2:$D$394))</f>
        <v/>
      </c>
      <c r="E34" s="231">
        <f>COUNTIFS(K分组表!$K$2:$K$394,$B34,K分组表!$D$2:$D$394,"维持")</f>
        <v/>
      </c>
      <c r="F34" s="231">
        <f>SUMPRODUCT((K分组表!$K$2:$K$394=$B34)*(K分组表!$D$2:$D$394="维持")/COUNTIFS(K分组表!$B$2:$B$394,K分组表!$B$2:$B$394,K分组表!$K$2:$K$394,K分组表!$K$2:$K$394,K分组表!$D$2:$D$394,K分组表!$D$2:$D$394))</f>
        <v/>
      </c>
      <c r="G34" s="231">
        <f>COUNTIFS(K分组表!$K$2:$K$394,$B34,K分组表!$D$2:$D$394,"泛化")</f>
        <v/>
      </c>
      <c r="H34" s="231">
        <f>SUMPRODUCT((K分组表!$K$2:$K$394=$B34)*(K分组表!$D$2:$D$394="泛化")/COUNTIFS(K分组表!$B$2:$B$394,K分组表!$B$2:$B$394,K分组表!$K$2:$K$394,K分组表!$K$2:$K$394,K分组表!$D$2:$D$394,K分组表!$D$2:$D$394))</f>
        <v/>
      </c>
      <c r="I34" s="232">
        <f>IF(OR(C34&lt;3,D34&lt;2),"干预 ","")&amp;IF(OR(E34&lt;3,F34&lt;2),"维持 ","")&amp;IF(OR(G34&lt;3,H34&lt;2),"泛化","")</f>
        <v/>
      </c>
    </row>
    <row r="35" ht="15" customHeight="1" s="176">
      <c r="A35" s="187" t="inlineStr">
        <is>
          <t>单次干预时长</t>
        </is>
      </c>
      <c r="B35" s="186" t="inlineStr">
        <is>
          <t>60分钟以上</t>
        </is>
      </c>
      <c r="C35" s="231">
        <f>COUNTIFS(K分组表!$K$2:$K$394,$B35,K分组表!$D$2:$D$394,"干预")</f>
        <v/>
      </c>
      <c r="D35" s="231">
        <f>SUMPRODUCT((K分组表!$K$2:$K$394=$B35)*(K分组表!$D$2:$D$394="干预")/COUNTIFS(K分组表!$B$2:$B$394,K分组表!$B$2:$B$394,K分组表!$K$2:$K$394,K分组表!$K$2:$K$394,K分组表!$D$2:$D$394,K分组表!$D$2:$D$394))</f>
        <v/>
      </c>
      <c r="E35" s="231">
        <f>COUNTIFS(K分组表!$K$2:$K$394,$B35,K分组表!$D$2:$D$394,"维持")</f>
        <v/>
      </c>
      <c r="F35" s="231">
        <f>SUMPRODUCT((K分组表!$K$2:$K$394=$B35)*(K分组表!$D$2:$D$394="维持")/COUNTIFS(K分组表!$B$2:$B$394,K分组表!$B$2:$B$394,K分组表!$K$2:$K$394,K分组表!$K$2:$K$394,K分组表!$D$2:$D$394,K分组表!$D$2:$D$394))</f>
        <v/>
      </c>
      <c r="G35" s="231">
        <f>COUNTIFS(K分组表!$K$2:$K$394,$B35,K分组表!$D$2:$D$394,"泛化")</f>
        <v/>
      </c>
      <c r="H35" s="231">
        <f>SUMPRODUCT((K分组表!$K$2:$K$394=$B35)*(K分组表!$D$2:$D$394="泛化")/COUNTIFS(K分组表!$B$2:$B$394,K分组表!$B$2:$B$394,K分组表!$K$2:$K$394,K分组表!$K$2:$K$394,K分组表!$D$2:$D$394,K分组表!$D$2:$D$394))</f>
        <v/>
      </c>
      <c r="I35" s="232">
        <f>IF(OR(C35&lt;3,D35&lt;2),"干预 ","")&amp;IF(OR(E35&lt;3,F35&lt;2),"维持 ","")&amp;IF(OR(G35&lt;3,H35&lt;2),"泛化","")</f>
        <v/>
      </c>
    </row>
    <row r="36" ht="15" customHeight="1" s="176">
      <c r="A36" s="188" t="inlineStr">
        <is>
          <t>单次干预时长</t>
        </is>
      </c>
      <c r="B36" s="188" t="inlineStr">
        <is>
          <t>不纳入该变量（原文未报告）</t>
        </is>
      </c>
      <c r="C36" s="233">
        <f>COUNTIFS(K分组表!$K$2:$K$394,$B36,K分组表!$D$2:$D$394,"干预")</f>
        <v/>
      </c>
      <c r="D36" s="233">
        <f>SUMPRODUCT((K分组表!$K$2:$K$394=$B36)*(K分组表!$D$2:$D$394="干预")/COUNTIFS(K分组表!$B$2:$B$394,K分组表!$B$2:$B$394,K分组表!$K$2:$K$394,K分组表!$K$2:$K$394,K分组表!$D$2:$D$394,K分组表!$D$2:$D$394))</f>
        <v/>
      </c>
      <c r="E36" s="233">
        <f>COUNTIFS(K分组表!$K$2:$K$394,$B36,K分组表!$D$2:$D$394,"维持")</f>
        <v/>
      </c>
      <c r="F36" s="233">
        <f>SUMPRODUCT((K分组表!$K$2:$K$394=$B36)*(K分组表!$D$2:$D$394="维持")/COUNTIFS(K分组表!$B$2:$B$394,K分组表!$B$2:$B$394,K分组表!$K$2:$K$394,K分组表!$K$2:$K$394,K分组表!$D$2:$D$394,K分组表!$D$2:$D$394))</f>
        <v/>
      </c>
      <c r="G36" s="233">
        <f>COUNTIFS(K分组表!$K$2:$K$394,$B36,K分组表!$D$2:$D$394,"泛化")</f>
        <v/>
      </c>
      <c r="H36" s="233">
        <f>SUMPRODUCT((K分组表!$K$2:$K$394=$B36)*(K分组表!$D$2:$D$394="泛化")/COUNTIFS(K分组表!$B$2:$B$394,K分组表!$B$2:$B$394,K分组表!$K$2:$K$394,K分组表!$K$2:$K$394,K分组表!$D$2:$D$394,K分组表!$D$2:$D$394))</f>
        <v/>
      </c>
      <c r="I36" s="234" t="n"/>
    </row>
    <row r="38" ht="15" customHeight="1" s="176">
      <c r="A38" s="187" t="inlineStr">
        <is>
          <t>干预场所</t>
        </is>
      </c>
      <c r="B38" s="187" t="inlineStr">
        <is>
          <t>教室</t>
        </is>
      </c>
      <c r="C38" s="231">
        <f>COUNTIFS(K分组表!$L$2:$L$394,$B38,K分组表!$D$2:$D$394,"干预")</f>
        <v/>
      </c>
      <c r="D38" s="231">
        <f>SUMPRODUCT((K分组表!$L$2:$L$394=$B38)*(K分组表!$D$2:$D$394="干预")/COUNTIFS(K分组表!$B$2:$B$394,K分组表!$B$2:$B$394,K分组表!$L$2:$L$394,K分组表!$L$2:$L$394,K分组表!$D$2:$D$394,K分组表!$D$2:$D$394))</f>
        <v/>
      </c>
      <c r="E38" s="231">
        <f>COUNTIFS(K分组表!$L$2:$L$394,$B38,K分组表!$D$2:$D$394,"维持")</f>
        <v/>
      </c>
      <c r="F38" s="231">
        <f>SUMPRODUCT((K分组表!$L$2:$L$394=$B38)*(K分组表!$D$2:$D$394="维持")/COUNTIFS(K分组表!$B$2:$B$394,K分组表!$B$2:$B$394,K分组表!$L$2:$L$394,K分组表!$L$2:$L$394,K分组表!$D$2:$D$394,K分组表!$D$2:$D$394))</f>
        <v/>
      </c>
      <c r="G38" s="231">
        <f>COUNTIFS(K分组表!$L$2:$L$394,$B38,K分组表!$D$2:$D$394,"泛化")</f>
        <v/>
      </c>
      <c r="H38" s="231">
        <f>SUMPRODUCT((K分组表!$L$2:$L$394=$B38)*(K分组表!$D$2:$D$394="泛化")/COUNTIFS(K分组表!$B$2:$B$394,K分组表!$B$2:$B$394,K分组表!$L$2:$L$394,K分组表!$L$2:$L$394,K分组表!$D$2:$D$394,K分组表!$D$2:$D$394))</f>
        <v/>
      </c>
      <c r="I38" s="232">
        <f>IF(OR(C38&lt;3,D38&lt;2),"干预 ","")&amp;IF(OR(E38&lt;3,F38&lt;2),"维持 ","")&amp;IF(OR(G38&lt;3,H38&lt;2),"泛化","")</f>
        <v/>
      </c>
    </row>
    <row r="39" ht="15" customHeight="1" s="176">
      <c r="A39" s="187" t="inlineStr">
        <is>
          <t>干预场所</t>
        </is>
      </c>
      <c r="B39" s="187" t="inlineStr">
        <is>
          <t>办公辅助空间</t>
        </is>
      </c>
      <c r="C39" s="231">
        <f>COUNTIFS(K分组表!$L$2:$L$394,$B39,K分组表!$D$2:$D$394,"干预")</f>
        <v/>
      </c>
      <c r="D39" s="231">
        <f>SUMPRODUCT((K分组表!$L$2:$L$394=$B39)*(K分组表!$D$2:$D$394="干预")/COUNTIFS(K分组表!$B$2:$B$394,K分组表!$B$2:$B$394,K分组表!$L$2:$L$394,K分组表!$L$2:$L$394,K分组表!$D$2:$D$394,K分组表!$D$2:$D$394))</f>
        <v/>
      </c>
      <c r="E39" s="231">
        <f>COUNTIFS(K分组表!$L$2:$L$394,$B39,K分组表!$D$2:$D$394,"维持")</f>
        <v/>
      </c>
      <c r="F39" s="231">
        <f>SUMPRODUCT((K分组表!$L$2:$L$394=$B39)*(K分组表!$D$2:$D$394="维持")/COUNTIFS(K分组表!$B$2:$B$394,K分组表!$B$2:$B$394,K分组表!$L$2:$L$394,K分组表!$L$2:$L$394,K分组表!$D$2:$D$394,K分组表!$D$2:$D$394))</f>
        <v/>
      </c>
      <c r="G39" s="231">
        <f>COUNTIFS(K分组表!$L$2:$L$394,$B39,K分组表!$D$2:$D$394,"泛化")</f>
        <v/>
      </c>
      <c r="H39" s="231">
        <f>SUMPRODUCT((K分组表!$L$2:$L$394=$B39)*(K分组表!$D$2:$D$394="泛化")/COUNTIFS(K分组表!$B$2:$B$394,K分组表!$B$2:$B$394,K分组表!$L$2:$L$394,K分组表!$L$2:$L$394,K分组表!$D$2:$D$394,K分组表!$D$2:$D$394))</f>
        <v/>
      </c>
      <c r="I39" s="232">
        <f>IF(OR(C39&lt;3,D39&lt;2),"干预 ","")&amp;IF(OR(E39&lt;3,F39&lt;2),"维持 ","")&amp;IF(OR(G39&lt;3,H39&lt;2),"泛化","")</f>
        <v/>
      </c>
    </row>
    <row r="40" ht="15" customHeight="1" s="176">
      <c r="A40" s="187" t="inlineStr">
        <is>
          <t>干预场所</t>
        </is>
      </c>
      <c r="B40" s="187" t="inlineStr">
        <is>
          <t>专用训练空间</t>
        </is>
      </c>
      <c r="C40" s="231">
        <f>COUNTIFS(K分组表!$L$2:$L$394,$B40,K分组表!$D$2:$D$394,"干预")</f>
        <v/>
      </c>
      <c r="D40" s="231">
        <f>SUMPRODUCT((K分组表!$L$2:$L$394=$B40)*(K分组表!$D$2:$D$394="干预")/COUNTIFS(K分组表!$B$2:$B$394,K分组表!$B$2:$B$394,K分组表!$L$2:$L$394,K分组表!$L$2:$L$394,K分组表!$D$2:$D$394,K分组表!$D$2:$D$394))</f>
        <v/>
      </c>
      <c r="E40" s="231">
        <f>COUNTIFS(K分组表!$L$2:$L$394,$B40,K分组表!$D$2:$D$394,"维持")</f>
        <v/>
      </c>
      <c r="F40" s="231">
        <f>SUMPRODUCT((K分组表!$L$2:$L$394=$B40)*(K分组表!$D$2:$D$394="维持")/COUNTIFS(K分组表!$B$2:$B$394,K分组表!$B$2:$B$394,K分组表!$L$2:$L$394,K分组表!$L$2:$L$394,K分组表!$D$2:$D$394,K分组表!$D$2:$D$394))</f>
        <v/>
      </c>
      <c r="G40" s="231">
        <f>COUNTIFS(K分组表!$L$2:$L$394,$B40,K分组表!$D$2:$D$394,"泛化")</f>
        <v/>
      </c>
      <c r="H40" s="231">
        <f>SUMPRODUCT((K分组表!$L$2:$L$394=$B40)*(K分组表!$D$2:$D$394="泛化")/COUNTIFS(K分组表!$B$2:$B$394,K分组表!$B$2:$B$394,K分组表!$L$2:$L$394,K分组表!$L$2:$L$394,K分组表!$D$2:$D$394,K分组表!$D$2:$D$394))</f>
        <v/>
      </c>
      <c r="I40" s="232">
        <f>IF(OR(C40&lt;3,D40&lt;2),"干预 ","")&amp;IF(OR(E40&lt;3,F40&lt;2),"维持 ","")&amp;IF(OR(G40&lt;3,H40&lt;2),"泛化","")</f>
        <v/>
      </c>
    </row>
    <row r="41" ht="15" customHeight="1" s="176">
      <c r="A41" s="187" t="inlineStr">
        <is>
          <t>干预场所</t>
        </is>
      </c>
      <c r="B41" s="187" t="inlineStr">
        <is>
          <t>家庭社区</t>
        </is>
      </c>
      <c r="C41" s="231">
        <f>COUNTIFS(K分组表!$L$2:$L$394,$B41,K分组表!$D$2:$D$394,"干预")</f>
        <v/>
      </c>
      <c r="D41" s="231">
        <f>SUMPRODUCT((K分组表!$L$2:$L$394=$B41)*(K分组表!$D$2:$D$394="干预")/COUNTIFS(K分组表!$B$2:$B$394,K分组表!$B$2:$B$394,K分组表!$L$2:$L$394,K分组表!$L$2:$L$394,K分组表!$D$2:$D$394,K分组表!$D$2:$D$394))</f>
        <v/>
      </c>
      <c r="E41" s="231">
        <f>COUNTIFS(K分组表!$L$2:$L$394,$B41,K分组表!$D$2:$D$394,"维持")</f>
        <v/>
      </c>
      <c r="F41" s="231">
        <f>SUMPRODUCT((K分组表!$L$2:$L$394=$B41)*(K分组表!$D$2:$D$394="维持")/COUNTIFS(K分组表!$B$2:$B$394,K分组表!$B$2:$B$394,K分组表!$L$2:$L$394,K分组表!$L$2:$L$394,K分组表!$D$2:$D$394,K分组表!$D$2:$D$394))</f>
        <v/>
      </c>
      <c r="G41" s="231">
        <f>COUNTIFS(K分组表!$L$2:$L$394,$B41,K分组表!$D$2:$D$394,"泛化")</f>
        <v/>
      </c>
      <c r="H41" s="231">
        <f>SUMPRODUCT((K分组表!$L$2:$L$394=$B41)*(K分组表!$D$2:$D$394="泛化")/COUNTIFS(K分组表!$B$2:$B$394,K分组表!$B$2:$B$394,K分组表!$L$2:$L$394,K分组表!$L$2:$L$394,K分组表!$D$2:$D$394,K分组表!$D$2:$D$394))</f>
        <v/>
      </c>
      <c r="I41" s="232">
        <f>IF(OR(C41&lt;3,D41&lt;2),"干预 ","")&amp;IF(OR(E41&lt;3,F41&lt;2),"维持 ","")&amp;IF(OR(G41&lt;3,H41&lt;2),"泛化","")</f>
        <v/>
      </c>
    </row>
    <row r="43" ht="15" customHeight="1" s="176">
      <c r="A43" s="187" t="inlineStr">
        <is>
          <t>干预者</t>
        </is>
      </c>
      <c r="B43" s="187" t="inlineStr">
        <is>
          <t>研究人员</t>
        </is>
      </c>
      <c r="C43" s="231">
        <f>COUNTIFS(K分组表!$M$2:$M$394,$B43,K分组表!$D$2:$D$394,"干预")</f>
        <v/>
      </c>
      <c r="D43" s="231">
        <f>SUMPRODUCT((K分组表!$M$2:$M$394=$B43)*(K分组表!$D$2:$D$394="干预")/COUNTIFS(K分组表!$B$2:$B$394,K分组表!$B$2:$B$394,K分组表!$M$2:$M$394,K分组表!$M$2:$M$394,K分组表!$D$2:$D$394,K分组表!$D$2:$D$394))</f>
        <v/>
      </c>
      <c r="E43" s="231">
        <f>COUNTIFS(K分组表!$M$2:$M$394,$B43,K分组表!$D$2:$D$394,"维持")</f>
        <v/>
      </c>
      <c r="F43" s="231">
        <f>SUMPRODUCT((K分组表!$M$2:$M$394=$B43)*(K分组表!$D$2:$D$394="维持")/COUNTIFS(K分组表!$B$2:$B$394,K分组表!$B$2:$B$394,K分组表!$M$2:$M$394,K分组表!$M$2:$M$394,K分组表!$D$2:$D$394,K分组表!$D$2:$D$394))</f>
        <v/>
      </c>
      <c r="G43" s="231">
        <f>COUNTIFS(K分组表!$M$2:$M$394,$B43,K分组表!$D$2:$D$394,"泛化")</f>
        <v/>
      </c>
      <c r="H43" s="231">
        <f>SUMPRODUCT((K分组表!$M$2:$M$394=$B43)*(K分组表!$D$2:$D$394="泛化")/COUNTIFS(K分组表!$B$2:$B$394,K分组表!$B$2:$B$394,K分组表!$M$2:$M$394,K分组表!$M$2:$M$394,K分组表!$D$2:$D$394,K分组表!$D$2:$D$394))</f>
        <v/>
      </c>
      <c r="I43" s="232">
        <f>IF(OR(C43&lt;3,D43&lt;2),"干预 ","")&amp;IF(OR(E43&lt;3,F43&lt;2),"维持 ","")&amp;IF(OR(G43&lt;3,H43&lt;2),"泛化","")</f>
        <v/>
      </c>
    </row>
    <row r="44" ht="15" customHeight="1" s="176">
      <c r="A44" s="187" t="inlineStr">
        <is>
          <t>干预者</t>
        </is>
      </c>
      <c r="B44" s="187" t="inlineStr">
        <is>
          <t>学校人员</t>
        </is>
      </c>
      <c r="C44" s="231">
        <f>COUNTIFS(K分组表!$M$2:$M$394,$B44,K分组表!$D$2:$D$394,"干预")</f>
        <v/>
      </c>
      <c r="D44" s="231">
        <f>SUMPRODUCT((K分组表!$M$2:$M$394=$B44)*(K分组表!$D$2:$D$394="干预")/COUNTIFS(K分组表!$B$2:$B$394,K分组表!$B$2:$B$394,K分组表!$M$2:$M$394,K分组表!$M$2:$M$394,K分组表!$D$2:$D$394,K分组表!$D$2:$D$394))</f>
        <v/>
      </c>
      <c r="E44" s="231">
        <f>COUNTIFS(K分组表!$M$2:$M$394,$B44,K分组表!$D$2:$D$394,"维持")</f>
        <v/>
      </c>
      <c r="F44" s="231">
        <f>SUMPRODUCT((K分组表!$M$2:$M$394=$B44)*(K分组表!$D$2:$D$394="维持")/COUNTIFS(K分组表!$B$2:$B$394,K分组表!$B$2:$B$394,K分组表!$M$2:$M$394,K分组表!$M$2:$M$394,K分组表!$D$2:$D$394,K分组表!$D$2:$D$394))</f>
        <v/>
      </c>
      <c r="G44" s="231">
        <f>COUNTIFS(K分组表!$M$2:$M$394,$B44,K分组表!$D$2:$D$394,"泛化")</f>
        <v/>
      </c>
      <c r="H44" s="231">
        <f>SUMPRODUCT((K分组表!$M$2:$M$394=$B44)*(K分组表!$D$2:$D$394="泛化")/COUNTIFS(K分组表!$B$2:$B$394,K分组表!$B$2:$B$394,K分组表!$M$2:$M$394,K分组表!$M$2:$M$394,K分组表!$D$2:$D$394,K分组表!$D$2:$D$394))</f>
        <v/>
      </c>
      <c r="I44" s="232">
        <f>IF(OR(C44&lt;3,D44&lt;2),"干预 ","")&amp;IF(OR(E44&lt;3,F44&lt;2),"维持 ","")&amp;IF(OR(G44&lt;3,H44&lt;2),"泛化","")</f>
        <v/>
      </c>
    </row>
    <row r="45" ht="15" customHeight="1" s="176">
      <c r="A45" s="187" t="inlineStr">
        <is>
          <t>干预者</t>
        </is>
      </c>
      <c r="B45" s="187" t="inlineStr">
        <is>
          <t>家长</t>
        </is>
      </c>
      <c r="C45" s="231">
        <f>COUNTIFS(K分组表!$M$2:$M$394,$B45,K分组表!$D$2:$D$394,"干预")</f>
        <v/>
      </c>
      <c r="D45" s="231">
        <f>SUMPRODUCT((K分组表!$M$2:$M$394=$B45)*(K分组表!$D$2:$D$394="干预")/COUNTIFS(K分组表!$B$2:$B$394,K分组表!$B$2:$B$394,K分组表!$M$2:$M$394,K分组表!$M$2:$M$394,K分组表!$D$2:$D$394,K分组表!$D$2:$D$394))</f>
        <v/>
      </c>
      <c r="E45" s="231">
        <f>COUNTIFS(K分组表!$M$2:$M$394,$B45,K分组表!$D$2:$D$394,"维持")</f>
        <v/>
      </c>
      <c r="F45" s="231">
        <f>SUMPRODUCT((K分组表!$M$2:$M$394=$B45)*(K分组表!$D$2:$D$394="维持")/COUNTIFS(K分组表!$B$2:$B$394,K分组表!$B$2:$B$394,K分组表!$M$2:$M$394,K分组表!$M$2:$M$394,K分组表!$D$2:$D$394,K分组表!$D$2:$D$394))</f>
        <v/>
      </c>
      <c r="G45" s="231">
        <f>COUNTIFS(K分组表!$M$2:$M$394,$B45,K分组表!$D$2:$D$394,"泛化")</f>
        <v/>
      </c>
      <c r="H45" s="231">
        <f>SUMPRODUCT((K分组表!$M$2:$M$394=$B45)*(K分组表!$D$2:$D$394="泛化")/COUNTIFS(K分组表!$B$2:$B$394,K分组表!$B$2:$B$394,K分组表!$M$2:$M$394,K分组表!$M$2:$M$394,K分组表!$D$2:$D$394,K分组表!$D$2:$D$394))</f>
        <v/>
      </c>
      <c r="I45" s="232">
        <f>IF(OR(C45&lt;3,D45&lt;2),"干预 ","")&amp;IF(OR(E45&lt;3,F45&lt;2),"维持 ","")&amp;IF(OR(G45&lt;3,H45&lt;2),"泛化","")</f>
        <v/>
      </c>
    </row>
    <row r="46" ht="15" customHeight="1" s="176">
      <c r="A46" s="187" t="inlineStr">
        <is>
          <t>干预者</t>
        </is>
      </c>
      <c r="B46" s="187" t="inlineStr">
        <is>
          <t>治疗师</t>
        </is>
      </c>
      <c r="C46" s="231">
        <f>COUNTIFS(K分组表!$M$2:$M$394,$B46,K分组表!$D$2:$D$394,"干预")</f>
        <v/>
      </c>
      <c r="D46" s="231">
        <f>SUMPRODUCT((K分组表!$M$2:$M$394=$B46)*(K分组表!$D$2:$D$394="干预")/COUNTIFS(K分组表!$B$2:$B$394,K分组表!$B$2:$B$394,K分组表!$M$2:$M$394,K分组表!$M$2:$M$394,K分组表!$D$2:$D$394,K分组表!$D$2:$D$394))</f>
        <v/>
      </c>
      <c r="E46" s="231">
        <f>COUNTIFS(K分组表!$M$2:$M$394,$B46,K分组表!$D$2:$D$394,"维持")</f>
        <v/>
      </c>
      <c r="F46" s="231">
        <f>SUMPRODUCT((K分组表!$M$2:$M$394=$B46)*(K分组表!$D$2:$D$394="维持")/COUNTIFS(K分组表!$B$2:$B$394,K分组表!$B$2:$B$394,K分组表!$M$2:$M$394,K分组表!$M$2:$M$394,K分组表!$D$2:$D$394,K分组表!$D$2:$D$394))</f>
        <v/>
      </c>
      <c r="G46" s="231">
        <f>COUNTIFS(K分组表!$M$2:$M$394,$B46,K分组表!$D$2:$D$394,"泛化")</f>
        <v/>
      </c>
      <c r="H46" s="231">
        <f>SUMPRODUCT((K分组表!$M$2:$M$394=$B46)*(K分组表!$D$2:$D$394="泛化")/COUNTIFS(K分组表!$B$2:$B$394,K分组表!$B$2:$B$394,K分组表!$M$2:$M$394,K分组表!$M$2:$M$394,K分组表!$D$2:$D$394,K分组表!$D$2:$D$394))</f>
        <v/>
      </c>
      <c r="I46" s="232">
        <f>IF(OR(C46&lt;3,D46&lt;2),"干预 ","")&amp;IF(OR(E46&lt;3,F46&lt;2),"维持 ","")&amp;IF(OR(G46&lt;3,H46&lt;2),"泛化","")</f>
        <v/>
      </c>
    </row>
    <row r="47" ht="15" customHeight="1" s="176">
      <c r="A47" s="188" t="inlineStr">
        <is>
          <t>干预者</t>
        </is>
      </c>
      <c r="B47" s="188" t="inlineStr">
        <is>
          <t>不纳入该变量（原文未报告）</t>
        </is>
      </c>
      <c r="C47" s="233">
        <f>COUNTIFS(K分组表!$M$2:$M$394,$B47,K分组表!$D$2:$D$394,"干预")</f>
        <v/>
      </c>
      <c r="D47" s="233">
        <f>SUMPRODUCT((K分组表!$M$2:$M$394=$B47)*(K分组表!$D$2:$D$394="干预")/COUNTIFS(K分组表!$B$2:$B$394,K分组表!$B$2:$B$394,K分组表!$M$2:$M$394,K分组表!$M$2:$M$394,K分组表!$D$2:$D$394,K分组表!$D$2:$D$394))</f>
        <v/>
      </c>
      <c r="E47" s="233">
        <f>COUNTIFS(K分组表!$M$2:$M$394,$B47,K分组表!$D$2:$D$394,"维持")</f>
        <v/>
      </c>
      <c r="F47" s="233">
        <f>SUMPRODUCT((K分组表!$M$2:$M$394=$B47)*(K分组表!$D$2:$D$394="维持")/COUNTIFS(K分组表!$B$2:$B$394,K分组表!$B$2:$B$394,K分组表!$M$2:$M$394,K分组表!$M$2:$M$394,K分组表!$D$2:$D$394,K分组表!$D$2:$D$394))</f>
        <v/>
      </c>
      <c r="G47" s="233">
        <f>COUNTIFS(K分组表!$M$2:$M$394,$B47,K分组表!$D$2:$D$394,"泛化")</f>
        <v/>
      </c>
      <c r="H47" s="233">
        <f>SUMPRODUCT((K分组表!$M$2:$M$394=$B47)*(K分组表!$D$2:$D$394="泛化")/COUNTIFS(K分组表!$B$2:$B$394,K分组表!$B$2:$B$394,K分组表!$M$2:$M$394,K分组表!$M$2:$M$394,K分组表!$D$2:$D$394,K分组表!$D$2:$D$394))</f>
        <v/>
      </c>
      <c r="I47" s="234" t="n"/>
    </row>
    <row r="49" ht="15" customHeight="1" s="176">
      <c r="A49" s="235" t="inlineStr">
        <is>
          <t>合计（全部K）</t>
        </is>
      </c>
      <c r="C49" s="235">
        <f>COUNTIFS(K分组表!$D$2:$D$394,"干预")</f>
        <v/>
      </c>
      <c r="D49" s="235">
        <f>SUMPRODUCT((K分组表!$D$2:$D$394="干预")/COUNTIFS(K分组表!$B$2:$B$394,K分组表!$B$2:$B$394,K分组表!$D$2:$D$394,K分组表!$D$2:$D$394))</f>
        <v/>
      </c>
      <c r="E49" s="235">
        <f>COUNTIFS(K分组表!$D$2:$D$394,"维持")</f>
        <v/>
      </c>
      <c r="F49" s="235">
        <f>SUMPRODUCT((K分组表!$D$2:$D$394="维持")/COUNTIFS(K分组表!$B$2:$B$394,K分组表!$B$2:$B$394,K分组表!$D$2:$D$394,K分组表!$D$2:$D$394))</f>
        <v/>
      </c>
      <c r="G49" s="235">
        <f>COUNTIFS(K分组表!$D$2:$D$394,"泛化")</f>
        <v/>
      </c>
      <c r="H49" s="235">
        <f>SUMPRODUCT((K分组表!$D$2:$D$394="泛化")/COUNTIFS(K分组表!$B$2:$B$394,K分组表!$B$2:$B$394,K分组表!$D$2:$D$394,K分组表!$D$2:$D$394))</f>
        <v/>
      </c>
    </row>
    <row r="50" ht="15" customHeight="1" s="176">
      <c r="A50" s="236" t="inlineStr">
        <is>
          <t>K总数</t>
        </is>
      </c>
      <c r="C50" s="236">
        <f>COUNTA(K分组表!$A$2:$A$394)</f>
        <v/>
      </c>
    </row>
    <row r="51" ht="15" customHeight="1" s="176">
      <c r="A51" s="235" t="inlineStr">
        <is>
          <t>文献总数</t>
        </is>
      </c>
      <c r="C51" s="236">
        <f>SUMPRODUCT(1/COUNTIF(K分组表!$B$2:$B$394,K分组表!$B$2:$B$394))</f>
        <v/>
      </c>
    </row>
  </sheetData>
  <mergeCells count="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75" min="1" max="1"/>
    <col width="12" customWidth="1" style="175" min="2" max="2"/>
    <col width="10" customWidth="1" style="175" min="3" max="3"/>
    <col width="8" customWidth="1" style="175" min="4" max="4"/>
    <col width="10" customWidth="1" style="175" min="5" max="5"/>
    <col width="36" customWidth="1" style="175" min="6" max="6"/>
    <col width="8" customWidth="1" style="175" min="7" max="8"/>
    <col width="30" customWidth="1" style="175" min="9" max="9"/>
    <col width="60" customWidth="1" style="175" min="10" max="10"/>
  </cols>
  <sheetData>
    <row r="1" ht="18.75" customHeight="1" s="176">
      <c r="A1" s="228" t="inlineStr">
        <is>
          <t>新增K取段记录（给计算Tau-U用）</t>
        </is>
      </c>
    </row>
    <row r="3" ht="15" customHeight="1" s="176">
      <c r="A3" s="237" t="inlineStr">
        <is>
          <t>K编号</t>
        </is>
      </c>
      <c r="B3" s="238" t="inlineStr">
        <is>
          <t>文献编号</t>
        </is>
      </c>
      <c r="C3" s="238" t="inlineStr">
        <is>
          <t>儿童</t>
        </is>
      </c>
      <c r="D3" s="238" t="inlineStr">
        <is>
          <t>比较类型</t>
        </is>
      </c>
      <c r="E3" s="238" t="inlineStr">
        <is>
          <t>示范者</t>
        </is>
      </c>
      <c r="F3" s="238" t="inlineStr">
        <is>
          <t>比较的两段</t>
        </is>
      </c>
      <c r="G3" s="238" t="inlineStr">
        <is>
          <t>前段点数</t>
        </is>
      </c>
      <c r="H3" s="238" t="inlineStr">
        <is>
          <t>后段点数</t>
        </is>
      </c>
      <c r="I3" s="238" t="inlineStr">
        <is>
          <t>图位置</t>
        </is>
      </c>
      <c r="J3" s="238" t="inlineStr">
        <is>
          <t>说明</t>
        </is>
      </c>
    </row>
    <row r="4" ht="43.5" customHeight="1" s="176">
      <c r="A4" s="178" t="inlineStr">
        <is>
          <t>K380</t>
        </is>
      </c>
      <c r="B4" s="178" t="inlineStr">
        <is>
          <t>044-二次</t>
        </is>
      </c>
      <c r="C4" s="178" t="inlineStr">
        <is>
          <t>Jamie</t>
        </is>
      </c>
      <c r="D4" s="181" t="inlineStr">
        <is>
          <t>泛化</t>
        </is>
      </c>
      <c r="E4" s="181" t="inlineStr">
        <is>
          <t>同伴儿童（含兄弟姐妹）</t>
        </is>
      </c>
      <c r="F4" s="181" t="inlineStr">
        <is>
          <t>条件 A 基线 vs 条件 D–F（换玩具、不看视频）合并；Jamie条件C无法与视频示范期分开，未取（D：第15–17次＋第19–21次；E：第25–27次；F：第28–30次）</t>
        </is>
      </c>
      <c r="G4" s="181" t="n">
        <v>11</v>
      </c>
      <c r="H4" s="181" t="n">
        <v>9</v>
      </c>
      <c r="I4" s="181" t="inlineStr">
        <is>
          <t>图1，PDF第9页，Jamie面板</t>
        </is>
      </c>
      <c r="J4" s="181" t="inlineStr">
        <is>
          <t>【2026-10-24】与K381/K382（或K387/K388）合并为一个泛化K，后段=4, 0, 0, 0, 3, 6, 0, 4, 6。 社交发起潜伏期（降低改善，先乘-1）。基线11点均为300秒；条件D约为300、300、255、5、3、5秒（第18次为重新引入条件C，不计）</t>
        </is>
      </c>
    </row>
    <row r="5" ht="43.5" customHeight="1" s="176">
      <c r="A5" s="178" t="inlineStr">
        <is>
          <t>K386</t>
        </is>
      </c>
      <c r="B5" s="178" t="inlineStr">
        <is>
          <t>044-二次</t>
        </is>
      </c>
      <c r="C5" s="178" t="inlineStr">
        <is>
          <t>Jamie</t>
        </is>
      </c>
      <c r="D5" s="181" t="inlineStr">
        <is>
          <t>泛化</t>
        </is>
      </c>
      <c r="E5" s="181" t="inlineStr">
        <is>
          <t>同伴儿童（含兄弟姐妹）</t>
        </is>
      </c>
      <c r="F5" s="181" t="inlineStr">
        <is>
          <t>条件 A 基线 vs 条件 D–F（换玩具、不看视频）合并；Jamie条件C无法与视频示范期分开，未取（D：第15–17次＋第19–21次；E：第25–27次；F：第28–30次）</t>
        </is>
      </c>
      <c r="G5" s="181" t="n">
        <v>11</v>
      </c>
      <c r="H5" s="181" t="n">
        <v>9</v>
      </c>
      <c r="I5" s="181" t="inlineStr">
        <is>
          <t>图1，PDF第9页，Jamie面板</t>
        </is>
      </c>
      <c r="J5" s="181" t="inlineStr">
        <is>
          <t>【2026-10-24】与K381/K382（或K387/K388）合并为一个泛化K，后段=284, 286, 292, 255, 250, 241, 292, 290, 290。 互惠游戏总时长。基线11点均为0秒；条件D约为0、0、48、288、291、283秒（第18次为条件C，不计）</t>
        </is>
      </c>
    </row>
    <row r="6" ht="29.25" customHeight="1" s="176">
      <c r="A6" s="178" t="inlineStr">
        <is>
          <t>K520</t>
        </is>
      </c>
      <c r="B6" s="178" t="inlineStr">
        <is>
          <t>110-二次</t>
        </is>
      </c>
      <c r="C6" s="178" t="inlineStr">
        <is>
          <t>Isaac</t>
        </is>
      </c>
      <c r="D6" s="181" t="inlineStr">
        <is>
          <t>干预</t>
        </is>
      </c>
      <c r="E6" s="181" t="inlineStr">
        <is>
          <t>成人</t>
        </is>
      </c>
      <c r="F6" s="181" t="inlineStr">
        <is>
          <t>该示范者脚本的基线 vs 该示范者视频示范期</t>
        </is>
      </c>
      <c r="G6" s="181" t="n">
        <v>15</v>
      </c>
      <c r="H6" s="181" t="n">
        <v>5</v>
      </c>
      <c r="I6" s="178" t="inlineStr">
        <is>
          <t>Figure 2；PDF第13页/印刷274页；Isaac面板；真人成人</t>
        </is>
      </c>
      <c r="J6" s="181" t="inlineStr">
        <is>
          <t>按K清单取段；两种视频都用，局限中说明顺序效应</t>
        </is>
      </c>
    </row>
    <row r="7" ht="29.25" customHeight="1" s="176">
      <c r="A7" s="178" t="inlineStr">
        <is>
          <t>K521</t>
        </is>
      </c>
      <c r="B7" s="178" t="inlineStr">
        <is>
          <t>110-二次</t>
        </is>
      </c>
      <c r="C7" s="178" t="inlineStr">
        <is>
          <t>Isaac</t>
        </is>
      </c>
      <c r="D7" s="181" t="inlineStr">
        <is>
          <t>干预</t>
        </is>
      </c>
      <c r="E7" s="181" t="inlineStr">
        <is>
          <t>动画角色</t>
        </is>
      </c>
      <c r="F7" s="181" t="inlineStr">
        <is>
          <t>该示范者脚本的基线 vs 该示范者视频示范期</t>
        </is>
      </c>
      <c r="G7" s="181" t="n">
        <v>4</v>
      </c>
      <c r="H7" s="181" t="n">
        <v>12</v>
      </c>
      <c r="I7" s="178" t="inlineStr">
        <is>
          <t>Figure 2；PDF第13页/印刷274页；Isaac面板；转描动画</t>
        </is>
      </c>
      <c r="J7" s="181" t="inlineStr">
        <is>
          <t>按K清单取段；两种视频都用，局限中说明顺序效应</t>
        </is>
      </c>
    </row>
    <row r="8" ht="29.25" customHeight="1" s="176">
      <c r="A8" s="178" t="inlineStr">
        <is>
          <t>K522</t>
        </is>
      </c>
      <c r="B8" s="178" t="inlineStr">
        <is>
          <t>110-二次</t>
        </is>
      </c>
      <c r="C8" s="178" t="inlineStr">
        <is>
          <t>Mark</t>
        </is>
      </c>
      <c r="D8" s="181" t="inlineStr">
        <is>
          <t>干预</t>
        </is>
      </c>
      <c r="E8" s="181" t="inlineStr">
        <is>
          <t>成人</t>
        </is>
      </c>
      <c r="F8" s="181" t="inlineStr">
        <is>
          <t>该示范者脚本的基线 vs 该示范者视频示范期</t>
        </is>
      </c>
      <c r="G8" s="181" t="n">
        <v>17</v>
      </c>
      <c r="H8" s="181" t="n">
        <v>6</v>
      </c>
      <c r="I8" s="178" t="inlineStr">
        <is>
          <t>Figure 2；PDF第13页/印刷274页；Mark面板；真人成人</t>
        </is>
      </c>
      <c r="J8" s="181" t="inlineStr">
        <is>
          <t>按K清单取段；两种视频都用，局限中说明顺序效应</t>
        </is>
      </c>
    </row>
    <row r="9" ht="29.25" customHeight="1" s="176">
      <c r="A9" s="178" t="inlineStr">
        <is>
          <t>K523</t>
        </is>
      </c>
      <c r="B9" s="178" t="inlineStr">
        <is>
          <t>110-二次</t>
        </is>
      </c>
      <c r="C9" s="178" t="inlineStr">
        <is>
          <t>Mark</t>
        </is>
      </c>
      <c r="D9" s="181" t="inlineStr">
        <is>
          <t>干预</t>
        </is>
      </c>
      <c r="E9" s="181" t="inlineStr">
        <is>
          <t>动画角色</t>
        </is>
      </c>
      <c r="F9" s="181" t="inlineStr">
        <is>
          <t>该示范者脚本的基线 vs 该示范者视频示范期</t>
        </is>
      </c>
      <c r="G9" s="181" t="n">
        <v>9</v>
      </c>
      <c r="H9" s="181" t="n">
        <v>8</v>
      </c>
      <c r="I9" s="178" t="inlineStr">
        <is>
          <t>Figure 2；PDF第13页/印刷274页；Mark面板；转描动画</t>
        </is>
      </c>
      <c r="J9" s="181" t="inlineStr">
        <is>
          <t>按K清单取段；两种视频都用，局限中说明顺序效应</t>
        </is>
      </c>
    </row>
    <row r="10" ht="29.25" customHeight="1" s="176">
      <c r="A10" s="178" t="inlineStr">
        <is>
          <t>K524</t>
        </is>
      </c>
      <c r="B10" s="178" t="inlineStr">
        <is>
          <t>110-二次</t>
        </is>
      </c>
      <c r="C10" s="178" t="inlineStr">
        <is>
          <t>Anesha</t>
        </is>
      </c>
      <c r="D10" s="181" t="inlineStr">
        <is>
          <t>干预</t>
        </is>
      </c>
      <c r="E10" s="181" t="inlineStr">
        <is>
          <t>成人</t>
        </is>
      </c>
      <c r="F10" s="181" t="inlineStr">
        <is>
          <t>该示范者脚本的基线 vs 该示范者视频示范期</t>
        </is>
      </c>
      <c r="G10" s="181" t="n">
        <v>22</v>
      </c>
      <c r="H10" s="181" t="n">
        <v>12</v>
      </c>
      <c r="I10" s="178" t="inlineStr">
        <is>
          <t>Figure 2；PDF第13页/印刷274页；Anesha面板；真人成人</t>
        </is>
      </c>
      <c r="J10" s="181" t="inlineStr">
        <is>
          <t>按K清单取段；两种视频都用，局限中说明顺序效应</t>
        </is>
      </c>
    </row>
    <row r="11" ht="29.25" customHeight="1" s="176">
      <c r="A11" s="178" t="inlineStr">
        <is>
          <t>K525</t>
        </is>
      </c>
      <c r="B11" s="178" t="inlineStr">
        <is>
          <t>110-二次</t>
        </is>
      </c>
      <c r="C11" s="178" t="inlineStr">
        <is>
          <t>Anesha</t>
        </is>
      </c>
      <c r="D11" s="181" t="inlineStr">
        <is>
          <t>干预</t>
        </is>
      </c>
      <c r="E11" s="181" t="inlineStr">
        <is>
          <t>动画角色</t>
        </is>
      </c>
      <c r="F11" s="181" t="inlineStr">
        <is>
          <t>该示范者脚本的基线 vs 该示范者视频示范期</t>
        </is>
      </c>
      <c r="G11" s="181" t="n">
        <v>12</v>
      </c>
      <c r="H11" s="181" t="n">
        <v>11</v>
      </c>
      <c r="I11" s="178" t="inlineStr">
        <is>
          <t>Figure 2；PDF第13页/印刷274页；Anesha面板；转描动画</t>
        </is>
      </c>
      <c r="J11" s="181" t="inlineStr">
        <is>
          <t>按K清单取段；两种视频都用，局限中说明顺序效应</t>
        </is>
      </c>
    </row>
    <row r="12" ht="29.25" customHeight="1" s="176">
      <c r="A12" s="178" t="inlineStr">
        <is>
          <t>K526</t>
        </is>
      </c>
      <c r="B12" s="178" t="inlineStr">
        <is>
          <t>110-二次</t>
        </is>
      </c>
      <c r="C12" s="178" t="inlineStr">
        <is>
          <t>Maria</t>
        </is>
      </c>
      <c r="D12" s="181" t="inlineStr">
        <is>
          <t>干预</t>
        </is>
      </c>
      <c r="E12" s="181" t="inlineStr">
        <is>
          <t>成人</t>
        </is>
      </c>
      <c r="F12" s="181" t="inlineStr">
        <is>
          <t>该示范者脚本的基线 vs 该示范者视频示范期</t>
        </is>
      </c>
      <c r="G12" s="181" t="n">
        <v>26</v>
      </c>
      <c r="H12" s="181" t="n">
        <v>10</v>
      </c>
      <c r="I12" s="178" t="inlineStr">
        <is>
          <t>Figure 2；PDF第13页/印刷274页；Maria面板；真人成人</t>
        </is>
      </c>
      <c r="J12" s="181" t="inlineStr">
        <is>
          <t>按K清单取段；两种视频都用，局限中说明顺序效应</t>
        </is>
      </c>
    </row>
    <row r="13" ht="29.25" customHeight="1" s="176">
      <c r="A13" s="178" t="inlineStr">
        <is>
          <t>K527</t>
        </is>
      </c>
      <c r="B13" s="178" t="inlineStr">
        <is>
          <t>110-二次</t>
        </is>
      </c>
      <c r="C13" s="178" t="inlineStr">
        <is>
          <t>Maria</t>
        </is>
      </c>
      <c r="D13" s="181" t="inlineStr">
        <is>
          <t>干预</t>
        </is>
      </c>
      <c r="E13" s="181" t="inlineStr">
        <is>
          <t>动画角色</t>
        </is>
      </c>
      <c r="F13" s="181" t="inlineStr">
        <is>
          <t>该示范者脚本的基线 vs 该示范者视频示范期</t>
        </is>
      </c>
      <c r="G13" s="181" t="n">
        <v>16</v>
      </c>
      <c r="H13" s="181" t="n">
        <v>10</v>
      </c>
      <c r="I13" s="178" t="inlineStr">
        <is>
          <t>Figure 2；PDF第13页/印刷274页；Maria面板；转描动画</t>
        </is>
      </c>
      <c r="J13" s="181" t="inlineStr">
        <is>
          <t>按K清单取段；两种视频都用，局限中说明顺序效应</t>
        </is>
      </c>
    </row>
    <row r="14" ht="29.25" customHeight="1" s="176">
      <c r="A14" s="178" t="inlineStr">
        <is>
          <t>K528</t>
        </is>
      </c>
      <c r="B14" s="178" t="inlineStr">
        <is>
          <t>110-二次</t>
        </is>
      </c>
      <c r="C14" s="178" t="inlineStr">
        <is>
          <t>Ray</t>
        </is>
      </c>
      <c r="D14" s="181" t="inlineStr">
        <is>
          <t>干预</t>
        </is>
      </c>
      <c r="E14" s="181" t="inlineStr">
        <is>
          <t>成人</t>
        </is>
      </c>
      <c r="F14" s="181" t="inlineStr">
        <is>
          <t>该示范者脚本的基线 vs 该示范者视频示范期</t>
        </is>
      </c>
      <c r="G14" s="181" t="n">
        <v>5</v>
      </c>
      <c r="H14" s="181" t="n">
        <v>18</v>
      </c>
      <c r="I14" s="178" t="inlineStr">
        <is>
          <t>Figure 3；PDF第14页/印刷275页；Ray面板；真人成人</t>
        </is>
      </c>
      <c r="J14" s="181" t="inlineStr">
        <is>
          <t>按K清单取段；两种视频都用，局限中说明顺序效应</t>
        </is>
      </c>
    </row>
    <row r="15" ht="29.25" customHeight="1" s="176">
      <c r="A15" s="178" t="inlineStr">
        <is>
          <t>K529</t>
        </is>
      </c>
      <c r="B15" s="178" t="inlineStr">
        <is>
          <t>110-二次</t>
        </is>
      </c>
      <c r="C15" s="178" t="inlineStr">
        <is>
          <t>Ray</t>
        </is>
      </c>
      <c r="D15" s="181" t="inlineStr">
        <is>
          <t>干预</t>
        </is>
      </c>
      <c r="E15" s="181" t="inlineStr">
        <is>
          <t>动画角色</t>
        </is>
      </c>
      <c r="F15" s="181" t="inlineStr">
        <is>
          <t>该示范者脚本的基线 vs 该示范者视频示范期</t>
        </is>
      </c>
      <c r="G15" s="181" t="n">
        <v>27</v>
      </c>
      <c r="H15" s="181" t="n">
        <v>7</v>
      </c>
      <c r="I15" s="178" t="inlineStr">
        <is>
          <t>Figure 3；PDF第14页/印刷275页；Ray面板；转描动画</t>
        </is>
      </c>
      <c r="J15" s="181" t="inlineStr">
        <is>
          <t>按K清单取段；两种视频都用，局限中说明顺序效应</t>
        </is>
      </c>
    </row>
    <row r="16" ht="29.25" customHeight="1" s="176">
      <c r="A16" s="178" t="inlineStr">
        <is>
          <t>K530</t>
        </is>
      </c>
      <c r="B16" s="178" t="inlineStr">
        <is>
          <t>110-二次</t>
        </is>
      </c>
      <c r="C16" s="178" t="inlineStr">
        <is>
          <t>Kadeem</t>
        </is>
      </c>
      <c r="D16" s="181" t="inlineStr">
        <is>
          <t>干预</t>
        </is>
      </c>
      <c r="E16" s="181" t="inlineStr">
        <is>
          <t>成人</t>
        </is>
      </c>
      <c r="F16" s="181" t="inlineStr">
        <is>
          <t>该示范者脚本的基线 vs 该示范者视频示范期</t>
        </is>
      </c>
      <c r="G16" s="181" t="n">
        <v>7</v>
      </c>
      <c r="H16" s="181" t="n">
        <v>4</v>
      </c>
      <c r="I16" s="178" t="inlineStr">
        <is>
          <t>Figure 3；PDF第14页/印刷275页；Kadeem面板；真人成人</t>
        </is>
      </c>
      <c r="J16" s="181" t="inlineStr">
        <is>
          <t>按K清单取段；两种视频都用，局限中说明顺序效应</t>
        </is>
      </c>
    </row>
    <row r="17" ht="29.25" customHeight="1" s="176">
      <c r="A17" s="178" t="inlineStr">
        <is>
          <t>K531</t>
        </is>
      </c>
      <c r="B17" s="178" t="inlineStr">
        <is>
          <t>110-二次</t>
        </is>
      </c>
      <c r="C17" s="178" t="inlineStr">
        <is>
          <t>Kadeem</t>
        </is>
      </c>
      <c r="D17" s="181" t="inlineStr">
        <is>
          <t>干预</t>
        </is>
      </c>
      <c r="E17" s="181" t="inlineStr">
        <is>
          <t>动画角色</t>
        </is>
      </c>
      <c r="F17" s="181" t="inlineStr">
        <is>
          <t>该示范者脚本的基线 vs 该示范者视频示范期</t>
        </is>
      </c>
      <c r="G17" s="181" t="n">
        <v>12</v>
      </c>
      <c r="H17" s="181" t="n">
        <v>5</v>
      </c>
      <c r="I17" s="178" t="inlineStr">
        <is>
          <t>Figure 3；PDF第14页/印刷275页；Kadeem面板；转描动画</t>
        </is>
      </c>
      <c r="J17" s="181" t="inlineStr">
        <is>
          <t>按K清单取段；两种视频都用，局限中说明顺序效应</t>
        </is>
      </c>
    </row>
    <row r="18" ht="29.25" customHeight="1" s="176">
      <c r="A18" s="178" t="inlineStr">
        <is>
          <t>K532</t>
        </is>
      </c>
      <c r="B18" s="178" t="inlineStr">
        <is>
          <t>110-二次</t>
        </is>
      </c>
      <c r="C18" s="178" t="inlineStr">
        <is>
          <t>Leon</t>
        </is>
      </c>
      <c r="D18" s="181" t="inlineStr">
        <is>
          <t>干预</t>
        </is>
      </c>
      <c r="E18" s="181" t="inlineStr">
        <is>
          <t>成人</t>
        </is>
      </c>
      <c r="F18" s="181" t="inlineStr">
        <is>
          <t>该示范者脚本的基线 vs 该示范者视频示范期</t>
        </is>
      </c>
      <c r="G18" s="181" t="n">
        <v>12</v>
      </c>
      <c r="H18" s="181" t="n">
        <v>10</v>
      </c>
      <c r="I18" s="178" t="inlineStr">
        <is>
          <t>Figure 3；PDF第14页/印刷275页；Leon面板；真人成人</t>
        </is>
      </c>
      <c r="J18" s="181" t="inlineStr">
        <is>
          <t>按K清单取段；两种视频都用，局限中说明顺序效应</t>
        </is>
      </c>
    </row>
    <row r="19" ht="29.25" customHeight="1" s="176">
      <c r="A19" s="178" t="inlineStr">
        <is>
          <t>K533</t>
        </is>
      </c>
      <c r="B19" s="178" t="inlineStr">
        <is>
          <t>110-二次</t>
        </is>
      </c>
      <c r="C19" s="178" t="inlineStr">
        <is>
          <t>Leon</t>
        </is>
      </c>
      <c r="D19" s="181" t="inlineStr">
        <is>
          <t>干预</t>
        </is>
      </c>
      <c r="E19" s="181" t="inlineStr">
        <is>
          <t>动画角色</t>
        </is>
      </c>
      <c r="F19" s="181" t="inlineStr">
        <is>
          <t>该示范者脚本的基线 vs 该示范者视频示范期</t>
        </is>
      </c>
      <c r="G19" s="181" t="n">
        <v>25</v>
      </c>
      <c r="H19" s="181" t="n">
        <v>10</v>
      </c>
      <c r="I19" s="178" t="inlineStr">
        <is>
          <t>Figure 3；PDF第14页/印刷275页；Leon面板；转描动画</t>
        </is>
      </c>
      <c r="J19" s="181" t="inlineStr">
        <is>
          <t>按K清单取段；两种视频都用，局限中说明顺序效应</t>
        </is>
      </c>
    </row>
    <row r="20" ht="29.25" customHeight="1" s="176">
      <c r="A20" s="178" t="inlineStr">
        <is>
          <t>K534</t>
        </is>
      </c>
      <c r="B20" s="178" t="inlineStr">
        <is>
          <t>110-二次</t>
        </is>
      </c>
      <c r="C20" s="178" t="inlineStr">
        <is>
          <t>Gavin</t>
        </is>
      </c>
      <c r="D20" s="181" t="inlineStr">
        <is>
          <t>干预</t>
        </is>
      </c>
      <c r="E20" s="181" t="inlineStr">
        <is>
          <t>成人</t>
        </is>
      </c>
      <c r="F20" s="181" t="inlineStr">
        <is>
          <t>该示范者脚本的基线 vs 该示范者视频示范期</t>
        </is>
      </c>
      <c r="G20" s="181" t="n">
        <v>15</v>
      </c>
      <c r="H20" s="181" t="n">
        <v>10</v>
      </c>
      <c r="I20" s="178" t="inlineStr">
        <is>
          <t>Figure 3；PDF第14页/印刷275页；Gavin面板；真人成人</t>
        </is>
      </c>
      <c r="J20" s="181" t="inlineStr">
        <is>
          <t>按K清单取段；两种视频都用，局限中说明顺序效应</t>
        </is>
      </c>
    </row>
    <row r="21" ht="29.25" customHeight="1" s="176">
      <c r="A21" s="178" t="inlineStr">
        <is>
          <t>K535</t>
        </is>
      </c>
      <c r="B21" s="178" t="inlineStr">
        <is>
          <t>110-二次</t>
        </is>
      </c>
      <c r="C21" s="178" t="inlineStr">
        <is>
          <t>Gavin</t>
        </is>
      </c>
      <c r="D21" s="181" t="inlineStr">
        <is>
          <t>干预</t>
        </is>
      </c>
      <c r="E21" s="181" t="inlineStr">
        <is>
          <t>动画角色</t>
        </is>
      </c>
      <c r="F21" s="181" t="inlineStr">
        <is>
          <t>该示范者脚本的基线 vs 该示范者视频示范期</t>
        </is>
      </c>
      <c r="G21" s="181" t="n">
        <v>25</v>
      </c>
      <c r="H21" s="181" t="n">
        <v>11</v>
      </c>
      <c r="I21" s="178" t="inlineStr">
        <is>
          <t>Figure 3；PDF第14页/印刷275页；Gavin面板；转描动画</t>
        </is>
      </c>
      <c r="J21" s="181" t="inlineStr">
        <is>
          <t>按K清单取段；两种视频都用，局限中说明顺序效应</t>
        </is>
      </c>
    </row>
    <row r="23" ht="19.4" customHeight="1" s="176">
      <c r="A23" s="228" t="inlineStr">
        <is>
          <t>10-16新增的12个K（059-二次、068-二次）</t>
        </is>
      </c>
    </row>
    <row r="24" ht="15" customHeight="1" s="176">
      <c r="A24" s="237" t="inlineStr">
        <is>
          <t>K编号</t>
        </is>
      </c>
      <c r="B24" s="238" t="inlineStr">
        <is>
          <t>文献编号</t>
        </is>
      </c>
      <c r="C24" s="238" t="inlineStr">
        <is>
          <t>儿童</t>
        </is>
      </c>
      <c r="D24" s="238" t="inlineStr">
        <is>
          <t>比较类型</t>
        </is>
      </c>
      <c r="E24" s="238" t="inlineStr">
        <is>
          <t>示范者</t>
        </is>
      </c>
      <c r="F24" s="238" t="inlineStr">
        <is>
          <t>比较的两段</t>
        </is>
      </c>
      <c r="G24" s="238" t="inlineStr">
        <is>
          <t>前段点数</t>
        </is>
      </c>
      <c r="H24" s="238" t="inlineStr">
        <is>
          <t>后段点数</t>
        </is>
      </c>
      <c r="I24" s="238" t="inlineStr">
        <is>
          <t>图位置</t>
        </is>
      </c>
      <c r="J24" s="238" t="inlineStr">
        <is>
          <t>说明</t>
        </is>
      </c>
    </row>
    <row r="25" ht="44" customHeight="1" s="176">
      <c r="A25" s="208" t="inlineStr">
        <is>
          <t>K536</t>
        </is>
      </c>
      <c r="B25" s="208" t="inlineStr">
        <is>
          <t>059-二次</t>
        </is>
      </c>
      <c r="C25" s="208" t="inlineStr">
        <is>
          <t>Eleni</t>
        </is>
      </c>
      <c r="D25" s="239" t="inlineStr">
        <is>
          <t>干预</t>
        </is>
      </c>
      <c r="E25" s="239" t="inlineStr">
        <is>
          <t>同伴儿童（含兄弟姐妹）</t>
        </is>
      </c>
      <c r="F25" s="239" t="inlineStr">
        <is>
          <t>Baseline II vs Video Modeling（训练试次，实心点）</t>
        </is>
      </c>
      <c r="G25" s="239" t="n">
        <v>7</v>
      </c>
      <c r="H25" s="239" t="n">
        <v>11</v>
      </c>
      <c r="I25" s="239" t="inlineStr">
        <is>
          <t>Fig. 1，PDF第8页/印刷552页，Eleni面板（上）；实心点＝训练试次，空心圆＝探测试次</t>
        </is>
      </c>
      <c r="J25" s="239" t="inlineStr">
        <is>
          <t>视频示范为第二阶段（前为现场示范），与紧接的基线Ⅱ比较；存在顺序影响</t>
        </is>
      </c>
    </row>
    <row r="26" ht="44" customHeight="1" s="176">
      <c r="A26" s="208" t="inlineStr">
        <is>
          <t>K537</t>
        </is>
      </c>
      <c r="B26" s="208" t="inlineStr">
        <is>
          <t>059-二次</t>
        </is>
      </c>
      <c r="C26" s="208" t="inlineStr">
        <is>
          <t>Billy</t>
        </is>
      </c>
      <c r="D26" s="239" t="inlineStr">
        <is>
          <t>干预</t>
        </is>
      </c>
      <c r="E26" s="239" t="inlineStr">
        <is>
          <t>同伴儿童（含兄弟姐妹）</t>
        </is>
      </c>
      <c r="F26" s="239" t="inlineStr">
        <is>
          <t>Baseline I vs Video Modeling（训练试次，实心点）</t>
        </is>
      </c>
      <c r="G26" s="239" t="n">
        <v>10</v>
      </c>
      <c r="H26" s="239" t="n">
        <v>11</v>
      </c>
      <c r="I26" s="239" t="inlineStr">
        <is>
          <t>Fig. 1，PDF第8页/印刷552页，Billy面板（中）；实心点＝训练试次，空心圆＝探测试次</t>
        </is>
      </c>
      <c r="J26" s="239" t="inlineStr">
        <is>
          <t>视频示范为第一阶段，与基线Ⅰ比较</t>
        </is>
      </c>
    </row>
    <row r="27" ht="44" customHeight="1" s="176">
      <c r="A27" s="208" t="inlineStr">
        <is>
          <t>K538</t>
        </is>
      </c>
      <c r="B27" s="208" t="inlineStr">
        <is>
          <t>059-二次</t>
        </is>
      </c>
      <c r="C27" s="208" t="inlineStr">
        <is>
          <t>Mike</t>
        </is>
      </c>
      <c r="D27" s="239" t="inlineStr">
        <is>
          <t>干预</t>
        </is>
      </c>
      <c r="E27" s="239" t="inlineStr">
        <is>
          <t>同伴儿童（含兄弟姐妹）</t>
        </is>
      </c>
      <c r="F27" s="239" t="inlineStr">
        <is>
          <t>Baseline II vs Video Modeling（训练试次，实心点）</t>
        </is>
      </c>
      <c r="G27" s="239" t="n">
        <v>14</v>
      </c>
      <c r="H27" s="239" t="n">
        <v>7</v>
      </c>
      <c r="I27" s="239" t="inlineStr">
        <is>
          <t>Fig. 1，PDF第8页/印刷552页，Mike面板（下）；实心点＝训练试次，空心圆＝探测试次</t>
        </is>
      </c>
      <c r="J27" s="239" t="inlineStr">
        <is>
          <t>视频示范为第二阶段（前为现场示范），与紧接的基线Ⅱ比较；存在顺序影响</t>
        </is>
      </c>
    </row>
    <row r="28" ht="44" customHeight="1" s="176">
      <c r="A28" s="208" t="inlineStr">
        <is>
          <t>K539</t>
        </is>
      </c>
      <c r="B28" s="208" t="inlineStr">
        <is>
          <t>059-二次</t>
        </is>
      </c>
      <c r="C28" s="208" t="inlineStr">
        <is>
          <t>Eleni</t>
        </is>
      </c>
      <c r="D28" s="239" t="inlineStr">
        <is>
          <t>泛化</t>
        </is>
      </c>
      <c r="E28" s="239" t="inlineStr">
        <is>
          <t>同伴儿童（含兄弟姐妹）</t>
        </is>
      </c>
      <c r="F28" s="239" t="inlineStr">
        <is>
          <t>Baseline II vs Video Modeling（探测试次＝未训练情境，空心圆）</t>
        </is>
      </c>
      <c r="G28" s="239" t="n">
        <v>7</v>
      </c>
      <c r="H28" s="239" t="n">
        <v>11</v>
      </c>
      <c r="I28" s="239" t="inlineStr">
        <is>
          <t>Fig. 1，PDF第8页/印刷552页，Eleni面板（上）；实心点＝训练试次，空心圆＝探测试次</t>
        </is>
      </c>
      <c r="J28" s="239" t="inlineStr">
        <is>
          <t>视频示范为第二阶段（前为现场示范），与紧接的基线Ⅱ比较；存在顺序影响；探测试次（未训练情境）计为泛化，同013-二次口径</t>
        </is>
      </c>
    </row>
    <row r="29" ht="44" customHeight="1" s="176">
      <c r="A29" s="208" t="inlineStr">
        <is>
          <t>K540</t>
        </is>
      </c>
      <c r="B29" s="208" t="inlineStr">
        <is>
          <t>059-二次</t>
        </is>
      </c>
      <c r="C29" s="208" t="inlineStr">
        <is>
          <t>Billy</t>
        </is>
      </c>
      <c r="D29" s="239" t="inlineStr">
        <is>
          <t>泛化</t>
        </is>
      </c>
      <c r="E29" s="239" t="inlineStr">
        <is>
          <t>同伴儿童（含兄弟姐妹）</t>
        </is>
      </c>
      <c r="F29" s="239" t="inlineStr">
        <is>
          <t>Baseline I vs Video Modeling（探测试次＝未训练情境，空心圆）</t>
        </is>
      </c>
      <c r="G29" s="239" t="n">
        <v>10</v>
      </c>
      <c r="H29" s="239" t="n">
        <v>11</v>
      </c>
      <c r="I29" s="239" t="inlineStr">
        <is>
          <t>Fig. 1，PDF第8页/印刷552页，Billy面板（中）；实心点＝训练试次，空心圆＝探测试次</t>
        </is>
      </c>
      <c r="J29" s="239" t="inlineStr">
        <is>
          <t>视频示范为第一阶段，与基线Ⅰ比较；探测试次（未训练情境）计为泛化，同013-二次口径</t>
        </is>
      </c>
    </row>
    <row r="30" ht="44" customHeight="1" s="176">
      <c r="A30" s="208" t="inlineStr">
        <is>
          <t>K541</t>
        </is>
      </c>
      <c r="B30" s="208" t="inlineStr">
        <is>
          <t>059-二次</t>
        </is>
      </c>
      <c r="C30" s="208" t="inlineStr">
        <is>
          <t>Mike</t>
        </is>
      </c>
      <c r="D30" s="239" t="inlineStr">
        <is>
          <t>泛化</t>
        </is>
      </c>
      <c r="E30" s="239" t="inlineStr">
        <is>
          <t>同伴儿童（含兄弟姐妹）</t>
        </is>
      </c>
      <c r="F30" s="239" t="inlineStr">
        <is>
          <t>Baseline II vs Video Modeling（探测试次＝未训练情境，空心圆）</t>
        </is>
      </c>
      <c r="G30" s="239" t="n">
        <v>14</v>
      </c>
      <c r="H30" s="239" t="n">
        <v>7</v>
      </c>
      <c r="I30" s="239" t="inlineStr">
        <is>
          <t>Fig. 1，PDF第8页/印刷552页，Mike面板（下）；实心点＝训练试次，空心圆＝探测试次</t>
        </is>
      </c>
      <c r="J30" s="239" t="inlineStr">
        <is>
          <t>视频示范为第二阶段（前为现场示范），与紧接的基线Ⅱ比较；存在顺序影响；探测试次（未训练情境）计为泛化，同013-二次口径</t>
        </is>
      </c>
    </row>
    <row r="31" ht="44" customHeight="1" s="176">
      <c r="A31" s="208" t="inlineStr">
        <is>
          <t>K542</t>
        </is>
      </c>
      <c r="B31" s="208" t="inlineStr">
        <is>
          <t>068-二次</t>
        </is>
      </c>
      <c r="C31" s="208" t="inlineStr">
        <is>
          <t>Z</t>
        </is>
      </c>
      <c r="D31" s="239" t="inlineStr">
        <is>
          <t>干预</t>
        </is>
      </c>
      <c r="E31" s="239" t="inlineStr">
        <is>
          <t>成人</t>
        </is>
      </c>
      <c r="F31" s="239" t="inlineStr">
        <is>
          <t>基线期A vs 交替处理期B中的录像示范点（实线）</t>
        </is>
      </c>
      <c r="G31" s="239" t="n">
        <v>3</v>
      </c>
      <c r="H31" s="239" t="n">
        <v>5</v>
      </c>
      <c r="I31" s="239" t="inlineStr">
        <is>
          <t>图3，PDF第5页/印刷19页，被试Z面板（上）；实线圆点＝VM（取），虚线圆点＝in-vivo（不取）</t>
        </is>
      </c>
      <c r="J31" s="239" t="inlineStr">
        <is>
          <t>录像示范与现场示范按天交替，只取录像示范点；接受残余效应（局限中说明）</t>
        </is>
      </c>
    </row>
    <row r="32" ht="44" customHeight="1" s="176">
      <c r="A32" s="208" t="inlineStr">
        <is>
          <t>K543</t>
        </is>
      </c>
      <c r="B32" s="208" t="inlineStr">
        <is>
          <t>068-二次</t>
        </is>
      </c>
      <c r="C32" s="208" t="inlineStr">
        <is>
          <t>M</t>
        </is>
      </c>
      <c r="D32" s="239" t="inlineStr">
        <is>
          <t>干预</t>
        </is>
      </c>
      <c r="E32" s="239" t="inlineStr">
        <is>
          <t>成人</t>
        </is>
      </c>
      <c r="F32" s="239" t="inlineStr">
        <is>
          <t>基线期A vs 交替处理期B中的录像示范点（实线）</t>
        </is>
      </c>
      <c r="G32" s="239" t="n">
        <v>5</v>
      </c>
      <c r="H32" s="239" t="n">
        <v>5</v>
      </c>
      <c r="I32" s="239" t="inlineStr">
        <is>
          <t>图3，PDF第5页/印刷19页，被试M面板（中）；实线圆点＝VM（取），虚线圆点＝in-vivo（不取）</t>
        </is>
      </c>
      <c r="J32" s="239" t="inlineStr">
        <is>
          <t>录像示范与现场示范按天交替，只取录像示范点；接受残余效应（局限中说明）</t>
        </is>
      </c>
    </row>
    <row r="33" ht="44" customHeight="1" s="176">
      <c r="A33" s="208" t="inlineStr">
        <is>
          <t>K544</t>
        </is>
      </c>
      <c r="B33" s="208" t="inlineStr">
        <is>
          <t>068-二次</t>
        </is>
      </c>
      <c r="C33" s="208" t="inlineStr">
        <is>
          <t>Y</t>
        </is>
      </c>
      <c r="D33" s="239" t="inlineStr">
        <is>
          <t>干预</t>
        </is>
      </c>
      <c r="E33" s="239" t="inlineStr">
        <is>
          <t>成人</t>
        </is>
      </c>
      <c r="F33" s="239" t="inlineStr">
        <is>
          <t>基线期A vs 交替处理期B中的录像示范点（实线）</t>
        </is>
      </c>
      <c r="G33" s="239" t="n">
        <v>5</v>
      </c>
      <c r="H33" s="239" t="n">
        <v>5</v>
      </c>
      <c r="I33" s="239" t="inlineStr">
        <is>
          <t>图3，PDF第5页/印刷19页，被试Y面板（下）；实线圆点＝VM（取），虚线圆点＝in-vivo（不取）</t>
        </is>
      </c>
      <c r="J33" s="239" t="inlineStr">
        <is>
          <t>录像示范与现场示范按天交替，只取录像示范点；接受残余效应（局限中说明）</t>
        </is>
      </c>
    </row>
    <row r="34" ht="29.85" customHeight="1" s="176">
      <c r="A34" s="208" t="inlineStr">
        <is>
          <t>K545</t>
        </is>
      </c>
      <c r="B34" s="208" t="inlineStr">
        <is>
          <t>068-二次</t>
        </is>
      </c>
      <c r="C34" s="208" t="inlineStr">
        <is>
          <t>Z</t>
        </is>
      </c>
      <c r="D34" s="239" t="inlineStr">
        <is>
          <t>维持</t>
        </is>
      </c>
      <c r="E34" s="239" t="inlineStr">
        <is>
          <t>成人</t>
        </is>
      </c>
      <c r="F34" s="239" t="inlineStr">
        <is>
          <t>基线期A vs 维持期G（在最佳处理期录像示范之后）</t>
        </is>
      </c>
      <c r="G34" s="239" t="n">
        <v>3</v>
      </c>
      <c r="H34" s="239" t="n">
        <v>3</v>
      </c>
      <c r="I34" s="239" t="inlineStr">
        <is>
          <t>图3，PDF第5页/印刷19页，被试Z面板（上）；维持期G方块</t>
        </is>
      </c>
      <c r="J34" s="239" t="inlineStr">
        <is>
          <t>录像示范与现场示范按天交替，只取录像示范点；接受残余效应（局限中说明）；维持期在最佳处理期（录像示范）之后</t>
        </is>
      </c>
    </row>
    <row r="35" ht="29.85" customHeight="1" s="176">
      <c r="A35" s="208" t="inlineStr">
        <is>
          <t>K546</t>
        </is>
      </c>
      <c r="B35" s="208" t="inlineStr">
        <is>
          <t>068-二次</t>
        </is>
      </c>
      <c r="C35" s="208" t="inlineStr">
        <is>
          <t>M</t>
        </is>
      </c>
      <c r="D35" s="239" t="inlineStr">
        <is>
          <t>维持</t>
        </is>
      </c>
      <c r="E35" s="239" t="inlineStr">
        <is>
          <t>成人</t>
        </is>
      </c>
      <c r="F35" s="239" t="inlineStr">
        <is>
          <t>基线期A vs 维持期G（在最佳处理期录像示范之后）</t>
        </is>
      </c>
      <c r="G35" s="239" t="n">
        <v>5</v>
      </c>
      <c r="H35" s="239" t="n">
        <v>3</v>
      </c>
      <c r="I35" s="239" t="inlineStr">
        <is>
          <t>图3，PDF第5页/印刷19页，被试M面板（中）；维持期G方块</t>
        </is>
      </c>
      <c r="J35" s="239" t="inlineStr">
        <is>
          <t>录像示范与现场示范按天交替，只取录像示范点；接受残余效应（局限中说明）；维持期在最佳处理期（录像示范）之后</t>
        </is>
      </c>
    </row>
    <row r="36" ht="29.85" customHeight="1" s="176">
      <c r="A36" s="208" t="inlineStr">
        <is>
          <t>K547</t>
        </is>
      </c>
      <c r="B36" s="208" t="inlineStr">
        <is>
          <t>068-二次</t>
        </is>
      </c>
      <c r="C36" s="208" t="inlineStr">
        <is>
          <t>Y</t>
        </is>
      </c>
      <c r="D36" s="239" t="inlineStr">
        <is>
          <t>维持</t>
        </is>
      </c>
      <c r="E36" s="239" t="inlineStr">
        <is>
          <t>成人</t>
        </is>
      </c>
      <c r="F36" s="239" t="inlineStr">
        <is>
          <t>基线期A vs 维持期G（在最佳处理期录像示范之后）</t>
        </is>
      </c>
      <c r="G36" s="239" t="n">
        <v>5</v>
      </c>
      <c r="H36" s="239" t="n">
        <v>3</v>
      </c>
      <c r="I36" s="239" t="inlineStr">
        <is>
          <t>图3，PDF第5页/印刷19页，被试Y面板（下）；维持期G方块</t>
        </is>
      </c>
      <c r="J36" s="239" t="inlineStr">
        <is>
          <t>录像示范与现场示范按天交替，只取录像示范点；接受残余效应（局限中说明）；维持期在最佳处理期（录像示范）之后</t>
        </is>
      </c>
    </row>
    <row r="38" ht="19.4" customHeight="1" s="176">
      <c r="A38" s="228" t="inlineStr">
        <is>
          <t>10-17新增的12个K（01-补充）</t>
        </is>
      </c>
    </row>
    <row r="39" ht="15" customHeight="1" s="176">
      <c r="A39" s="237" t="inlineStr">
        <is>
          <t>K编号</t>
        </is>
      </c>
      <c r="B39" s="238" t="inlineStr">
        <is>
          <t>文献编号</t>
        </is>
      </c>
      <c r="C39" s="238" t="inlineStr">
        <is>
          <t>儿童</t>
        </is>
      </c>
      <c r="D39" s="238" t="inlineStr">
        <is>
          <t>比较类型</t>
        </is>
      </c>
      <c r="E39" s="238" t="inlineStr">
        <is>
          <t>示范者</t>
        </is>
      </c>
      <c r="F39" s="238" t="inlineStr">
        <is>
          <t>比较的两段</t>
        </is>
      </c>
      <c r="G39" s="238" t="inlineStr">
        <is>
          <t>前段点数</t>
        </is>
      </c>
      <c r="H39" s="238" t="inlineStr">
        <is>
          <t>后段点数</t>
        </is>
      </c>
      <c r="I39" s="238" t="inlineStr">
        <is>
          <t>图位置</t>
        </is>
      </c>
      <c r="J39" s="238" t="inlineStr">
        <is>
          <t>说明</t>
        </is>
      </c>
    </row>
    <row r="40" ht="58.2" customHeight="1" s="176">
      <c r="A40" s="208" t="inlineStr">
        <is>
          <t>K548</t>
        </is>
      </c>
      <c r="B40" s="208" t="inlineStr">
        <is>
          <t>01-补充</t>
        </is>
      </c>
      <c r="C40" s="208" t="inlineStr">
        <is>
          <t>Anan</t>
        </is>
      </c>
      <c r="D40" s="239" t="inlineStr">
        <is>
          <t>干预</t>
        </is>
      </c>
      <c r="E40" s="239" t="inlineStr">
        <is>
          <t>动画角色</t>
        </is>
      </c>
      <c r="F40" s="239" t="inlineStr">
        <is>
          <t>脚本内社交沟通：基线 vs 第一次交替期中的动画视频点（实心方块）</t>
        </is>
      </c>
      <c r="G40" s="239" t="n">
        <v>5</v>
      </c>
      <c r="H40" s="239" t="n">
        <v>6</v>
      </c>
      <c r="I40" s="239" t="inlineStr">
        <is>
          <t>Figure 5，PDF第16页/印刷227页，Anan面板（上）；实心圆＝基线，实心方块＝动画视频，实心三角＝成人视频</t>
        </is>
      </c>
      <c r="J40" s="239" t="inlineStr">
        <is>
          <t>成人视频与动画视频在第一次交替期按天交替，只取该示范类型的点与基线比较，接受残余效应；混合视频期、撤回期、第二次交替期不取；维持期为部分撤除（测前仍看视频），不取</t>
        </is>
      </c>
    </row>
    <row r="41" ht="58.2" customHeight="1" s="176">
      <c r="A41" s="208" t="inlineStr">
        <is>
          <t>K549</t>
        </is>
      </c>
      <c r="B41" s="208" t="inlineStr">
        <is>
          <t>01-补充</t>
        </is>
      </c>
      <c r="C41" s="208" t="inlineStr">
        <is>
          <t>Anan</t>
        </is>
      </c>
      <c r="D41" s="239" t="inlineStr">
        <is>
          <t>干预</t>
        </is>
      </c>
      <c r="E41" s="239" t="inlineStr">
        <is>
          <t>成人</t>
        </is>
      </c>
      <c r="F41" s="239" t="inlineStr">
        <is>
          <t>脚本内社交沟通：基线 vs 第一次交替期中的成人视频点（实心三角）</t>
        </is>
      </c>
      <c r="G41" s="239" t="n">
        <v>5</v>
      </c>
      <c r="H41" s="239" t="n">
        <v>6</v>
      </c>
      <c r="I41" s="239" t="inlineStr">
        <is>
          <t>Figure 5，PDF第16页/印刷227页，Anan面板（上）；实心圆＝基线，实心方块＝动画视频，实心三角＝成人视频</t>
        </is>
      </c>
      <c r="J41" s="239" t="inlineStr">
        <is>
          <t>成人视频与动画视频在第一次交替期按天交替，只取该示范类型的点与基线比较，接受残余效应；混合视频期、撤回期、第二次交替期不取；维持期为部分撤除（测前仍看视频），不取</t>
        </is>
      </c>
    </row>
    <row r="42" ht="58.2" customHeight="1" s="176">
      <c r="A42" s="208" t="inlineStr">
        <is>
          <t>K550</t>
        </is>
      </c>
      <c r="B42" s="208" t="inlineStr">
        <is>
          <t>01-补充</t>
        </is>
      </c>
      <c r="C42" s="208" t="inlineStr">
        <is>
          <t>Bobo</t>
        </is>
      </c>
      <c r="D42" s="239" t="inlineStr">
        <is>
          <t>干预</t>
        </is>
      </c>
      <c r="E42" s="239" t="inlineStr">
        <is>
          <t>动画角色</t>
        </is>
      </c>
      <c r="F42" s="239" t="inlineStr">
        <is>
          <t>脚本内社交沟通：基线 vs 第一次交替期中的动画视频点（实心方块）</t>
        </is>
      </c>
      <c r="G42" s="239" t="n">
        <v>5</v>
      </c>
      <c r="H42" s="239" t="n">
        <v>6</v>
      </c>
      <c r="I42" s="239" t="inlineStr">
        <is>
          <t>Figure 5，PDF第16页/印刷227页，Bobo面板（中）；实心圆＝基线，实心方块＝动画视频，实心三角＝成人视频</t>
        </is>
      </c>
      <c r="J42" s="239" t="inlineStr">
        <is>
          <t>成人视频与动画视频在第一次交替期按天交替，只取该示范类型的点与基线比较，接受残余效应；混合视频期、撤回期、第二次交替期不取；维持期为部分撤除（测前仍看视频），不取</t>
        </is>
      </c>
    </row>
    <row r="43" ht="58.2" customHeight="1" s="176">
      <c r="A43" s="208" t="inlineStr">
        <is>
          <t>K551</t>
        </is>
      </c>
      <c r="B43" s="208" t="inlineStr">
        <is>
          <t>01-补充</t>
        </is>
      </c>
      <c r="C43" s="208" t="inlineStr">
        <is>
          <t>Bobo</t>
        </is>
      </c>
      <c r="D43" s="239" t="inlineStr">
        <is>
          <t>干预</t>
        </is>
      </c>
      <c r="E43" s="239" t="inlineStr">
        <is>
          <t>成人</t>
        </is>
      </c>
      <c r="F43" s="239" t="inlineStr">
        <is>
          <t>脚本内社交沟通：基线 vs 第一次交替期中的成人视频点（实心三角）</t>
        </is>
      </c>
      <c r="G43" s="239" t="n">
        <v>5</v>
      </c>
      <c r="H43" s="239" t="n">
        <v>6</v>
      </c>
      <c r="I43" s="239" t="inlineStr">
        <is>
          <t>Figure 5，PDF第16页/印刷227页，Bobo面板（中）；实心圆＝基线，实心方块＝动画视频，实心三角＝成人视频</t>
        </is>
      </c>
      <c r="J43" s="239" t="inlineStr">
        <is>
          <t>成人视频与动画视频在第一次交替期按天交替，只取该示范类型的点与基线比较，接受残余效应；混合视频期、撤回期、第二次交替期不取；维持期为部分撤除（测前仍看视频），不取</t>
        </is>
      </c>
    </row>
    <row r="44" ht="58.2" customHeight="1" s="176">
      <c r="A44" s="208" t="inlineStr">
        <is>
          <t>K552</t>
        </is>
      </c>
      <c r="B44" s="208" t="inlineStr">
        <is>
          <t>01-补充</t>
        </is>
      </c>
      <c r="C44" s="208" t="inlineStr">
        <is>
          <t>Cici</t>
        </is>
      </c>
      <c r="D44" s="239" t="inlineStr">
        <is>
          <t>干预</t>
        </is>
      </c>
      <c r="E44" s="239" t="inlineStr">
        <is>
          <t>动画角色</t>
        </is>
      </c>
      <c r="F44" s="239" t="inlineStr">
        <is>
          <t>脚本内社交沟通：基线 vs 第一次交替期中的动画视频点（实心方块）</t>
        </is>
      </c>
      <c r="G44" s="239" t="n">
        <v>8</v>
      </c>
      <c r="H44" s="239" t="n">
        <v>6</v>
      </c>
      <c r="I44" s="239" t="inlineStr">
        <is>
          <t>Figure 5，PDF第16页/印刷227页，Cici面板（下）；实心圆＝基线，实心方块＝动画视频，实心三角＝成人视频</t>
        </is>
      </c>
      <c r="J44" s="239" t="inlineStr">
        <is>
          <t>成人视频与动画视频在第一次交替期按天交替，只取该示范类型的点与基线比较，接受残余效应；混合视频期、撤回期、第二次交替期不取；维持期为部分撤除（测前仍看视频），不取</t>
        </is>
      </c>
    </row>
    <row r="45" ht="58.2" customHeight="1" s="176">
      <c r="A45" s="208" t="inlineStr">
        <is>
          <t>K553</t>
        </is>
      </c>
      <c r="B45" s="208" t="inlineStr">
        <is>
          <t>01-补充</t>
        </is>
      </c>
      <c r="C45" s="208" t="inlineStr">
        <is>
          <t>Cici</t>
        </is>
      </c>
      <c r="D45" s="239" t="inlineStr">
        <is>
          <t>干预</t>
        </is>
      </c>
      <c r="E45" s="239" t="inlineStr">
        <is>
          <t>成人</t>
        </is>
      </c>
      <c r="F45" s="239" t="inlineStr">
        <is>
          <t>脚本内社交沟通：基线 vs 第一次交替期中的成人视频点（实心三角）</t>
        </is>
      </c>
      <c r="G45" s="239" t="n">
        <v>8</v>
      </c>
      <c r="H45" s="239" t="n">
        <v>6</v>
      </c>
      <c r="I45" s="239" t="inlineStr">
        <is>
          <t>Figure 5，PDF第16页/印刷227页，Cici面板（下）；实心圆＝基线，实心方块＝动画视频，实心三角＝成人视频</t>
        </is>
      </c>
      <c r="J45" s="239" t="inlineStr">
        <is>
          <t>成人视频与动画视频在第一次交替期按天交替，只取该示范类型的点与基线比较，接受残余效应；混合视频期、撤回期、第二次交替期不取；维持期为部分撤除（测前仍看视频），不取</t>
        </is>
      </c>
    </row>
    <row r="46" ht="58.2" customHeight="1" s="176">
      <c r="A46" s="208" t="inlineStr">
        <is>
          <t>K554</t>
        </is>
      </c>
      <c r="B46" s="208" t="inlineStr">
        <is>
          <t>01-补充</t>
        </is>
      </c>
      <c r="C46" s="208" t="inlineStr">
        <is>
          <t>Anan</t>
        </is>
      </c>
      <c r="D46" s="239" t="inlineStr">
        <is>
          <t>干预</t>
        </is>
      </c>
      <c r="E46" s="239" t="inlineStr">
        <is>
          <t>动画角色</t>
        </is>
      </c>
      <c r="F46" s="239" t="inlineStr">
        <is>
          <t>脚本外社交沟通：基线 vs 第一次交替期中的动画视频点（实心方块）</t>
        </is>
      </c>
      <c r="G46" s="239" t="n">
        <v>5</v>
      </c>
      <c r="H46" s="239" t="n">
        <v>6</v>
      </c>
      <c r="I46" s="239" t="inlineStr">
        <is>
          <t>Figure 6，PDF第17页/印刷228页，Anan面板（上）；实心圆＝基线，实心方块＝动画视频，实心三角＝成人视频</t>
        </is>
      </c>
      <c r="J46" s="239" t="inlineStr">
        <is>
          <t>成人视频与动画视频在第一次交替期按天交替，只取该示范类型的点与基线比较，接受残余效应；混合视频期、撤回期、第二次交替期不取；维持期为部分撤除（测前仍看视频），不取</t>
        </is>
      </c>
    </row>
    <row r="47" ht="58.2" customHeight="1" s="176">
      <c r="A47" s="208" t="inlineStr">
        <is>
          <t>K555</t>
        </is>
      </c>
      <c r="B47" s="208" t="inlineStr">
        <is>
          <t>01-补充</t>
        </is>
      </c>
      <c r="C47" s="208" t="inlineStr">
        <is>
          <t>Anan</t>
        </is>
      </c>
      <c r="D47" s="239" t="inlineStr">
        <is>
          <t>干预</t>
        </is>
      </c>
      <c r="E47" s="239" t="inlineStr">
        <is>
          <t>成人</t>
        </is>
      </c>
      <c r="F47" s="239" t="inlineStr">
        <is>
          <t>脚本外社交沟通：基线 vs 第一次交替期中的成人视频点（实心三角）</t>
        </is>
      </c>
      <c r="G47" s="239" t="n">
        <v>5</v>
      </c>
      <c r="H47" s="239" t="n">
        <v>6</v>
      </c>
      <c r="I47" s="239" t="inlineStr">
        <is>
          <t>Figure 6，PDF第17页/印刷228页，Anan面板（上）；实心圆＝基线，实心方块＝动画视频，实心三角＝成人视频</t>
        </is>
      </c>
      <c r="J47" s="239" t="inlineStr">
        <is>
          <t>成人视频与动画视频在第一次交替期按天交替，只取该示范类型的点与基线比较，接受残余效应；混合视频期、撤回期、第二次交替期不取；维持期为部分撤除（测前仍看视频），不取</t>
        </is>
      </c>
    </row>
    <row r="48" ht="58.2" customHeight="1" s="176">
      <c r="A48" s="208" t="inlineStr">
        <is>
          <t>K556</t>
        </is>
      </c>
      <c r="B48" s="208" t="inlineStr">
        <is>
          <t>01-补充</t>
        </is>
      </c>
      <c r="C48" s="208" t="inlineStr">
        <is>
          <t>Bobo</t>
        </is>
      </c>
      <c r="D48" s="239" t="inlineStr">
        <is>
          <t>干预</t>
        </is>
      </c>
      <c r="E48" s="239" t="inlineStr">
        <is>
          <t>动画角色</t>
        </is>
      </c>
      <c r="F48" s="239" t="inlineStr">
        <is>
          <t>脚本外社交沟通：基线 vs 第一次交替期中的动画视频点（实心方块）</t>
        </is>
      </c>
      <c r="G48" s="239" t="n">
        <v>5</v>
      </c>
      <c r="H48" s="239" t="n">
        <v>6</v>
      </c>
      <c r="I48" s="239" t="inlineStr">
        <is>
          <t>Figure 6，PDF第17页/印刷228页，Bobo面板（中）；实心圆＝基线，实心方块＝动画视频，实心三角＝成人视频</t>
        </is>
      </c>
      <c r="J48" s="239" t="inlineStr">
        <is>
          <t>成人视频与动画视频在第一次交替期按天交替，只取该示范类型的点与基线比较，接受残余效应；混合视频期、撤回期、第二次交替期不取；维持期为部分撤除（测前仍看视频），不取</t>
        </is>
      </c>
    </row>
    <row r="49" ht="58.2" customHeight="1" s="176">
      <c r="A49" s="208" t="inlineStr">
        <is>
          <t>K557</t>
        </is>
      </c>
      <c r="B49" s="208" t="inlineStr">
        <is>
          <t>01-补充</t>
        </is>
      </c>
      <c r="C49" s="208" t="inlineStr">
        <is>
          <t>Bobo</t>
        </is>
      </c>
      <c r="D49" s="239" t="inlineStr">
        <is>
          <t>干预</t>
        </is>
      </c>
      <c r="E49" s="239" t="inlineStr">
        <is>
          <t>成人</t>
        </is>
      </c>
      <c r="F49" s="239" t="inlineStr">
        <is>
          <t>脚本外社交沟通：基线 vs 第一次交替期中的成人视频点（实心三角）</t>
        </is>
      </c>
      <c r="G49" s="239" t="n">
        <v>5</v>
      </c>
      <c r="H49" s="239" t="n">
        <v>6</v>
      </c>
      <c r="I49" s="239" t="inlineStr">
        <is>
          <t>Figure 6，PDF第17页/印刷228页，Bobo面板（中）；实心圆＝基线，实心方块＝动画视频，实心三角＝成人视频</t>
        </is>
      </c>
      <c r="J49" s="239" t="inlineStr">
        <is>
          <t>成人视频与动画视频在第一次交替期按天交替，只取该示范类型的点与基线比较，接受残余效应；混合视频期、撤回期、第二次交替期不取；维持期为部分撤除（测前仍看视频），不取</t>
        </is>
      </c>
    </row>
    <row r="50" ht="58.2" customHeight="1" s="176">
      <c r="A50" s="208" t="inlineStr">
        <is>
          <t>K558</t>
        </is>
      </c>
      <c r="B50" s="208" t="inlineStr">
        <is>
          <t>01-补充</t>
        </is>
      </c>
      <c r="C50" s="208" t="inlineStr">
        <is>
          <t>Cici</t>
        </is>
      </c>
      <c r="D50" s="239" t="inlineStr">
        <is>
          <t>干预</t>
        </is>
      </c>
      <c r="E50" s="239" t="inlineStr">
        <is>
          <t>动画角色</t>
        </is>
      </c>
      <c r="F50" s="239" t="inlineStr">
        <is>
          <t>脚本外社交沟通：基线 vs 第一次交替期中的动画视频点（实心方块）</t>
        </is>
      </c>
      <c r="G50" s="239" t="n">
        <v>8</v>
      </c>
      <c r="H50" s="239" t="n">
        <v>6</v>
      </c>
      <c r="I50" s="239" t="inlineStr">
        <is>
          <t>Figure 6，PDF第17页/印刷228页，Cici面板（下）；实心圆＝基线，实心方块＝动画视频，实心三角＝成人视频</t>
        </is>
      </c>
      <c r="J50" s="239" t="inlineStr">
        <is>
          <t>成人视频与动画视频在第一次交替期按天交替，只取该示范类型的点与基线比较，接受残余效应；混合视频期、撤回期、第二次交替期不取；维持期为部分撤除（测前仍看视频），不取</t>
        </is>
      </c>
    </row>
    <row r="51" ht="58.2" customHeight="1" s="176">
      <c r="A51" s="208" t="inlineStr">
        <is>
          <t>K559</t>
        </is>
      </c>
      <c r="B51" s="208" t="inlineStr">
        <is>
          <t>01-补充</t>
        </is>
      </c>
      <c r="C51" s="208" t="inlineStr">
        <is>
          <t>Cici</t>
        </is>
      </c>
      <c r="D51" s="239" t="inlineStr">
        <is>
          <t>干预</t>
        </is>
      </c>
      <c r="E51" s="239" t="inlineStr">
        <is>
          <t>成人</t>
        </is>
      </c>
      <c r="F51" s="239" t="inlineStr">
        <is>
          <t>脚本外社交沟通：基线 vs 第一次交替期中的成人视频点（实心三角）</t>
        </is>
      </c>
      <c r="G51" s="239" t="n">
        <v>8</v>
      </c>
      <c r="H51" s="239" t="n">
        <v>6</v>
      </c>
      <c r="I51" s="239" t="inlineStr">
        <is>
          <t>Figure 6，PDF第17页/印刷228页，Cici面板（下）；实心圆＝基线，实心方块＝动画视频，实心三角＝成人视频</t>
        </is>
      </c>
      <c r="J51" s="239" t="inlineStr">
        <is>
          <t>成人视频与动画视频在第一次交替期按天交替，只取该示范类型的点与基线比较，接受残余效应；混合视频期、撤回期、第二次交替期不取；维持期为部分撤除（测前仍看视频），不取</t>
        </is>
      </c>
    </row>
    <row r="52" ht="120" customHeight="1" s="176">
      <c r="A52" s="224" t="inlineStr">
        <is>
          <t>K564</t>
        </is>
      </c>
      <c r="B52" s="224" t="inlineStr">
        <is>
          <t>002-滚雪球</t>
        </is>
      </c>
      <c r="C52" s="224" t="inlineStr">
        <is>
          <t>Nick</t>
        </is>
      </c>
      <c r="D52" s="223" t="inlineStr">
        <is>
          <t>干预</t>
        </is>
      </c>
      <c r="E52" s="223" t="inlineStr">
        <is>
          <t>成人</t>
        </is>
      </c>
      <c r="F52" s="223" t="inlineStr">
        <is>
          <t>购物结账社会及购买技能独立完成步骤总数（6步）：原购物店Baseline vs 视频示范+言语提示Intervention</t>
        </is>
      </c>
      <c r="G52" s="223" t="n">
        <v>10</v>
      </c>
      <c r="H52" s="223" t="n">
        <v>6</v>
      </c>
      <c r="I52" s="223" t="inlineStr">
        <is>
          <t>Figure 1，PDF第8页/印刷42页，Nick面板，实心菱形；Baseline 1–10，Intervention 11–16</t>
        </is>
      </c>
      <c r="J52" s="223" t="inlineStr">
        <is>
          <t>含付钱和取货，属于混合指标；泛化沿用原训练店基线，没有新店前测</t>
        </is>
      </c>
    </row>
    <row r="53" ht="120" customHeight="1" s="176">
      <c r="A53" s="224" t="inlineStr">
        <is>
          <t>K565</t>
        </is>
      </c>
      <c r="B53" s="224" t="inlineStr">
        <is>
          <t>002-滚雪球</t>
        </is>
      </c>
      <c r="C53" s="224" t="inlineStr">
        <is>
          <t>Nick</t>
        </is>
      </c>
      <c r="D53" s="223" t="inlineStr">
        <is>
          <t>泛化</t>
        </is>
      </c>
      <c r="E53" s="223" t="inlineStr">
        <is>
          <t>成人</t>
        </is>
      </c>
      <c r="F53" s="223" t="inlineStr">
        <is>
          <t>购物结账社会及购买技能独立完成步骤总数（6步）：原购物店Baseline vs 第二家未训练店Generalization</t>
        </is>
      </c>
      <c r="G53" s="223" t="n">
        <v>10</v>
      </c>
      <c r="H53" s="223" t="n">
        <v>3</v>
      </c>
      <c r="I53" s="223" t="inlineStr">
        <is>
          <t>Figure 1，PDF第8页/印刷42页，Nick面板，实心菱形；Baseline 1–10，Generalization 17–19</t>
        </is>
      </c>
      <c r="J53" s="223" t="inlineStr">
        <is>
          <t>含付钱和取货，属于混合指标；泛化沿用原训练店基线，没有新店前测</t>
        </is>
      </c>
    </row>
    <row r="54" ht="120" customHeight="1" s="176">
      <c r="A54" s="224" t="inlineStr">
        <is>
          <t>K566</t>
        </is>
      </c>
      <c r="B54" s="224" t="inlineStr">
        <is>
          <t>061-二次</t>
        </is>
      </c>
      <c r="C54" s="224" t="inlineStr">
        <is>
          <t>Kevin</t>
        </is>
      </c>
      <c r="D54" s="223" t="inlineStr">
        <is>
          <t>干预</t>
        </is>
      </c>
      <c r="E54" s="223" t="inlineStr">
        <is>
          <t>同伴儿童（含兄弟姐妹）</t>
        </is>
      </c>
      <c r="F54" s="223" t="inlineStr">
        <is>
          <t>三项社交沟通目标合计正确率：第一次Baseline A（会话1–5）vs第一次Treatment B（会话6–10）；第二轮A/B不另增加K。</t>
        </is>
      </c>
      <c r="G54" s="223" t="n">
        <v>5</v>
      </c>
      <c r="H54" s="223" t="n">
        <v>5</v>
      </c>
      <c r="I54" s="223" t="inlineStr">
        <is>
          <t>Figure 1，PDF第13页/印刷526页，第1面板（Kevin），实心圆；第一次Baseline A（会话1–5）vs第一次Treatment B（会话6–10）；第二轮A/B不另增加K。</t>
        </is>
      </c>
      <c r="J54" s="223" t="inlineStr">
        <is>
          <t>请求拼图、合作积木、排队转换合计；A2综合沟通为现表的归类推断</t>
        </is>
      </c>
    </row>
    <row r="55" ht="120" customHeight="1" s="176">
      <c r="A55" s="224" t="inlineStr">
        <is>
          <t>K567</t>
        </is>
      </c>
      <c r="B55" s="224" t="inlineStr">
        <is>
          <t>061-二次</t>
        </is>
      </c>
      <c r="C55" s="224" t="inlineStr">
        <is>
          <t>Ricky</t>
        </is>
      </c>
      <c r="D55" s="223" t="inlineStr">
        <is>
          <t>干预</t>
        </is>
      </c>
      <c r="E55" s="223" t="inlineStr">
        <is>
          <t>同伴儿童（含兄弟姐妹）</t>
        </is>
      </c>
      <c r="F55" s="223" t="inlineStr">
        <is>
          <t>三项社交沟通目标合计正确率：第一次Baseline A（会话1–5）vs第一次Treatment B（会话6–10）；第二轮A/B不另增加K。</t>
        </is>
      </c>
      <c r="G55" s="223" t="n">
        <v>5</v>
      </c>
      <c r="H55" s="223" t="n">
        <v>5</v>
      </c>
      <c r="I55" s="223" t="inlineStr">
        <is>
          <t>Figure 1，PDF第13页/印刷526页，第2面板（Ricky），实心圆；第一次Baseline A（会话1–5）vs第一次Treatment B（会话6–10）；第二轮A/B不另增加K。</t>
        </is>
      </c>
      <c r="J55" s="223" t="inlineStr">
        <is>
          <t>请求拼图、合作积木、排队转换合计；A2综合沟通为现表的归类推断</t>
        </is>
      </c>
    </row>
    <row r="56" ht="120" customHeight="1" s="176">
      <c r="A56" s="224" t="inlineStr">
        <is>
          <t>K568</t>
        </is>
      </c>
      <c r="B56" s="224" t="inlineStr">
        <is>
          <t>061-二次</t>
        </is>
      </c>
      <c r="C56" s="224" t="inlineStr">
        <is>
          <t>Andy</t>
        </is>
      </c>
      <c r="D56" s="223" t="inlineStr">
        <is>
          <t>干预</t>
        </is>
      </c>
      <c r="E56" s="223" t="inlineStr">
        <is>
          <t>同伴儿童（含兄弟姐妹）</t>
        </is>
      </c>
      <c r="F56" s="223" t="inlineStr">
        <is>
          <t>三项社交沟通目标合计正确率：第一次Baseline A（会话1–5）vs第一次Treatment B（会话6–10）；第二轮A/B不另增加K。</t>
        </is>
      </c>
      <c r="G56" s="223" t="n">
        <v>5</v>
      </c>
      <c r="H56" s="223" t="n">
        <v>5</v>
      </c>
      <c r="I56" s="223" t="inlineStr">
        <is>
          <t>Figure 1，PDF第13页/印刷526页，第3面板（Andy），实心圆；第一次Baseline A（会话1–5）vs第一次Treatment B（会话6–10）；第二轮A/B不另增加K。</t>
        </is>
      </c>
      <c r="J56" s="223" t="inlineStr">
        <is>
          <t>请求拼图、合作积木、排队转换合计；A2综合沟通为现表的归类推断</t>
        </is>
      </c>
    </row>
    <row r="57" ht="120" customHeight="1" s="176">
      <c r="A57" s="224" t="inlineStr">
        <is>
          <t>K569</t>
        </is>
      </c>
      <c r="B57" s="224" t="inlineStr">
        <is>
          <t>061-二次</t>
        </is>
      </c>
      <c r="C57" s="224" t="inlineStr">
        <is>
          <t>Adrian</t>
        </is>
      </c>
      <c r="D57" s="223" t="inlineStr">
        <is>
          <t>干预</t>
        </is>
      </c>
      <c r="E57" s="223" t="inlineStr">
        <is>
          <t>同伴儿童（含兄弟姐妹）</t>
        </is>
      </c>
      <c r="F57" s="223" t="inlineStr">
        <is>
          <t>三项社交沟通目标合计正确率：第一次Baseline A（会话1–5）vs第一次Treatment B（会话6–10）；第二轮A/B不另增加K。</t>
        </is>
      </c>
      <c r="G57" s="223" t="n">
        <v>5</v>
      </c>
      <c r="H57" s="223" t="n">
        <v>5</v>
      </c>
      <c r="I57" s="223" t="inlineStr">
        <is>
          <t>Figure 1，PDF第13页/印刷526页，第4面板（Adrian），实心圆；第一次Baseline A（会话1–5）vs第一次Treatment B（会话6–10）；第二轮A/B不另增加K。</t>
        </is>
      </c>
      <c r="J57" s="223" t="inlineStr">
        <is>
          <t>请求拼图、合作积木、排队转换合计；A2综合沟通为现表的归类推断</t>
        </is>
      </c>
    </row>
    <row r="58" ht="120" customHeight="1" s="176">
      <c r="A58" s="224" t="inlineStr">
        <is>
          <t>K570</t>
        </is>
      </c>
      <c r="B58" s="224" t="inlineStr">
        <is>
          <t>061-二次</t>
        </is>
      </c>
      <c r="C58" s="224" t="inlineStr">
        <is>
          <t>Sue</t>
        </is>
      </c>
      <c r="D58" s="223" t="inlineStr">
        <is>
          <t>干预</t>
        </is>
      </c>
      <c r="E58" s="223" t="inlineStr">
        <is>
          <t>同伴儿童（含兄弟姐妹）</t>
        </is>
      </c>
      <c r="F58" s="223" t="inlineStr">
        <is>
          <t>三项社交沟通目标合计正确率：第一次Baseline A（会话1–5）vs第一次Treatment B（会话6–10）；第二轮A/B不另增加K。</t>
        </is>
      </c>
      <c r="G58" s="223" t="n">
        <v>5</v>
      </c>
      <c r="H58" s="223" t="n">
        <v>5</v>
      </c>
      <c r="I58" s="223" t="inlineStr">
        <is>
          <t>Figure 1，PDF第13页/印刷526页，第5面板（Sue），实心圆；第一次Baseline A（会话1–5）vs第一次Treatment B（会话6–10）；第二轮A/B不另增加K。</t>
        </is>
      </c>
      <c r="J58" s="223" t="inlineStr">
        <is>
          <t>请求拼图、合作积木、排队转换合计；A2综合沟通为现表的归类推断</t>
        </is>
      </c>
    </row>
    <row r="59" ht="120" customHeight="1" s="176">
      <c r="A59" s="224" t="inlineStr">
        <is>
          <t>K571</t>
        </is>
      </c>
      <c r="B59" s="224" t="inlineStr">
        <is>
          <t>061-二次</t>
        </is>
      </c>
      <c r="C59" s="224" t="inlineStr">
        <is>
          <t>Wes</t>
        </is>
      </c>
      <c r="D59" s="223" t="inlineStr">
        <is>
          <t>干预</t>
        </is>
      </c>
      <c r="E59" s="223" t="inlineStr">
        <is>
          <t>同伴儿童（含兄弟姐妹）</t>
        </is>
      </c>
      <c r="F59" s="223" t="inlineStr">
        <is>
          <t>三项社交沟通目标合计正确率：第一次Baseline A（会话1–5）vs第一次Treatment B（会话6–10）；第二轮A/B不另增加K。</t>
        </is>
      </c>
      <c r="G59" s="223" t="n">
        <v>5</v>
      </c>
      <c r="H59" s="223" t="n">
        <v>5</v>
      </c>
      <c r="I59" s="223" t="inlineStr">
        <is>
          <t>Figure 1，PDF第13页/印刷526页，第6面板（Wes），实心圆；第一次Baseline A（会话1–5）vs第一次Treatment B（会话6–10）；第二轮A/B不另增加K。</t>
        </is>
      </c>
      <c r="J59" s="223" t="inlineStr">
        <is>
          <t>请求拼图、合作积木、排队转换合计；A2综合沟通为现表的归类推断</t>
        </is>
      </c>
    </row>
    <row r="60" ht="120" customHeight="1" s="176">
      <c r="A60" s="224" t="inlineStr">
        <is>
          <t>K572</t>
        </is>
      </c>
      <c r="B60" s="224" t="inlineStr">
        <is>
          <t>061-二次</t>
        </is>
      </c>
      <c r="C60" s="224" t="inlineStr">
        <is>
          <t>Kade</t>
        </is>
      </c>
      <c r="D60" s="223" t="inlineStr">
        <is>
          <t>干预</t>
        </is>
      </c>
      <c r="E60" s="223" t="inlineStr">
        <is>
          <t>同伴儿童（含兄弟姐妹）</t>
        </is>
      </c>
      <c r="F60" s="223" t="inlineStr">
        <is>
          <t>三项社交沟通目标合计正确率：两个首次VM前Baseline A（会话1–10）vs连续两个Treatment B（会话11–19）；B1五点、B2四点。</t>
        </is>
      </c>
      <c r="G60" s="223" t="n">
        <v>10</v>
      </c>
      <c r="H60" s="223" t="n">
        <v>9</v>
      </c>
      <c r="I60" s="223" t="inlineStr">
        <is>
          <t>Figure 2，PDF第14页/印刷527页，第1面板（Kade），实心圆；两个首次VM前Baseline A（会话1–10）vs连续两个Treatment B（会话11–19）；B1五点、B2四点。</t>
        </is>
      </c>
      <c r="J60" s="223" t="inlineStr">
        <is>
          <t>请求拼图、合作积木、排队转换合计；A2综合沟通为现表的归类推断；Early Birds按文献纳入。</t>
        </is>
      </c>
    </row>
    <row r="61" ht="120" customHeight="1" s="176">
      <c r="A61" s="224" t="inlineStr">
        <is>
          <t>K573</t>
        </is>
      </c>
      <c r="B61" s="224" t="inlineStr">
        <is>
          <t>061-二次</t>
        </is>
      </c>
      <c r="C61" s="224" t="inlineStr">
        <is>
          <t>Hank</t>
        </is>
      </c>
      <c r="D61" s="223" t="inlineStr">
        <is>
          <t>干预</t>
        </is>
      </c>
      <c r="E61" s="223" t="inlineStr">
        <is>
          <t>同伴儿童（含兄弟姐妹）</t>
        </is>
      </c>
      <c r="F61" s="223" t="inlineStr">
        <is>
          <t>三项社交沟通目标合计正确率：两个首次VM前Baseline A（会话1–10）vs连续两个Treatment B（会话11–19）；B1五点、B2四点。</t>
        </is>
      </c>
      <c r="G61" s="223" t="n">
        <v>10</v>
      </c>
      <c r="H61" s="223" t="n">
        <v>9</v>
      </c>
      <c r="I61" s="223" t="inlineStr">
        <is>
          <t>Figure 2，PDF第14页/印刷527页，第2面板（Hank），实心圆；两个首次VM前Baseline A（会话1–10）vs连续两个Treatment B（会话11–19）；B1五点、B2四点。</t>
        </is>
      </c>
      <c r="J61" s="223" t="inlineStr">
        <is>
          <t>请求拼图、合作积木、排队转换合计；A2综合沟通为现表的归类推断；Early Birds按文献纳入。</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75" min="1" max="1"/>
    <col width="36" customWidth="1" style="175" min="2" max="2"/>
    <col width="34" customWidth="1" style="175" min="3" max="3"/>
    <col width="60" customWidth="1" style="175" min="4" max="4"/>
  </cols>
  <sheetData>
    <row r="1" ht="18.75" customHeight="1" s="176">
      <c r="A1" s="228" t="inlineStr">
        <is>
          <t>变更记录（历史记录供追溯；现行范围以K分组表为准）</t>
        </is>
      </c>
    </row>
    <row r="3" ht="15" customHeight="1" s="176">
      <c r="A3" s="240" t="inlineStr">
        <is>
          <t>类别</t>
        </is>
      </c>
      <c r="B3" s="240" t="inlineStr">
        <is>
          <t>对象</t>
        </is>
      </c>
      <c r="C3" s="240" t="inlineStr">
        <is>
          <t>变动</t>
        </is>
      </c>
      <c r="D3" s="240" t="inlineStr">
        <is>
          <t>理由</t>
        </is>
      </c>
    </row>
    <row r="4" ht="29.25" customHeight="1" s="176">
      <c r="A4" s="178" t="inlineStr">
        <is>
          <t>K范围</t>
        </is>
      </c>
      <c r="B4" s="178" t="inlineStr">
        <is>
          <t>114-二次（25个K：干预20、维持5）</t>
        </is>
      </c>
      <c r="C4" s="181" t="inlineStr">
        <is>
          <t>整篇排除</t>
        </is>
      </c>
      <c r="D4" s="181" t="inlineStr">
        <is>
          <t>按文献纳入：所有“视频 vs 基线”单元均不符合WWC 5.0（多探测规则3不满足；Matthew为A-B）</t>
        </is>
      </c>
    </row>
    <row r="5" ht="15" customHeight="1" s="176">
      <c r="A5" s="178" t="inlineStr">
        <is>
          <t>K范围</t>
        </is>
      </c>
      <c r="B5" s="178" t="inlineStr">
        <is>
          <t>016-二次（11个K：干预4、维持3、泛化4）</t>
        </is>
      </c>
      <c r="C5" s="181" t="inlineStr">
        <is>
          <t>整篇排除</t>
        </is>
      </c>
      <c r="D5" s="181" t="inlineStr">
        <is>
          <t>按严格口径，前3次会话各层无重叠，无达标单元</t>
        </is>
      </c>
    </row>
    <row r="6" ht="15" customHeight="1" s="176">
      <c r="A6" s="178" t="inlineStr">
        <is>
          <t>K范围</t>
        </is>
      </c>
      <c r="B6" s="178" t="inlineStr">
        <is>
          <t>068-二次（6个K：干预3、维持3）</t>
        </is>
      </c>
      <c r="C6" s="181" t="inlineStr">
        <is>
          <t>整篇排除</t>
        </is>
      </c>
      <c r="D6" s="181" t="inlineStr">
        <is>
          <t>视频与现场示范交替，A′未回到基线，排除不了残余效应</t>
        </is>
      </c>
    </row>
    <row r="7" ht="15" customHeight="1" s="176">
      <c r="A7" s="178" t="inlineStr">
        <is>
          <t>K范围</t>
        </is>
      </c>
      <c r="B7" s="178" t="inlineStr">
        <is>
          <t>039-二次 被试Z.（K309–316）</t>
        </is>
      </c>
      <c r="C7" s="181" t="inlineStr">
        <is>
          <t>维持排除（原本不在461中）</t>
        </is>
      </c>
      <c r="D7" s="181" t="inlineStr">
        <is>
          <t>实验2为A-B设计，作为单独研究未达WWC</t>
        </is>
      </c>
    </row>
    <row r="8" ht="15" customHeight="1" s="176">
      <c r="A8" s="178" t="inlineStr">
        <is>
          <t>K范围</t>
        </is>
      </c>
      <c r="B8" s="178" t="inlineStr">
        <is>
          <t>110-二次（K520–K535，16个干预K）</t>
        </is>
      </c>
      <c r="C8" s="181" t="inlineStr">
        <is>
          <t>新增</t>
        </is>
      </c>
      <c r="D8" s="181" t="inlineStr">
        <is>
          <t>用户决定推翻规则X03纳入；WWC：动画/成人 vs 基线均达标</t>
        </is>
      </c>
    </row>
    <row r="9" ht="29.25" customHeight="1" s="176">
      <c r="A9" s="178" t="inlineStr">
        <is>
          <t>K范围</t>
        </is>
      </c>
      <c r="B9" s="178" t="inlineStr">
        <is>
          <t>044 Jamie 条件D（K380、K386）</t>
        </is>
      </c>
      <c r="C9" s="181" t="inlineStr">
        <is>
          <t>新增（恢复）</t>
        </is>
      </c>
      <c r="D9" s="181" t="inlineStr">
        <is>
          <t>原文写明条件D首次未达标、第18次重回条件C后达标；图上第15–17、19–21次可取，共6点</t>
        </is>
      </c>
    </row>
    <row r="10" ht="15" customHeight="1" s="176">
      <c r="A10" s="178" t="inlineStr">
        <is>
          <t>K范围</t>
        </is>
      </c>
      <c r="B10" s="178" t="inlineStr">
        <is>
          <t>044 Jamie 条件C（K379、K385）</t>
        </is>
      </c>
      <c r="C10" s="181" t="inlineStr">
        <is>
          <t>维持排除</t>
        </is>
      </c>
      <c r="D10" s="181" t="inlineStr">
        <is>
          <t>图上只能确认第18次1个点，首次条件C无法与视频示范期分开</t>
        </is>
      </c>
    </row>
    <row r="11" ht="15" customHeight="1" s="176">
      <c r="A11" s="178" t="inlineStr">
        <is>
          <t>K范围</t>
        </is>
      </c>
      <c r="B11" s="178" t="inlineStr">
        <is>
          <t>018、080</t>
        </is>
      </c>
      <c r="C11" s="181" t="inlineStr">
        <is>
          <t>保留</t>
        </is>
      </c>
      <c r="D11" s="181" t="inlineStr">
        <is>
          <t>“录像制作”阶段按基线延续处理，可评为有保留</t>
        </is>
      </c>
    </row>
    <row r="12" ht="15" customHeight="1" s="176">
      <c r="A12" s="181" t="inlineStr">
        <is>
          <t>示范者</t>
        </is>
      </c>
      <c r="B12" s="178" t="inlineStr">
        <is>
          <t>057-二次（姐姐示范）</t>
        </is>
      </c>
      <c r="C12" s="181" t="inlineStr">
        <is>
          <t>手足 → 同伴儿童（含兄弟姐妹）</t>
        </is>
      </c>
      <c r="D12" s="181" t="inlineStr">
        <is>
          <t>兄弟姐妹归入同伴儿童</t>
        </is>
      </c>
    </row>
    <row r="13" ht="15" customHeight="1" s="176">
      <c r="A13" s="181" t="inlineStr">
        <is>
          <t>示范者</t>
        </is>
      </c>
      <c r="B13" s="178" t="inlineStr">
        <is>
          <t>048-二次</t>
        </is>
      </c>
      <c r="C13" s="181" t="inlineStr">
        <is>
          <t>手足+成人 → 成人</t>
        </is>
      </c>
      <c r="D13" s="181" t="inlineStr">
        <is>
          <t>兄弟姐妹只作互动对象，游戏评论由成人示范（按实际分工）</t>
        </is>
      </c>
    </row>
    <row r="14" ht="15" customHeight="1" s="176">
      <c r="A14" s="181" t="inlineStr">
        <is>
          <t>示范者</t>
        </is>
      </c>
      <c r="B14" s="178" t="inlineStr">
        <is>
          <t>031-滚雪球</t>
        </is>
      </c>
      <c r="C14" s="181" t="inlineStr">
        <is>
          <t>儿童本人+同伴儿童 → 儿童本人</t>
        </is>
      </c>
      <c r="D14" s="181" t="inlineStr">
        <is>
          <t>两名同伴只作互动伙伴，儿童观看本人互动录像</t>
        </is>
      </c>
    </row>
    <row r="15" ht="15" customHeight="1" s="176">
      <c r="A15" s="181" t="inlineStr">
        <is>
          <t>示范者</t>
        </is>
      </c>
      <c r="B15" s="178" t="inlineStr">
        <is>
          <t>110-二次</t>
        </is>
      </c>
      <c r="C15" s="181" t="inlineStr">
        <is>
          <t>成人8个K、动画角色8个K</t>
        </is>
      </c>
      <c r="D15" s="181" t="inlineStr">
        <is>
          <t>真人视频与转描动画视频各一条线</t>
        </is>
      </c>
    </row>
    <row r="16" ht="29.25" customHeight="1" s="176">
      <c r="A16" s="181" t="inlineStr">
        <is>
          <t>年龄</t>
        </is>
      </c>
      <c r="B16" s="181" t="inlineStr">
        <is>
          <t>全部</t>
        </is>
      </c>
      <c r="C16" s="181" t="inlineStr">
        <is>
          <t>改用三组：6岁以下、6–8岁、9–12岁</t>
        </is>
      </c>
      <c r="D16" s="181" t="inlineStr">
        <is>
          <t>满6岁归6–8岁；依据ISCED 2011初等教育入学年龄与NAEYC/UNESCO早期儿童期（出生至8岁）</t>
        </is>
      </c>
    </row>
    <row r="17" ht="29.25" customHeight="1" s="176">
      <c r="A17" s="181" t="inlineStr">
        <is>
          <t>年龄</t>
        </is>
      </c>
      <c r="B17" s="178" t="inlineStr">
        <is>
          <t>038-滚雪球（五、六年级）、080-二次（六年级）</t>
        </is>
      </c>
      <c r="C17" s="181" t="inlineStr">
        <is>
          <t>缺失 → 9–12岁</t>
        </is>
      </c>
      <c r="D17" s="181" t="inlineStr">
        <is>
          <t>按年级推定</t>
        </is>
      </c>
    </row>
    <row r="18" ht="29.25" customHeight="1" s="176">
      <c r="A18" s="181" t="inlineStr">
        <is>
          <t>年龄</t>
        </is>
      </c>
      <c r="B18" s="178" t="inlineStr">
        <is>
          <t>029-二次（4–7岁，3个K）、043-二次（7–9岁，12个K）</t>
        </is>
      </c>
      <c r="C18" s="181" t="inlineStr">
        <is>
          <t>不纳入年龄分析 → 029归6岁以下、043归6–8岁</t>
        </is>
      </c>
      <c r="D18" s="181" t="inlineStr">
        <is>
          <t>原文未报告个人年龄，只报样本年龄范围；按范围中点归组（029中点5.5岁，043中点8岁）</t>
        </is>
      </c>
    </row>
    <row r="19" ht="43.5" customHeight="1" s="176">
      <c r="A19" s="181" t="inlineStr">
        <is>
          <t>视频以外成分</t>
        </is>
      </c>
      <c r="B19" s="181" t="inlineStr">
        <is>
          <t>全部</t>
        </is>
      </c>
      <c r="C19" s="181" t="inlineStr">
        <is>
          <t>“加1–2种/加3种及以上”改为按性质三组</t>
        </is>
      </c>
      <c r="D19" s="181" t="inlineStr">
        <is>
          <t>只用视频 / 视频+教学策略（提示、强化、演练、反馈等，针对目标行为）/ 视频+其他干预（社会故事、PECS、自我管理方案、超级英雄课程等成套干预）</t>
        </is>
      </c>
    </row>
    <row r="20" ht="29.25" customHeight="1" s="176">
      <c r="A20" s="181" t="inlineStr">
        <is>
          <t>视频以外成分</t>
        </is>
      </c>
      <c r="B20" s="178" t="inlineStr">
        <is>
          <t>001-二次</t>
        </is>
      </c>
      <c r="C20" s="181" t="inlineStr">
        <is>
          <t>干预K：只用视频；维持K：视频+其他干预</t>
        </is>
      </c>
      <c r="D20" s="181" t="inlineStr">
        <is>
          <t>维持在完整课程之后测量</t>
        </is>
      </c>
    </row>
    <row r="21" ht="29.25" customHeight="1" s="176">
      <c r="A21" s="181" t="inlineStr">
        <is>
          <t>视频呈现媒介</t>
        </is>
      </c>
      <c r="B21" s="181" t="inlineStr">
        <is>
          <t>全部</t>
        </is>
      </c>
      <c r="C21" s="181" t="inlineStr">
        <is>
          <t>改为三组：大屏显示设备、计算机、移动终端</t>
        </is>
      </c>
      <c r="D21" s="181" t="inlineStr">
        <is>
          <t>电视、投影仪、交互式电子白板、电脑接电视归大屏</t>
        </is>
      </c>
    </row>
    <row r="22" ht="15" customHeight="1" s="176">
      <c r="A22" s="181" t="inlineStr">
        <is>
          <t>视频呈现媒介</t>
        </is>
      </c>
      <c r="B22" s="178" t="inlineStr">
        <is>
          <t>030-滚雪球</t>
        </is>
      </c>
      <c r="C22" s="181" t="inlineStr">
        <is>
          <t>电脑+电视 → 大屏显示设备</t>
        </is>
      </c>
      <c r="D22" s="181" t="inlineStr">
        <is>
          <t>笔记本电脑接电视播放，按儿童观看的屏幕归类</t>
        </is>
      </c>
    </row>
    <row r="23" ht="15" customHeight="1" s="176">
      <c r="A23" s="181" t="inlineStr">
        <is>
          <t>视频呈现媒介</t>
        </is>
      </c>
      <c r="B23" s="178" t="inlineStr">
        <is>
          <t>031-滚雪球</t>
        </is>
      </c>
      <c r="C23" s="181" t="inlineStr">
        <is>
          <t>缺失 → 大屏显示设备</t>
        </is>
      </c>
      <c r="D23" s="181" t="inlineStr">
        <is>
          <t>三人坐在电视前看录像</t>
        </is>
      </c>
    </row>
    <row r="24" ht="29.25" customHeight="1" s="176">
      <c r="A24" s="181" t="inlineStr">
        <is>
          <t>视频呈现媒介</t>
        </is>
      </c>
      <c r="B24" s="178" t="inlineStr">
        <is>
          <t>018、026、032、034、037、043、048、057、066、080</t>
        </is>
      </c>
      <c r="C24" s="181" t="inlineStr">
        <is>
          <t>仍不纳入该变量</t>
        </is>
      </c>
      <c r="D24" s="181" t="inlineStr">
        <is>
          <t>原文未写明播放设备</t>
        </is>
      </c>
    </row>
    <row r="25" ht="29.25" customHeight="1" s="176">
      <c r="A25" s="181" t="inlineStr">
        <is>
          <t>干预地点</t>
        </is>
      </c>
      <c r="B25" s="181" t="inlineStr">
        <is>
          <t>全部</t>
        </is>
      </c>
      <c r="C25" s="181" t="inlineStr">
        <is>
          <t>改为四组：学校（含幼儿园）、家庭、临床机构、大学</t>
        </is>
      </c>
      <c r="D25" s="181" t="inlineStr">
        <is>
          <t>诊所与治疗机构合为临床机构；按儿童观看视频、接受干预的场所编码</t>
        </is>
      </c>
    </row>
    <row r="26" ht="15" customHeight="1" s="176">
      <c r="A26" s="181" t="inlineStr">
        <is>
          <t>干预地点</t>
        </is>
      </c>
      <c r="B26" s="178" t="inlineStr">
        <is>
          <t>017、027、044、051-二次、080</t>
        </is>
      </c>
      <c r="C26" s="181" t="inlineStr">
        <is>
          <t>缺失 → 学校（含幼儿园）</t>
        </is>
      </c>
      <c r="D26" s="181" t="inlineStr">
        <is>
          <t>回原文查实</t>
        </is>
      </c>
    </row>
    <row r="27" ht="15" customHeight="1" s="176">
      <c r="A27" s="181" t="inlineStr">
        <is>
          <t>干预地点</t>
        </is>
      </c>
      <c r="B27" s="178" t="inlineStr">
        <is>
          <t>052-二次</t>
        </is>
      </c>
      <c r="C27" s="181" t="inlineStr">
        <is>
          <t>缺失 → 家庭</t>
        </is>
      </c>
      <c r="D27" s="181" t="inlineStr">
        <is>
          <t>在家用家用录像机观看视频</t>
        </is>
      </c>
    </row>
    <row r="28" ht="43.5" customHeight="1" s="176">
      <c r="A28" s="181" t="inlineStr">
        <is>
          <t>干预者</t>
        </is>
      </c>
      <c r="B28" s="178" t="inlineStr">
        <is>
          <t>004、013-二次、031-滚雪球、039、040、043、056-滚雪球、069-滚雪球</t>
        </is>
      </c>
      <c r="C28" s="181" t="inlineStr">
        <is>
          <t>缺失 → 研究人员</t>
        </is>
      </c>
      <c r="D28" s="181" t="inlineStr">
        <is>
          <t>原文为实验者/主试/研究者/研究生</t>
        </is>
      </c>
    </row>
    <row r="29" ht="15" customHeight="1" s="176">
      <c r="A29" s="181" t="inlineStr">
        <is>
          <t>干预者</t>
        </is>
      </c>
      <c r="B29" s="178" t="inlineStr">
        <is>
          <t>052-二次</t>
        </is>
      </c>
      <c r="C29" s="181" t="inlineStr">
        <is>
          <t>缺失 → 家长</t>
        </is>
      </c>
      <c r="D29" s="181" t="inlineStr">
        <is>
          <t>家长在家播放录像</t>
        </is>
      </c>
    </row>
    <row r="30" ht="15" customHeight="1" s="176">
      <c r="A30" s="181" t="inlineStr">
        <is>
          <t>干预者</t>
        </is>
      </c>
      <c r="B30" s="178" t="inlineStr">
        <is>
          <t>110-二次</t>
        </is>
      </c>
      <c r="C30" s="181" t="inlineStr">
        <is>
          <t>学校人员</t>
        </is>
      </c>
      <c r="D30" s="181" t="inlineStr">
        <is>
          <t>学区教师实施</t>
        </is>
      </c>
    </row>
    <row r="31" ht="15" customHeight="1" s="176">
      <c r="A31" s="181" t="inlineStr">
        <is>
          <t>干预者</t>
        </is>
      </c>
      <c r="B31" s="178" t="inlineStr">
        <is>
          <t>048-二次、080-二次</t>
        </is>
      </c>
      <c r="C31" s="181" t="inlineStr">
        <is>
          <t>仍不纳入该变量</t>
        </is>
      </c>
      <c r="D31" s="181" t="inlineStr">
        <is>
          <t>原文未写明由谁实施</t>
        </is>
      </c>
    </row>
    <row r="32" ht="15" customHeight="1" s="176">
      <c r="A32" s="181" t="inlineStr">
        <is>
          <t>干预者</t>
        </is>
      </c>
      <c r="B32" s="178" t="inlineStr">
        <is>
          <t>005-二次（治疗师）、004/055（研究人员）</t>
        </is>
      </c>
      <c r="C32" s="181" t="inlineStr">
        <is>
          <t>按原文分别编码</t>
        </is>
      </c>
      <c r="D32" s="181" t="inlineStr">
        <is>
          <t>同一机构，但原文对实施者的称谓不同</t>
        </is>
      </c>
    </row>
    <row r="33" ht="15" customHeight="1" s="176">
      <c r="A33" s="181" t="inlineStr">
        <is>
          <t>孤独症程度</t>
        </is>
      </c>
      <c r="B33" s="181" t="inlineStr">
        <is>
          <t>全部</t>
        </is>
      </c>
      <c r="C33" s="181" t="inlineStr">
        <is>
          <t>保留原编码</t>
        </is>
      </c>
      <c r="D33" s="181" t="inlineStr">
        <is>
          <t>分级标准待后面再定</t>
        </is>
      </c>
    </row>
    <row r="34" ht="43.5" customHeight="1" s="176">
      <c r="A34" s="181" t="inlineStr">
        <is>
          <t>社交技能</t>
        </is>
      </c>
      <c r="B34" s="181" t="inlineStr">
        <is>
          <t>全部</t>
        </is>
      </c>
      <c r="C34" s="181" t="inlineStr">
        <is>
          <t>中间层17组 → 七类：主张、沟通、参与、共同注意、合作、共情、自我控制</t>
        </is>
      </c>
      <c r="D34" s="181" t="inlineStr">
        <is>
          <t>框架：Gresham &amp; Elliott（2008）SSIS领域定义（转引自Frye et al., 2025, p. 722）＋Bruner（1983）沟通功能中的共同注意；SSIS“责任”领域无对应K，不用</t>
        </is>
      </c>
    </row>
    <row r="35" ht="29.25" customHeight="1" s="176">
      <c r="A35" s="181" t="inlineStr">
        <is>
          <t>社交技能</t>
        </is>
      </c>
      <c r="B35" s="181" t="inlineStr">
        <is>
          <t>发起社会互动、请求、回应他人、问候与自我介绍、主动沟通发起、提问与征询</t>
        </is>
      </c>
      <c r="C35" s="181" t="inlineStr">
        <is>
          <t>→ 主张</t>
        </is>
      </c>
      <c r="D35" s="178" t="inlineStr">
        <is>
          <t>SSIS主张＝发起并回应社会互动</t>
        </is>
      </c>
    </row>
    <row r="36" ht="15" customHeight="1" s="176">
      <c r="A36" s="181" t="inlineStr">
        <is>
          <t>社交技能</t>
        </is>
      </c>
      <c r="B36" s="181" t="inlineStr">
        <is>
          <t>会话、非言语与副语言</t>
        </is>
      </c>
      <c r="C36" s="181" t="inlineStr">
        <is>
          <t>→ 沟通</t>
        </is>
      </c>
      <c r="D36" s="178" t="inlineStr">
        <is>
          <t>SSIS沟通＝与他人交流时恰当运用言语和非言语技能</t>
        </is>
      </c>
    </row>
    <row r="37" ht="15" customHeight="1" s="176">
      <c r="A37" s="181" t="inlineStr">
        <is>
          <t>社交技能</t>
        </is>
      </c>
      <c r="B37" s="181" t="inlineStr">
        <is>
          <t>加入并参与同伴活动、一起游戏</t>
        </is>
      </c>
      <c r="C37" s="181" t="inlineStr">
        <is>
          <t>→ 参与</t>
        </is>
      </c>
      <c r="D37" s="178" t="inlineStr">
        <is>
          <t>SSIS参与＝恰当互动并加入社会活动</t>
        </is>
      </c>
    </row>
    <row r="38" ht="15" customHeight="1" s="176">
      <c r="A38" s="181" t="inlineStr">
        <is>
          <t>社交技能</t>
        </is>
      </c>
      <c r="B38" s="181" t="inlineStr">
        <is>
          <t>评论与游戏中的陈述</t>
        </is>
      </c>
      <c r="C38" s="181" t="inlineStr">
        <is>
          <t>→ 共同注意</t>
        </is>
      </c>
      <c r="D38" s="178" t="inlineStr">
        <is>
          <t>Bruner共同注意功能＝与交流对象分享对物体、人或情境的注意</t>
        </is>
      </c>
    </row>
    <row r="39" ht="15" customHeight="1" s="176">
      <c r="A39" s="181" t="inlineStr">
        <is>
          <t>社交技能</t>
        </is>
      </c>
      <c r="B39" s="181" t="inlineStr">
        <is>
          <t>分享与助人</t>
        </is>
      </c>
      <c r="C39" s="181" t="inlineStr">
        <is>
          <t>→ 合作</t>
        </is>
      </c>
      <c r="D39" s="178" t="inlineStr">
        <is>
          <t>SSIS合作＝帮助、分享与服从</t>
        </is>
      </c>
    </row>
    <row r="40" ht="29.25" customHeight="1" s="176">
      <c r="A40" s="181" t="inlineStr">
        <is>
          <t>社交技能</t>
        </is>
      </c>
      <c r="B40" s="181" t="inlineStr">
        <is>
          <t>观点采择与回应他人感受</t>
        </is>
      </c>
      <c r="C40" s="181" t="inlineStr">
        <is>
          <t>→ 共情</t>
        </is>
      </c>
      <c r="D40" s="178" t="inlineStr">
        <is>
          <t>SSIS共情＝关心并体谅他人的经历；011社交评论原文为对方受伤、输了时安慰回应</t>
        </is>
      </c>
    </row>
    <row r="41" ht="15" customHeight="1" s="176">
      <c r="A41" s="181" t="inlineStr">
        <is>
          <t>社交技能</t>
        </is>
      </c>
      <c r="B41" s="178" t="inlineStr">
        <is>
          <t>110-二次（16个K，原“待定”）</t>
        </is>
      </c>
      <c r="C41" s="181" t="inlineStr">
        <is>
          <t>→ 沟通</t>
        </is>
      </c>
      <c r="D41" s="181" t="inlineStr">
        <is>
          <t>原文因变量为言语回应＋面部表情＋身体表达</t>
        </is>
      </c>
    </row>
    <row r="42" ht="29.25" customHeight="1" s="176">
      <c r="A42" s="181" t="inlineStr">
        <is>
          <t>社交技能</t>
        </is>
      </c>
      <c r="B42" s="181" t="inlineStr">
        <is>
          <t>获得注意与共同注意：031获得同伴注意（7个K）／045共同注意发起（6个K）</t>
        </is>
      </c>
      <c r="C42" s="178" t="inlineStr">
        <is>
          <t>031 → 主张；045 → 共同注意</t>
        </is>
      </c>
      <c r="D42" s="178" t="inlineStr">
        <is>
          <t>031是把注意引向自己（Bruner的社会互动功能），属发起；045是与对方共同关注物体</t>
        </is>
      </c>
    </row>
    <row r="43" ht="29.25" customHeight="1" s="176">
      <c r="A43" s="181" t="inlineStr">
        <is>
          <t>社交技能</t>
        </is>
      </c>
      <c r="B43" s="181" t="inlineStr">
        <is>
          <t>情绪识别与表达：065（6个K）／051-滚雪球（4个K）</t>
        </is>
      </c>
      <c r="C43" s="178" t="inlineStr">
        <is>
          <t>065 → 沟通；051-滚雪球 → 共情</t>
        </is>
      </c>
      <c r="D43" s="178" t="inlineStr">
        <is>
          <t>065是在情境中用表情、手势、言语作出相应反应；051-滚雪球含识别他人情绪</t>
        </is>
      </c>
    </row>
    <row r="44" ht="29.25" customHeight="1" s="176">
      <c r="A44" s="181" t="inlineStr">
        <is>
          <t>社交技能</t>
        </is>
      </c>
      <c r="B44" s="181" t="inlineStr">
        <is>
          <t>多项技能合并计分：031 John、Casey（4个K）</t>
        </is>
      </c>
      <c r="C44" s="181" t="inlineStr">
        <is>
          <t>→ 主张</t>
        </is>
      </c>
      <c r="D44" s="181" t="inlineStr">
        <is>
          <t>原文把主动评论与主动请求合并为initiations计分，数据拆不开，共同性质为发起</t>
        </is>
      </c>
    </row>
    <row r="45" ht="29.25" customHeight="1" s="176">
      <c r="A45" s="181" t="inlineStr">
        <is>
          <t>社交技能</t>
        </is>
      </c>
      <c r="B45" s="181" t="inlineStr">
        <is>
          <t>问题解决：030（2个K）</t>
        </is>
      </c>
      <c r="C45" s="181" t="inlineStr">
        <is>
          <t>→ 自我控制</t>
        </is>
      </c>
      <c r="D45" s="181" t="inlineStr">
        <is>
          <t>原文情境为冲突（如有人踩了你的新鞋），SSIS自我控制＝恰当应对冲突；仅1篇，只报告不做组间比较</t>
        </is>
      </c>
    </row>
    <row r="46" ht="24" customHeight="1" s="176">
      <c r="A46" s="181" t="inlineStr">
        <is>
          <t>2026-10-13</t>
        </is>
      </c>
      <c r="B46" s="181" t="inlineStr">
        <is>
          <t>Tau-U数据补充／暂停检查</t>
        </is>
      </c>
      <c r="C46" s="181" t="inlineStr">
        <is>
          <t>新增N列图定位；补入233个K；122个有问题留空，52个未完成。</t>
        </is>
      </c>
      <c r="D46" s="181" t="inlineStr">
        <is>
          <t>只用原文重新取点，旧清单仅作定位地图；原有001/002保持原样。未计算Tau-U效应量。</t>
        </is>
      </c>
    </row>
    <row r="47" ht="24" customHeight="1" s="176">
      <c r="A47" s="181" t="inlineStr">
        <is>
          <t>2026-10-13</t>
        </is>
      </c>
      <c r="B47" s="181" t="inlineStr">
        <is>
          <t>暂停后继续原文核查</t>
        </is>
      </c>
      <c r="C47" s="181" t="inlineStr">
        <is>
          <t>完成剩余52个K核查；本轮补入30个，新增疑点留空22个；累计新补263个。</t>
        </is>
      </c>
      <c r="D47" s="181" t="inlineStr">
        <is>
          <t>更新本轮N列图定位及核查记录；001、002和上轮已填数据保持原样。未计算Tau-U效应量或校正效应量。</t>
        </is>
      </c>
    </row>
    <row r="49" ht="43.5" customHeight="1" s="176">
      <c r="A49" s="204" t="inlineStr">
        <is>
          <t>2026-10-16</t>
        </is>
      </c>
      <c r="B49" s="241" t="inlineStr">
        <is>
          <t>视频以外成分 → 视频示范实施方式</t>
        </is>
      </c>
      <c r="C49" s="241" t="inlineStr">
        <is>
          <t>只用视频→单独实施；视频+教学策略→结合教学程序；视频+其他干预→嵌入综合干预方案</t>
        </is>
      </c>
      <c r="D49" s="241" t="inlineStr">
        <is>
          <t>变量与组改名，K归属不变（依据参照Mason等，2016）</t>
        </is>
      </c>
    </row>
    <row r="50" ht="43.5" customHeight="1" s="176">
      <c r="A50" s="204" t="inlineStr">
        <is>
          <t>2026-10-16</t>
        </is>
      </c>
      <c r="B50" s="241" t="inlineStr">
        <is>
          <t>视频呈现媒介 → 视频呈现终端</t>
        </is>
      </c>
      <c r="C50" s="241" t="inlineStr">
        <is>
          <t>大屏显示设备→固定式大屏终端；计算机→桌面式计算机终端；移动终端→便携式移动终端</t>
        </is>
      </c>
      <c r="D50" s="241" t="inlineStr">
        <is>
          <t>变量与组改名，K归属不变（自编分类）</t>
        </is>
      </c>
    </row>
    <row r="51" ht="57.75" customHeight="1" s="176">
      <c r="A51" s="204" t="inlineStr">
        <is>
          <t>2026-10-16</t>
        </is>
      </c>
      <c r="B51" s="241" t="inlineStr">
        <is>
          <t>孤独症程度</t>
        </is>
      </c>
      <c r="C51" s="204" t="inlineStr">
        <is>
          <t>040的Leila、Terry、Sean、Henry、Joshua共21个K：不纳入→轻中度（轻中度90→111个K）</t>
        </is>
      </c>
      <c r="D51" s="204" t="inlineStr">
        <is>
          <t>GARS-3等级1、2归轻中度；Adam（GARS-3 48分）仍不纳入</t>
        </is>
      </c>
    </row>
    <row r="52" ht="15" customHeight="1" s="176">
      <c r="A52" s="204" t="inlineStr">
        <is>
          <t>2026-10-16</t>
        </is>
      </c>
      <c r="B52" s="241" t="inlineStr">
        <is>
          <t>新增：性别</t>
        </is>
      </c>
      <c r="C52" s="241" t="inlineStr">
        <is>
          <t>男351K、女49K、不纳入37K</t>
        </is>
      </c>
      <c r="D52" s="241" t="inlineStr">
        <is>
          <t>编码与原文页码见《补充变量.xlsx》</t>
        </is>
      </c>
    </row>
    <row r="53" ht="29.25" customHeight="1" s="176">
      <c r="A53" s="204" t="inlineStr">
        <is>
          <t>2026-10-16</t>
        </is>
      </c>
      <c r="B53" s="241" t="inlineStr">
        <is>
          <t>新增：单次干预时长</t>
        </is>
      </c>
      <c r="C53" s="204" t="inlineStr">
        <is>
          <t>10分钟及以下165K、11～60分钟110K、60分钟以上108K、不纳入54K</t>
        </is>
      </c>
      <c r="D53" s="241" t="inlineStr">
        <is>
          <t>切点按时长分布事先设定；001干预K按20分钟、维持K按45分钟</t>
        </is>
      </c>
    </row>
    <row r="54" ht="43.5" customHeight="1" s="176">
      <c r="A54" s="204" t="inlineStr">
        <is>
          <t>2026-10-16</t>
        </is>
      </c>
      <c r="B54" s="241" t="inlineStr">
        <is>
          <t>移除：社交技能（因变量）</t>
        </is>
      </c>
      <c r="C54" s="241" t="inlineStr">
        <is>
          <t>删去“社交技能”“社交技能归类依据”及两列社交技能原编码；各组汇总不再含社交技能</t>
        </is>
      </c>
      <c r="D54" s="241" t="inlineStr">
        <is>
          <t>因变量在另一对话确定，本表只做调节变量</t>
        </is>
      </c>
    </row>
    <row r="55" ht="29.25" customHeight="1" s="176">
      <c r="A55" s="204" t="inlineStr">
        <is>
          <t>2026-10-16</t>
        </is>
      </c>
      <c r="B55" s="241" t="inlineStr">
        <is>
          <t>列顺序</t>
        </is>
      </c>
      <c r="C55" s="241" t="inlineStr">
        <is>
          <t>按被试特征（年龄、性别、孤独症程度）、干预过程特征（示范者…干预者）重排</t>
        </is>
      </c>
      <c r="D55" s="204" t="inlineStr">
        <is>
          <t>Tau-U数据表未改动</t>
        </is>
      </c>
    </row>
    <row r="56" ht="44" customHeight="1" s="176">
      <c r="A56" s="204" t="inlineStr">
        <is>
          <t>2026-10-16</t>
        </is>
      </c>
      <c r="B56" s="241" t="inlineStr">
        <is>
          <t>059-二次（6个K：K536–K541）</t>
        </is>
      </c>
      <c r="C56" s="241" t="inlineStr">
        <is>
          <t>补入：干预3个（训练试次）、泛化3个（探测试次＝未训练情境）；换人泛化与1、3个月追踪不取</t>
        </is>
      </c>
      <c r="D56" s="204" t="inlineStr">
        <is>
          <t>WWC 5.0有保留；视频示范期均紧接基线（Billy基线Ⅰ，Eleni、Mike基线Ⅱ），接受顺序影响</t>
        </is>
      </c>
    </row>
    <row r="57" ht="44" customHeight="1" s="176">
      <c r="A57" s="204" t="inlineStr">
        <is>
          <t>2026-10-16</t>
        </is>
      </c>
      <c r="B57" s="241" t="inlineStr">
        <is>
          <t>068-二次（6个K：K542–K547）</t>
        </is>
      </c>
      <c r="C57" s="241" t="inlineStr">
        <is>
          <t>补入：干预3个（基线A vs 交替期B中的录像示范点）、维持3个（基线A vs 维持期G）</t>
        </is>
      </c>
      <c r="D57" s="204" t="inlineStr">
        <is>
          <t>WWC 5.0有保留；录像示范与现场示范按天交替，接受残余效应</t>
        </is>
      </c>
    </row>
    <row r="58" ht="29.85" customHeight="1" s="176">
      <c r="A58" s="204" t="inlineStr">
        <is>
          <t>2026-10-16</t>
        </is>
      </c>
      <c r="B58" s="241" t="inlineStr">
        <is>
          <t>K范围</t>
        </is>
      </c>
      <c r="C58" s="241" t="inlineStr">
        <is>
          <t>437K/37篇 → 449K/39篇（干预257、维持119、泛化73）</t>
        </is>
      </c>
      <c r="D58" s="204" t="inlineStr">
        <is>
          <t>011-二次 P3-B2、P4-B2 仍不纳入（用户决定）</t>
        </is>
      </c>
    </row>
    <row r="59" ht="58.2" customHeight="1" s="176">
      <c r="A59" s="204" t="inlineStr">
        <is>
          <t>2026-10-17</t>
        </is>
      </c>
      <c r="B59" s="241" t="inlineStr">
        <is>
          <t>01-补充（12个K：K548–K559）</t>
        </is>
      </c>
      <c r="C59" s="241" t="inlineStr">
        <is>
          <t>补入：Li、Peng等（2025，IJDDE）动画与成人视频示范比较；3名儿童 × 脚本内、脚本外社交沟通 × 动画、成人视频，均为干预K</t>
        </is>
      </c>
      <c r="D59" s="204" t="inlineStr">
        <is>
          <t>WWC 5.0有保留（三种视频均视作“视频示范”时每人为A–VM–A–VM，各段≥3点）；“总体”为两项之和不取；维持期测前仍看视频，不取</t>
        </is>
      </c>
    </row>
    <row r="60" ht="29.85" customHeight="1" s="176">
      <c r="A60" s="204" t="inlineStr">
        <is>
          <t>2026-10-17</t>
        </is>
      </c>
      <c r="B60" s="241" t="inlineStr">
        <is>
          <t>K范围</t>
        </is>
      </c>
      <c r="C60" s="241" t="inlineStr">
        <is>
          <t>449K/39篇 → 461K/40篇（干预269、维持119、泛化73）</t>
        </is>
      </c>
      <c r="D60" s="242" t="inlineStr">
        <is>
          <t>文献编号由用户定为“01-补充”</t>
        </is>
      </c>
    </row>
    <row r="61" ht="96" customHeight="1" s="176">
      <c r="A61" s="243" t="inlineStr">
        <is>
          <t>2026-10-17补充</t>
        </is>
      </c>
      <c r="B61" s="244" t="inlineStr">
        <is>
          <t>002-滚雪球（DV84；K560–K565）</t>
        </is>
      </c>
      <c r="C61" s="244" t="inlineStr">
        <is>
          <t>新增6K：干预3、泛化3；A3情境适应（其中Tom、Steve共4K现已按年龄排除）</t>
        </is>
      </c>
      <c r="D61" s="244" t="inlineStr">
        <is>
          <t>使用6步骤综合总分，含付款/取货；泛化沿用原训练店基线，不另计维持。</t>
        </is>
      </c>
    </row>
    <row r="62" ht="96" customHeight="1" s="176">
      <c r="A62" s="243" t="inlineStr">
        <is>
          <t>2026-10-17补充</t>
        </is>
      </c>
      <c r="B62" s="244" t="inlineStr">
        <is>
          <t>061-二次（DV85；K566–K573）</t>
        </is>
      </c>
      <c r="C62" s="244" t="inlineStr">
        <is>
          <t>新增8个干预K；A2多模态沟通（该组现称综合沟通）</t>
        </is>
      </c>
      <c r="D62" s="244" t="inlineStr">
        <is>
          <t>按确认分组；三项目标合计不拆项。6人首次A1–B1；2人10点基线对图示9点干预。</t>
        </is>
      </c>
    </row>
    <row r="63" ht="96" customHeight="1" s="176">
      <c r="A63" s="243" t="inlineStr">
        <is>
          <t>年龄分组</t>
        </is>
      </c>
      <c r="B63" s="244" t="inlineStr">
        <is>
          <t>002-滚雪球Tom、Steve</t>
        </is>
      </c>
      <c r="C63" s="244" t="inlineStr">
        <is>
          <t>新增13岁及以上组，共4K（其中Tom、Steve共4K现已按年龄排除）</t>
        </is>
      </c>
      <c r="D63" s="244" t="inlineStr">
        <is>
          <t>原文年龄14、15岁；不放入9–12岁。</t>
        </is>
      </c>
    </row>
    <row r="64" ht="96" customHeight="1" s="176">
      <c r="A64" s="243" t="inlineStr">
        <is>
          <t>研究设计</t>
        </is>
      </c>
      <c r="B64" s="244" t="inlineStr">
        <is>
          <t>K572、K573</t>
        </is>
      </c>
      <c r="C64" s="244" t="inlineStr">
        <is>
          <t>纳入总体分析</t>
        </is>
      </c>
      <c r="D64" s="244" t="inlineStr">
        <is>
          <t>Early Birds每人仅一次干预引入，不能把A–A–B–B当ABAB。</t>
        </is>
      </c>
    </row>
    <row r="65" ht="96" customHeight="1" s="176">
      <c r="A65" s="243" t="inlineStr">
        <is>
          <t>分组说明</t>
        </is>
      </c>
      <c r="B65" s="244" t="inlineStr">
        <is>
          <t>061-二次综合指标</t>
        </is>
      </c>
      <c r="C65" s="244" t="inlineStr">
        <is>
          <t>沿用首次提出的A2非言语沟通—多模态沟通（该组现称综合沟通）</t>
        </is>
      </c>
      <c r="D65" s="244" t="inlineStr">
        <is>
          <t>2026-10-17明确确认；保留请求拼图、合作积木、排队转换组成说明。</t>
        </is>
      </c>
    </row>
    <row r="66" ht="72" customHeight="1" s="176">
      <c r="A66" s="243" t="inlineStr">
        <is>
          <t>2026-10-17归类修订</t>
        </is>
      </c>
      <c r="B66" s="244" t="inlineStr">
        <is>
          <t>DV29；031-滚雪球；7K</t>
        </is>
      </c>
      <c r="C66" s="244" t="inlineStr">
        <is>
          <t>A2共同注意 → A1社交发起</t>
        </is>
      </c>
      <c r="D66" s="244" t="inlineStr">
        <is>
          <t>PDF6/印430表2：口语招呼、叫名或手势均计入获得同伴注意。只改因变量分组，保留编号、取点与阶段。</t>
        </is>
      </c>
    </row>
    <row r="67" ht="72" customHeight="1" s="176">
      <c r="A67" s="243" t="inlineStr">
        <is>
          <t>2026-10-17归类修订</t>
        </is>
      </c>
      <c r="B67" s="244" t="inlineStr">
        <is>
          <t>DV72；066-二次；6K</t>
        </is>
      </c>
      <c r="C67" s="244" t="inlineStr">
        <is>
          <t>A2多模态沟通（现称综合沟通） → A1需求表达</t>
        </is>
      </c>
      <c r="D67" s="244" t="inlineStr">
        <is>
          <t>PDF3–4/印46–47表2–3：口语、图卡或动作表达需要；“主动”表示自发性。用户已确认需求表达归类。</t>
        </is>
      </c>
    </row>
    <row r="68" ht="72" customHeight="1" s="176">
      <c r="A68" s="243" t="inlineStr">
        <is>
          <t>2026-10-17排除</t>
        </is>
      </c>
      <c r="B68" s="244" t="inlineStr">
        <is>
          <t>018-二次；K134–K144</t>
        </is>
      </c>
      <c r="C68" s="244" t="inlineStr">
        <is>
          <t>删除11K（干预10、维持1）</t>
        </is>
      </c>
      <c r="D68" s="244" t="inlineStr">
        <is>
          <t>按用户明确决定排除；同步删除主表、Tau-U及取点核查记录。</t>
        </is>
      </c>
    </row>
    <row r="69" ht="72" customHeight="1" s="176">
      <c r="A69" s="243" t="inlineStr">
        <is>
          <t>2026-10-17排除</t>
        </is>
      </c>
      <c r="B69" s="244" t="inlineStr">
        <is>
          <t>045-二次；K389–K394</t>
        </is>
      </c>
      <c r="C69" s="244" t="inlineStr">
        <is>
          <t>删除6K（干预3、泛化3）</t>
        </is>
      </c>
      <c r="D69" s="244" t="inlineStr">
        <is>
          <t>按用户明确决定排除；DV53随之移出，A2共同注意无剩余指标，取消空组。</t>
        </is>
      </c>
    </row>
    <row r="70" ht="72" customHeight="1" s="176">
      <c r="A70" s="243" t="inlineStr">
        <is>
          <t>2026-10-17排除</t>
        </is>
      </c>
      <c r="B70" s="244" t="inlineStr">
        <is>
          <t>080-二次；K508–K511</t>
        </is>
      </c>
      <c r="C70" s="244" t="inlineStr">
        <is>
          <t>删除4K（干预2、维持2）</t>
        </is>
      </c>
      <c r="D70" s="244" t="inlineStr">
        <is>
          <t>按用户明确决定排除；保留其余K编号和原始数据，现454K、39篇。</t>
        </is>
      </c>
    </row>
    <row r="71" ht="72" customHeight="1" s="176">
      <c r="A71" s="243" t="inlineStr">
        <is>
          <t>2026-10-17年龄排除</t>
        </is>
      </c>
      <c r="B71" s="244" t="inlineStr">
        <is>
          <t>002-滚雪球；Tom14岁、Steve15岁；K560–K563</t>
        </is>
      </c>
      <c r="C71" s="244" t="inlineStr">
        <is>
          <t>删除4K（干预2、泛化2）；现450K、39篇</t>
        </is>
      </c>
      <c r="D71" s="244" t="inlineStr">
        <is>
          <t>按用户决定排除13岁及以上对象，保留Nick12岁的K564/K565；同步删除主表、Tau-U及关联取点记录，移除空年龄组。</t>
        </is>
      </c>
    </row>
    <row r="72" ht="72" customHeight="1" s="176">
      <c r="A72" s="243" t="inlineStr">
        <is>
          <t>2026-10-17调节变量同步</t>
        </is>
      </c>
      <c r="B72" s="244" t="inlineStr">
        <is>
          <t>干预场所；450K</t>
        </is>
      </c>
      <c r="C72" s="244" t="inlineStr">
        <is>
          <t>替换为教室114K、办公辅助空间131K、专用训练空间173K、家庭社区32K</t>
        </is>
      </c>
      <c r="D72" s="244" t="inlineStr">
        <is>
          <t>按已确认独立场所试算表逐K同步；032二次按对象分配，保留原始地点编码。</t>
        </is>
      </c>
    </row>
    <row r="73" ht="72" customHeight="1" s="176">
      <c r="A73" s="243" t="inlineStr">
        <is>
          <t>2026-10-17调节变量同步</t>
        </is>
      </c>
      <c r="B73" s="244" t="inlineStr">
        <is>
          <t>视频呈现设备；450K</t>
        </is>
      </c>
      <c r="C73" s="244" t="inlineStr">
        <is>
          <t>替换为电视263K、电脑105K、便携触屏设备68K、投影与白板14K</t>
        </is>
      </c>
      <c r="D73" s="244" t="inlineStr">
        <is>
          <t>按已确认独立设备试算表逐K同步；备注保留67K年份推定及110二次16K材料推断。</t>
        </is>
      </c>
    </row>
    <row r="74" ht="54" customHeight="1" s="176">
      <c r="A74" s="243" t="inlineStr">
        <is>
          <t>2026-10-18纳入调整</t>
        </is>
      </c>
      <c r="B74" s="244" t="inlineStr">
        <is>
          <t>013-二次；K086–K097</t>
        </is>
      </c>
      <c r="C74" s="244" t="inlineStr">
        <is>
          <t>删除12K（干预4、泛化8）</t>
        </is>
      </c>
      <c r="D74" s="244" t="inlineStr">
        <is>
          <t>按用户决定整篇排除；013滚雪球保留。 调整后429K、39篇。</t>
        </is>
      </c>
    </row>
    <row r="75" ht="54" customHeight="1" s="176">
      <c r="A75" s="243" t="inlineStr">
        <is>
          <t>2026-10-18纳入调整</t>
        </is>
      </c>
      <c r="B75" s="244" t="inlineStr">
        <is>
          <t>040-二次；K317–K340</t>
        </is>
      </c>
      <c r="C75" s="244" t="inlineStr">
        <is>
          <t>删除24K（干预18、泛化6）</t>
        </is>
      </c>
      <c r="D75" s="244" t="inlineStr">
        <is>
          <t>按用户决定整篇排除。 调整后429K、39篇。</t>
        </is>
      </c>
    </row>
    <row r="76" ht="54" customHeight="1" s="176">
      <c r="A76" s="243" t="inlineStr">
        <is>
          <t>2026-10-18纳入调整</t>
        </is>
      </c>
      <c r="B76" s="244" t="inlineStr">
        <is>
          <t>018-二次；K134–K144</t>
        </is>
      </c>
      <c r="C76" s="244" t="inlineStr">
        <is>
          <t>恢复11K（干预10、维持1）</t>
        </is>
      </c>
      <c r="D76" s="244" t="inlineStr">
        <is>
          <t>从删除前475K备份恢复原始点序列、K与DV编号；DV21为A1会话维持，场所家庭社区，电视为年份推定。 调整后429K、39篇。</t>
        </is>
      </c>
    </row>
    <row r="77" ht="54" customHeight="1" s="176">
      <c r="A77" s="243" t="inlineStr">
        <is>
          <t>2026-10-18纳入调整</t>
        </is>
      </c>
      <c r="B77" s="244" t="inlineStr">
        <is>
          <t>080-二次；K508–K511</t>
        </is>
      </c>
      <c r="C77" s="244" t="inlineStr">
        <is>
          <t>恢复4K（干预2、维持2）</t>
        </is>
      </c>
      <c r="D77" s="244" t="inlineStr">
        <is>
          <t>从删除前475K备份恢复原始点序列、K与DV编号；DV75为A1社交发起，场所教室，设备未报告；年龄沿用六年级推定。 调整后429K、39篇。</t>
        </is>
      </c>
    </row>
    <row r="78">
      <c r="A78" s="243" t="inlineStr">
        <is>
          <t>2026-10-24纳入调整</t>
        </is>
      </c>
      <c r="B78" s="244" t="inlineStr">
        <is>
          <t>031-滚雪球；K200–K219</t>
        </is>
      </c>
      <c r="C78" s="244" t="inlineStr">
        <is>
          <t>删除20K（干预11、维持7、泛化2）</t>
        </is>
      </c>
      <c r="D78" s="244" t="inlineStr">
        <is>
          <t>干预为社会故事＋书面提示＋视频反馈（看自己的录像自评），不属视频示范；按用户决定整篇排除。调整后393K、38篇。</t>
        </is>
      </c>
    </row>
    <row r="79">
      <c r="A79" s="243" t="inlineStr">
        <is>
          <t>2026-10-24 K合并</t>
        </is>
      </c>
      <c r="B79" s="244" t="inlineStr">
        <is>
          <t>044-二次；泛化K355–K358、K361–K364、K367–K370、K373–K376、K380–K382、K386–K388</t>
        </is>
      </c>
      <c r="C79" s="244" t="inlineStr">
        <is>
          <t>22个泛化K合并为6个（每名儿童每个因变量1个）；保留K355、K361、K367、K373、K380、K386，删除其余16K</t>
        </is>
      </c>
      <c r="D79" s="244" t="inlineStr">
        <is>
          <t>条件C–F依次换玩具、不看视频，按达标规则顺序推进，共用同一基线，同属跨玩具泛化；后段按条件顺序拼接，前段与基线趋势不变。</t>
        </is>
      </c>
    </row>
    <row r="80">
      <c r="A80" s="243" t="inlineStr">
        <is>
          <t>2026-10-24取点修订</t>
        </is>
      </c>
      <c r="B80" s="244" t="inlineStr">
        <is>
          <t>056-滚雪球；K440–K474（35K）</t>
        </is>
      </c>
      <c r="C80" s="244" t="inlineStr">
        <is>
          <t>因变量由Variability（不重复正确反应连续计数，左轴）改为Accuracy（任务分析步骤正确百分比，右轴）；K数不变</t>
        </is>
      </c>
      <c r="D80" s="244" t="inlineStr">
        <is>
          <t>第一个干预条件（1B：一个示范样例＋连续强化）不以提高变异性为目标；与001、002、035、038等超级英雄研究统一用准确率。阶段划分不变，基线趋势τ、p已重算。</t>
        </is>
      </c>
    </row>
    <row r="81">
      <c r="A81" s="243" t="inlineStr">
        <is>
          <t>2026-10-24取点更正</t>
        </is>
      </c>
      <c r="B81" s="244" t="inlineStr">
        <is>
          <t>056-滚雪球；K473（Tony 表达需求 维持）</t>
        </is>
      </c>
      <c r="C81" s="244" t="inlineStr">
        <is>
          <t>后段改为原图L4之后的维持点</t>
        </is>
      </c>
      <c r="D81" s="244" t="inlineStr">
        <is>
          <t>原记录后段与K472干预段完全相同，系误抄。</t>
        </is>
      </c>
    </row>
    <row r="82">
      <c r="A82" s="243" t="inlineStr">
        <is>
          <t>2026-10-24复核</t>
        </is>
      </c>
      <c r="B82" s="244" t="inlineStr">
        <is>
          <t>039-二次</t>
        </is>
      </c>
      <c r="C82" s="244" t="inlineStr">
        <is>
          <t>不改</t>
        </is>
      </c>
      <c r="D82" s="244" t="inlineStr">
        <is>
          <t>SI-Table、SI-Rags已按“首次出现在录像中起算干预”取段；干预段开头的300秒来自首次视频3未达标及其后回到视频1的会话。是否剔除回到视频1的会话待用户决定。</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36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5" min="1" max="1"/>
    <col width="17" customWidth="1" style="175" min="2" max="2"/>
    <col width="20" customWidth="1" style="175" min="3" max="3"/>
    <col width="12" customWidth="1" style="175" min="4" max="4"/>
    <col width="17" customWidth="1" style="175" min="5" max="5"/>
    <col width="62" customWidth="1" style="175" min="6" max="6"/>
    <col width="66" customWidth="1" style="175" min="7" max="7"/>
    <col width="80" customWidth="1" style="175" min="8" max="8"/>
    <col width="85" customWidth="1" style="175" min="9" max="9"/>
  </cols>
  <sheetData>
    <row r="1" ht="27.75" customHeight="1" s="176">
      <c r="A1" s="245" t="inlineStr">
        <is>
          <t>原文取点核查记录｜2026-10-18按当前纳入文献同步</t>
        </is>
      </c>
    </row>
    <row r="2" ht="31.5" customHeight="1" s="176">
      <c r="A2" s="246" t="inlineStr">
        <is>
          <t>本表保留历史取点核查依据，按2026-10-18纳入决定删除013二次、040二次并恢复018二次、080二次。现399条K核查记录；原有001、002的30个K未在本表重复列出，主表合计429K。</t>
        </is>
      </c>
    </row>
    <row r="3" ht="15" customHeight="1" s="176">
      <c r="A3" s="247" t="n"/>
      <c r="B3" s="247" t="n"/>
      <c r="C3" s="247" t="n"/>
      <c r="D3" s="247" t="n"/>
      <c r="E3" s="247" t="n"/>
      <c r="F3" s="247" t="n"/>
      <c r="G3" s="247" t="n"/>
      <c r="H3" s="247" t="n"/>
      <c r="I3" s="247" t="n"/>
    </row>
    <row r="4" ht="31.5" customHeight="1" s="176">
      <c r="A4" s="248" t="inlineStr">
        <is>
          <t>K编号</t>
        </is>
      </c>
      <c r="B4" s="249" t="inlineStr">
        <is>
          <t>文献编号</t>
        </is>
      </c>
      <c r="C4" s="249" t="inlineStr">
        <is>
          <t>儿童</t>
        </is>
      </c>
      <c r="D4" s="249" t="inlineStr">
        <is>
          <t>比较类型</t>
        </is>
      </c>
      <c r="E4" s="249" t="inlineStr">
        <is>
          <t>处理结果</t>
        </is>
      </c>
      <c r="F4" s="249" t="inlineStr">
        <is>
          <t>问题／处理说明</t>
        </is>
      </c>
      <c r="G4" s="249" t="inlineStr">
        <is>
          <t>图位置</t>
        </is>
      </c>
      <c r="H4" s="249" t="inlineStr">
        <is>
          <t>核查方法与依据</t>
        </is>
      </c>
      <c r="I4" s="249" t="inlineStr">
        <is>
          <t>原始PDF文件</t>
        </is>
      </c>
    </row>
    <row r="5" ht="48" customHeight="1" s="176">
      <c r="A5" s="250" t="inlineStr">
        <is>
          <t>K033</t>
        </is>
      </c>
      <c r="B5" s="250" t="inlineStr">
        <is>
          <t>004-二次</t>
        </is>
      </c>
      <c r="C5" s="250" t="inlineStr">
        <is>
          <t>Nick</t>
        </is>
      </c>
      <c r="D5" s="251" t="inlineStr">
        <is>
          <t>干预</t>
        </is>
      </c>
      <c r="E5" s="251" t="inlineStr">
        <is>
          <t>已补入</t>
        </is>
      </c>
      <c r="F5" s="251" t="inlineStr">
        <is>
          <t>仅实心圆原情境；排除空心方形/三角泛化，基线实际3点。</t>
        </is>
      </c>
      <c r="G5" s="250" t="inlineStr">
        <is>
          <t>Fig1，PDF9，P1／第1面板，实心圆</t>
        </is>
      </c>
      <c r="H5" s="251" t="inlineStr">
        <is>
          <t>重新读取原文PDF方法与图，独立视觉核查并按图示时间顺序提取</t>
        </is>
      </c>
      <c r="I5" s="250" t="inlineStr">
        <is>
          <t>F:/元分析-效应量/Tau-u计算文献/004-二次-E-便携式视频建模教授孤独症儿童持续进行社会发起的效果.pdf</t>
        </is>
      </c>
    </row>
    <row r="6" ht="48" customHeight="1" s="176">
      <c r="A6" s="250" t="inlineStr">
        <is>
          <t>K034</t>
        </is>
      </c>
      <c r="B6" s="250" t="inlineStr">
        <is>
          <t>004-二次</t>
        </is>
      </c>
      <c r="C6" s="250" t="inlineStr">
        <is>
          <t>Kelly</t>
        </is>
      </c>
      <c r="D6" s="251" t="inlineStr">
        <is>
          <t>干预</t>
        </is>
      </c>
      <c r="E6" s="251" t="inlineStr">
        <is>
          <t>已补入</t>
        </is>
      </c>
      <c r="F6" s="251" t="inlineStr">
        <is>
          <t>实心圆原情境，非所有横轴测次。</t>
        </is>
      </c>
      <c r="G6" s="250" t="inlineStr">
        <is>
          <t>Fig1，PDF9，P2／第2面板，实心圆</t>
        </is>
      </c>
      <c r="H6" s="251" t="inlineStr">
        <is>
          <t>重新读取原文PDF方法与图，独立视觉核查并按图示时间顺序提取</t>
        </is>
      </c>
      <c r="I6" s="250" t="inlineStr">
        <is>
          <t>F:/元分析-效应量/Tau-u计算文献/004-二次-E-便携式视频建模教授孤独症儿童持续进行社会发起的效果.pdf</t>
        </is>
      </c>
    </row>
    <row r="7" ht="48" customHeight="1" s="176">
      <c r="A7" s="250" t="inlineStr">
        <is>
          <t>K035</t>
        </is>
      </c>
      <c r="B7" s="250" t="inlineStr">
        <is>
          <t>004-二次</t>
        </is>
      </c>
      <c r="C7" s="250" t="inlineStr">
        <is>
          <t>Mike</t>
        </is>
      </c>
      <c r="D7" s="251" t="inlineStr">
        <is>
          <t>干预</t>
        </is>
      </c>
      <c r="E7" s="251" t="inlineStr">
        <is>
          <t>已补入</t>
        </is>
      </c>
      <c r="F7" s="251" t="inlineStr">
        <is>
          <t>基线实心圆8点。</t>
        </is>
      </c>
      <c r="G7" s="250" t="inlineStr">
        <is>
          <t>Fig1，PDF9，P3／第3面板，实心圆</t>
        </is>
      </c>
      <c r="H7" s="251" t="inlineStr">
        <is>
          <t>重新读取原文PDF方法与图，独立视觉核查并按图示时间顺序提取</t>
        </is>
      </c>
      <c r="I7" s="250" t="inlineStr">
        <is>
          <t>F:/元分析-效应量/Tau-u计算文献/004-二次-E-便携式视频建模教授孤独症儿童持续进行社会发起的效果.pdf</t>
        </is>
      </c>
    </row>
    <row r="8" ht="48" customHeight="1" s="176">
      <c r="A8" s="250" t="inlineStr">
        <is>
          <t>K036</t>
        </is>
      </c>
      <c r="B8" s="250" t="inlineStr">
        <is>
          <t>004-二次</t>
        </is>
      </c>
      <c r="C8" s="250" t="inlineStr">
        <is>
          <t>Jake</t>
        </is>
      </c>
      <c r="D8" s="251" t="inlineStr">
        <is>
          <t>干预</t>
        </is>
      </c>
      <c r="E8" s="251" t="inlineStr">
        <is>
          <t>已补入</t>
        </is>
      </c>
      <c r="F8" s="251" t="inlineStr">
        <is>
          <t>基线实心圆11点；三试次百分比依原文写为33/66/100。</t>
        </is>
      </c>
      <c r="G8" s="250" t="inlineStr">
        <is>
          <t>Fig1，PDF9，P4／第4面板，实心圆</t>
        </is>
      </c>
      <c r="H8" s="251" t="inlineStr">
        <is>
          <t>重新读取原文PDF方法与图，独立视觉核查并按图示时间顺序提取</t>
        </is>
      </c>
      <c r="I8" s="250" t="inlineStr">
        <is>
          <t>F:/元分析-效应量/Tau-u计算文献/004-二次-E-便携式视频建模教授孤独症儿童持续进行社会发起的效果.pdf</t>
        </is>
      </c>
    </row>
    <row r="9" ht="48" customHeight="1" s="176">
      <c r="A9" s="250" t="inlineStr">
        <is>
          <t>K039</t>
        </is>
      </c>
      <c r="B9" s="250" t="inlineStr">
        <is>
          <t>005-二次</t>
        </is>
      </c>
      <c r="C9" s="250" t="inlineStr">
        <is>
          <t>Anna</t>
        </is>
      </c>
      <c r="D9" s="251" t="inlineStr">
        <is>
          <t>干预</t>
        </is>
      </c>
      <c r="E9" s="251" t="inlineStr">
        <is>
          <t>已补入</t>
        </is>
      </c>
      <c r="F9" s="250" t="inlineStr">
        <is>
          <t>Figure1 iPad，实心圆；空心泛化点不计入。</t>
        </is>
      </c>
      <c r="G9" s="250" t="inlineStr">
        <is>
          <t>Fig1（iPad），PDF11，P2／第2面板；符号见原图图例</t>
        </is>
      </c>
      <c r="H9" s="251" t="inlineStr">
        <is>
          <t>重新读取原文PDF方法与图，独立视觉核查并按图示时间顺序提取</t>
        </is>
      </c>
      <c r="I9" s="250" t="inlineStr">
        <is>
          <t>F:/元分析-效应量/Tau-u计算文献/005-二次-E-便携式视频建模与传统视频建模干预孤独症谱系障碍儿童的效果比较.pdf</t>
        </is>
      </c>
    </row>
    <row r="10" ht="48" customHeight="1" s="176">
      <c r="A10" s="252" t="inlineStr">
        <is>
          <t>K040</t>
        </is>
      </c>
      <c r="B10" s="252" t="inlineStr">
        <is>
          <t>005-二次</t>
        </is>
      </c>
      <c r="C10" s="252" t="inlineStr">
        <is>
          <t>Brian</t>
        </is>
      </c>
      <c r="D10" s="253" t="inlineStr">
        <is>
          <t>干预</t>
        </is>
      </c>
      <c r="E10" s="252" t="inlineStr">
        <is>
          <t>Claude补入</t>
        </is>
      </c>
      <c r="F10" s="253" t="inlineStr">
        <is>
          <t>【Claude补入】Claude按原图取点（PDF11内嵌图）。Where/Who与设备的对应按图标签（Fig1＝iPad＝Where，Fig2＝电视＝Who），与表2一致；正文结果段写反，此前已定以图为准。基线为实心圆10点（空心圆为泛化探测，不计）。　〔GPT原记录：Figure1/2对Brian任务标注分别为Where/Who，但正文结果中的任务/媒介对应存在冲突；不能独立确定目标K应采用哪条任务系列，因此留空。〕</t>
        </is>
      </c>
      <c r="G10" s="252" t="inlineStr">
        <is>
          <t>Fig1（iPad），PDF11，P3／第3面板；符号见原图图例</t>
        </is>
      </c>
      <c r="H10" s="253" t="inlineStr">
        <is>
          <t>重新读取原文PDF方法与图，独立视觉核查并按图示时间顺序提取</t>
        </is>
      </c>
      <c r="I10" s="252" t="inlineStr">
        <is>
          <t>F:/元分析-效应量/Tau-u计算文献/005-二次-E-便携式视频建模与传统视频建模干预孤独症谱系障碍儿童的效果比较.pdf</t>
        </is>
      </c>
    </row>
    <row r="11" ht="48" customHeight="1" s="176">
      <c r="A11" s="252" t="inlineStr">
        <is>
          <t>K041</t>
        </is>
      </c>
      <c r="B11" s="252" t="inlineStr">
        <is>
          <t>005-二次</t>
        </is>
      </c>
      <c r="C11" s="252" t="inlineStr">
        <is>
          <t>Brian</t>
        </is>
      </c>
      <c r="D11" s="253" t="inlineStr">
        <is>
          <t>干预</t>
        </is>
      </c>
      <c r="E11" s="252" t="inlineStr">
        <is>
          <t>Claude补入</t>
        </is>
      </c>
      <c r="F11" s="253" t="inlineStr">
        <is>
          <t>【Claude补入】Claude按原图取点（PDF11内嵌图）。Where/Who与设备的对应按图标签（Fig1＝iPad＝Where，Fig2＝电视＝Who），与表2一致；正文结果段写反，此前已定以图为准。基线为实心圆10点（空心圆为泛化探测，不计）。　〔GPT原记录：Figure1/2对Brian任务标注分别为Where/Who，但正文结果中的任务/媒介对应存在冲突；不能独立确定目标K应采用哪条任务系列，因此留空。〕</t>
        </is>
      </c>
      <c r="G11" s="252" t="inlineStr">
        <is>
          <t>Fig2（电视），PDF11，P3／第3面板；符号见原图图例</t>
        </is>
      </c>
      <c r="H11" s="253" t="inlineStr">
        <is>
          <t>重新读取原文PDF方法与图，独立视觉核查并按图示时间顺序提取</t>
        </is>
      </c>
      <c r="I11" s="252" t="inlineStr">
        <is>
          <t>F:/元分析-效应量/Tau-u计算文献/005-二次-E-便携式视频建模与传统视频建模干预孤独症谱系障碍儿童的效果比较.pdf</t>
        </is>
      </c>
    </row>
    <row r="12" ht="48" customHeight="1" s="176">
      <c r="A12" s="250" t="inlineStr">
        <is>
          <t>K042</t>
        </is>
      </c>
      <c r="B12" s="250" t="inlineStr">
        <is>
          <t>005-二次</t>
        </is>
      </c>
      <c r="C12" s="250" t="inlineStr">
        <is>
          <t>Jason</t>
        </is>
      </c>
      <c r="D12" s="251" t="inlineStr">
        <is>
          <t>干预</t>
        </is>
      </c>
      <c r="E12" s="251" t="inlineStr">
        <is>
          <t>已补入</t>
        </is>
      </c>
      <c r="F12" s="251" t="inlineStr">
        <is>
          <t>基线实心圆12个，空心泛化位于第9与13次，排除。</t>
        </is>
      </c>
      <c r="G12" s="250" t="inlineStr">
        <is>
          <t>Fig1（iPad），PDF11，P4／第4面板；符号见原图图例</t>
        </is>
      </c>
      <c r="H12" s="251" t="inlineStr">
        <is>
          <t>重新读取原文PDF方法与图，独立视觉核查并按图示时间顺序提取</t>
        </is>
      </c>
      <c r="I12" s="250" t="inlineStr">
        <is>
          <t>F:/元分析-效应量/Tau-u计算文献/005-二次-E-便携式视频建模与传统视频建模干预孤独症谱系障碍儿童的效果比较.pdf</t>
        </is>
      </c>
    </row>
    <row r="13" ht="48" customHeight="1" s="176">
      <c r="A13" s="250" t="inlineStr">
        <is>
          <t>K043</t>
        </is>
      </c>
      <c r="B13" s="250" t="inlineStr">
        <is>
          <t>005-二次</t>
        </is>
      </c>
      <c r="C13" s="250" t="inlineStr">
        <is>
          <t>Jason</t>
        </is>
      </c>
      <c r="D13" s="251" t="inlineStr">
        <is>
          <t>干预</t>
        </is>
      </c>
      <c r="E13" s="251" t="inlineStr">
        <is>
          <t>已补入</t>
        </is>
      </c>
      <c r="F13" s="250" t="inlineStr">
        <is>
          <t>Figure2家庭话题；实心圆训练。</t>
        </is>
      </c>
      <c r="G13" s="250" t="inlineStr">
        <is>
          <t>Fig2（电视），PDF11，P4／第4面板；符号见原图图例</t>
        </is>
      </c>
      <c r="H13" s="251" t="inlineStr">
        <is>
          <t>重新读取原文PDF方法与图，独立视觉核查并按图示时间顺序提取</t>
        </is>
      </c>
      <c r="I13" s="250" t="inlineStr">
        <is>
          <t>F:/元分析-效应量/Tau-u计算文献/005-二次-E-便携式视频建模与传统视频建模干预孤独症谱系障碍儿童的效果比较.pdf</t>
        </is>
      </c>
    </row>
    <row r="14" ht="48" customHeight="1" s="176">
      <c r="A14" s="250" t="inlineStr">
        <is>
          <t>K044</t>
        </is>
      </c>
      <c r="B14" s="250" t="inlineStr">
        <is>
          <t>005-二次</t>
        </is>
      </c>
      <c r="C14" s="250" t="inlineStr">
        <is>
          <t>Riley</t>
        </is>
      </c>
      <c r="D14" s="251" t="inlineStr">
        <is>
          <t>干预</t>
        </is>
      </c>
      <c r="E14" s="251" t="inlineStr">
        <is>
          <t>已补入</t>
        </is>
      </c>
      <c r="F14" s="250" t="inlineStr">
        <is>
          <t>Figure1 Old Maid；基线排除7和11次空心泛化点。</t>
        </is>
      </c>
      <c r="G14" s="250" t="inlineStr">
        <is>
          <t>Fig1（iPad），PDF11，P5／第5面板；符号见原图图例</t>
        </is>
      </c>
      <c r="H14" s="251" t="inlineStr">
        <is>
          <t>重新读取原文PDF方法与图，独立视觉核查并按图示时间顺序提取</t>
        </is>
      </c>
      <c r="I14" s="250" t="inlineStr">
        <is>
          <t>F:/元分析-效应量/Tau-u计算文献/005-二次-E-便携式视频建模与传统视频建模干预孤独症谱系障碍儿童的效果比较.pdf</t>
        </is>
      </c>
    </row>
    <row r="15" ht="48" customHeight="1" s="176">
      <c r="A15" s="250" t="inlineStr">
        <is>
          <t>K045</t>
        </is>
      </c>
      <c r="B15" s="250" t="inlineStr">
        <is>
          <t>005-二次</t>
        </is>
      </c>
      <c r="C15" s="250" t="inlineStr">
        <is>
          <t>Riley</t>
        </is>
      </c>
      <c r="D15" s="251" t="inlineStr">
        <is>
          <t>干预</t>
        </is>
      </c>
      <c r="E15" s="251" t="inlineStr">
        <is>
          <t>已补入</t>
        </is>
      </c>
      <c r="F15" s="250" t="inlineStr">
        <is>
          <t>Figure2 Go Fish。</t>
        </is>
      </c>
      <c r="G15" s="250" t="inlineStr">
        <is>
          <t>Fig2（电视），PDF11，P5／第5面板；符号见原图图例</t>
        </is>
      </c>
      <c r="H15" s="251" t="inlineStr">
        <is>
          <t>重新读取原文PDF方法与图，独立视觉核查并按图示时间顺序提取</t>
        </is>
      </c>
      <c r="I15" s="250" t="inlineStr">
        <is>
          <t>F:/元分析-效应量/Tau-u计算文献/005-二次-E-便携式视频建模与传统视频建模干预孤独症谱系障碍儿童的效果比较.pdf</t>
        </is>
      </c>
    </row>
    <row r="16" ht="48" customHeight="1" s="176">
      <c r="A16" s="250" t="inlineStr">
        <is>
          <t>K083</t>
        </is>
      </c>
      <c r="B16" s="250" t="inlineStr">
        <is>
          <t>011-二次</t>
        </is>
      </c>
      <c r="C16" s="250" t="inlineStr">
        <is>
          <t>Max</t>
        </is>
      </c>
      <c r="D16" s="251" t="inlineStr">
        <is>
          <t>干预</t>
        </is>
      </c>
      <c r="E16" s="251" t="inlineStr">
        <is>
          <t>已补入</t>
        </is>
      </c>
      <c r="F16" s="251" t="inlineStr">
        <is>
          <t>仅VM实心圆；不混入SS方块、泛化空心符号和Follow-Up区另一目标转VM菱形。</t>
        </is>
      </c>
      <c r="G16" s="250" t="inlineStr">
        <is>
          <t>Figure 1，PDF第8页，第2面板（Max），VM实心圆</t>
        </is>
      </c>
      <c r="H16" s="251" t="inlineStr">
        <is>
          <t>新读原PDF矢量实心圆中心，图面视觉确认，纵轴0/100校准取整</t>
        </is>
      </c>
      <c r="I16" s="250" t="inlineStr">
        <is>
          <t>F:/元分析-效应量/Tau-u计算文献/011-二次-E-孤独症谱系障碍儿童社会技能教学的两项干预比较研究.pdf</t>
        </is>
      </c>
    </row>
    <row r="17" ht="48" customHeight="1" s="176">
      <c r="A17" s="250" t="inlineStr">
        <is>
          <t>K084</t>
        </is>
      </c>
      <c r="B17" s="250" t="inlineStr">
        <is>
          <t>011-二次</t>
        </is>
      </c>
      <c r="C17" s="250" t="inlineStr">
        <is>
          <t>Mike</t>
        </is>
      </c>
      <c r="D17" s="251" t="inlineStr">
        <is>
          <t>干预</t>
        </is>
      </c>
      <c r="E17" s="251" t="inlineStr">
        <is>
          <t>已补入</t>
        </is>
      </c>
      <c r="F17" s="251" t="inlineStr">
        <is>
          <t>仅VM实心圆；不混入SS方块、泛化空心符号和Follow-Up区另一目标转VM菱形。</t>
        </is>
      </c>
      <c r="G17" s="250" t="inlineStr">
        <is>
          <t>Figure 1，PDF第8页，第3面板（Mike），VM实心圆</t>
        </is>
      </c>
      <c r="H17" s="251" t="inlineStr">
        <is>
          <t>新读原PDF矢量实心圆中心，图面视觉确认，纵轴0/100校准取整</t>
        </is>
      </c>
      <c r="I17" s="250" t="inlineStr">
        <is>
          <t>F:/元分析-效应量/Tau-u计算文献/011-二次-E-孤独症谱系障碍儿童社会技能教学的两项干预比较研究.pdf</t>
        </is>
      </c>
    </row>
    <row r="18" ht="48" customHeight="1" s="176">
      <c r="A18" s="250" t="inlineStr">
        <is>
          <t>K085</t>
        </is>
      </c>
      <c r="B18" s="250" t="inlineStr">
        <is>
          <t>011-二次</t>
        </is>
      </c>
      <c r="C18" s="250" t="inlineStr">
        <is>
          <t>Kendra</t>
        </is>
      </c>
      <c r="D18" s="251" t="inlineStr">
        <is>
          <t>干预</t>
        </is>
      </c>
      <c r="E18" s="251" t="inlineStr">
        <is>
          <t>已补入</t>
        </is>
      </c>
      <c r="F18" s="251" t="inlineStr">
        <is>
          <t>仅VM实心圆；不混入SS方块、泛化空心符号和Follow-Up区另一目标转VM菱形。</t>
        </is>
      </c>
      <c r="G18" s="250" t="inlineStr">
        <is>
          <t>Figure 1，PDF第8页，第4面板（Kendra），VM实心圆</t>
        </is>
      </c>
      <c r="H18" s="251" t="inlineStr">
        <is>
          <t>新读原PDF矢量实心圆中心，图面视觉确认，纵轴0/100校准取整</t>
        </is>
      </c>
      <c r="I18" s="250" t="inlineStr">
        <is>
          <t>F:/元分析-效应量/Tau-u计算文献/011-二次-E-孤独症谱系障碍儿童社会技能教学的两项干预比较研究.pdf</t>
        </is>
      </c>
    </row>
    <row r="19" ht="48" customHeight="1" s="176">
      <c r="A19" s="250" t="inlineStr">
        <is>
          <t>K098</t>
        </is>
      </c>
      <c r="B19" s="250" t="inlineStr">
        <is>
          <t>013-滚雪球</t>
        </is>
      </c>
      <c r="C19" s="250" t="inlineStr">
        <is>
          <t>Clay</t>
        </is>
      </c>
      <c r="D19" s="251" t="inlineStr">
        <is>
          <t>干预</t>
        </is>
      </c>
      <c r="E19" s="251" t="inlineStr">
        <is>
          <t>已补入</t>
        </is>
      </c>
      <c r="F19" s="251" t="inlineStr">
        <is>
          <t xml:space="preserve"> 依原图面板纵轴实际高度读取百分比，不用正文步数推算；维持按目标比较合并MAIN与6WK FU（Body Basics仅FU），缺测空档不填。</t>
        </is>
      </c>
      <c r="G19" s="250" t="inlineStr">
        <is>
          <t>Fig1，PDF8，印刷页8，自上而下第1面板（B1）；实心圆</t>
        </is>
      </c>
      <c r="H19" s="251" t="inlineStr">
        <is>
          <t>重新读取原文PDF方法与图，独立视觉核查并按图示时间顺序提取</t>
        </is>
      </c>
      <c r="I19" s="250" t="inlineStr">
        <is>
          <t>F:/元分析-效应量/Tau-u计算文献/013-滚雪球-自闭症谱系障碍学龄前儿童的校本社交技能训练.pdf</t>
        </is>
      </c>
    </row>
    <row r="20" ht="48" customHeight="1" s="176">
      <c r="A20" s="250" t="inlineStr">
        <is>
          <t>K099</t>
        </is>
      </c>
      <c r="B20" s="250" t="inlineStr">
        <is>
          <t>013-滚雪球</t>
        </is>
      </c>
      <c r="C20" s="250" t="inlineStr">
        <is>
          <t>Clay</t>
        </is>
      </c>
      <c r="D20" s="251" t="inlineStr">
        <is>
          <t>维持</t>
        </is>
      </c>
      <c r="E20" s="251" t="inlineStr">
        <is>
          <t>已补入</t>
        </is>
      </c>
      <c r="F20" s="251" t="inlineStr">
        <is>
          <t xml:space="preserve"> 依原图面板纵轴实际高度读取百分比，不用正文步数推算；维持按目标比较合并MAIN与6WK FU（Body Basics仅FU），缺测空档不填。</t>
        </is>
      </c>
      <c r="G20" s="250" t="inlineStr">
        <is>
          <t>Fig1，PDF8，印刷页8，自上而下第1面板（B1）；实心圆</t>
        </is>
      </c>
      <c r="H20" s="251" t="inlineStr">
        <is>
          <t>重新读取原文PDF方法与图，独立视觉核查并按图示时间顺序提取</t>
        </is>
      </c>
      <c r="I20" s="250" t="inlineStr">
        <is>
          <t>F:/元分析-效应量/Tau-u计算文献/013-滚雪球-自闭症谱系障碍学龄前儿童的校本社交技能训练.pdf</t>
        </is>
      </c>
    </row>
    <row r="21" ht="48" customHeight="1" s="176">
      <c r="A21" s="252" t="inlineStr">
        <is>
          <t>K102</t>
        </is>
      </c>
      <c r="B21" s="252" t="inlineStr">
        <is>
          <t>013-滚雪球</t>
        </is>
      </c>
      <c r="C21" s="252" t="inlineStr">
        <is>
          <t>Clay</t>
        </is>
      </c>
      <c r="D21" s="253" t="inlineStr">
        <is>
          <t>干预</t>
        </is>
      </c>
      <c r="E21" s="252" t="inlineStr">
        <is>
          <t>Claude补入</t>
        </is>
      </c>
      <c r="F21" s="253"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1" s="252" t="inlineStr">
        <is>
          <t>Fig1，PDF8，印刷页8，自上而下第3面板（B3）；实心圆</t>
        </is>
      </c>
      <c r="H21" s="253" t="inlineStr">
        <is>
          <t>重新读取原文PDF方法与图，独立视觉核查并按图示时间顺序提取； 依原图面板纵轴实际高度读取百分比，不用正文步数推算；维持按目标比较合并MAIN与6WK FU（Body Basics仅FU），缺测空档不填。</t>
        </is>
      </c>
      <c r="I21" s="252" t="inlineStr">
        <is>
          <t>F:/元分析-效应量/Tau-u计算文献/013-滚雪球-自闭症谱系障碍学龄前儿童的校本社交技能训练.pdf</t>
        </is>
      </c>
    </row>
    <row r="22" ht="48" customHeight="1" s="176">
      <c r="A22" s="252" t="inlineStr">
        <is>
          <t>K103</t>
        </is>
      </c>
      <c r="B22" s="252" t="inlineStr">
        <is>
          <t>013-滚雪球</t>
        </is>
      </c>
      <c r="C22" s="252" t="inlineStr">
        <is>
          <t>Clay</t>
        </is>
      </c>
      <c r="D22" s="253" t="inlineStr">
        <is>
          <t>维持</t>
        </is>
      </c>
      <c r="E22" s="252" t="inlineStr">
        <is>
          <t>Claude补入</t>
        </is>
      </c>
      <c r="F22" s="253" t="inlineStr">
        <is>
          <t>【Claude补入】Claude按PDF矢量坐标取点（Fig1 Clay PDF8、Fig2 Jack PDF9，实心圆）。图中百分比水平为Participate 20%一级、Body Basics 1/6一级，与方法所列步骤口径的差异按规则8以图为准。维持＝MAIN第32、37次＋6周随访第39–41次。　〔GPT原记录：原文方法所列Participate/Body Basics计分步骤与图中百分比水平口径存在差异，未自行选择计分口径。〕</t>
        </is>
      </c>
      <c r="G22" s="252" t="inlineStr">
        <is>
          <t>Fig1，PDF8，印刷页8，自上而下第3面板（B3）；实心圆</t>
        </is>
      </c>
      <c r="H22" s="253" t="inlineStr">
        <is>
          <t>重新读取原文PDF方法与图，独立视觉核查并按图示时间顺序提取； 依原图面板纵轴实际高度读取百分比，不用正文步数推算；维持按目标比较合并MAIN与6WK FU（Body Basics仅FU），缺测空档不填。</t>
        </is>
      </c>
      <c r="I22" s="252" t="inlineStr">
        <is>
          <t>F:/元分析-效应量/Tau-u计算文献/013-滚雪球-自闭症谱系障碍学龄前儿童的校本社交技能训练.pdf</t>
        </is>
      </c>
    </row>
    <row r="23" ht="48" customHeight="1" s="176">
      <c r="A23" s="252" t="inlineStr">
        <is>
          <t>K104</t>
        </is>
      </c>
      <c r="B23" s="252" t="inlineStr">
        <is>
          <t>013-滚雪球</t>
        </is>
      </c>
      <c r="C23" s="252" t="inlineStr">
        <is>
          <t>Clay</t>
        </is>
      </c>
      <c r="D23" s="253" t="inlineStr">
        <is>
          <t>干预</t>
        </is>
      </c>
      <c r="E23" s="252" t="inlineStr">
        <is>
          <t>Claude补入</t>
        </is>
      </c>
      <c r="F23" s="253"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3" s="252" t="inlineStr">
        <is>
          <t>Fig1，PDF8，印刷页8，自上而下第4面板（B4）；实心圆</t>
        </is>
      </c>
      <c r="H23" s="253" t="inlineStr">
        <is>
          <t>重新读取原文PDF方法与图，独立视觉核查并按图示时间顺序提取； 依原图面板纵轴实际高度读取百分比，不用正文步数推算；维持按目标比较合并MAIN与6WK FU（Body Basics仅FU），缺测空档不填。</t>
        </is>
      </c>
      <c r="I23" s="252" t="inlineStr">
        <is>
          <t>F:/元分析-效应量/Tau-u计算文献/013-滚雪球-自闭症谱系障碍学龄前儿童的校本社交技能训练.pdf</t>
        </is>
      </c>
    </row>
    <row r="24" ht="48" customHeight="1" s="176">
      <c r="A24" s="252" t="inlineStr">
        <is>
          <t>K105</t>
        </is>
      </c>
      <c r="B24" s="252" t="inlineStr">
        <is>
          <t>013-滚雪球</t>
        </is>
      </c>
      <c r="C24" s="252" t="inlineStr">
        <is>
          <t>Clay</t>
        </is>
      </c>
      <c r="D24" s="253" t="inlineStr">
        <is>
          <t>维持</t>
        </is>
      </c>
      <c r="E24" s="252" t="inlineStr">
        <is>
          <t>Claude补入</t>
        </is>
      </c>
      <c r="F24" s="253" t="inlineStr">
        <is>
          <t>【Claude补入】Claude按PDF矢量坐标取点（Fig1 Clay PDF8、Fig2 Jack PDF9，实心圆）。图中百分比水平为Participate 20%一级、Body Basics 1/6一级，与方法所列步骤口径的差异按规则8以图为准。仅6周随访3点。　〔GPT原记录：原文方法所列Participate/Body Basics计分步骤与图中百分比水平口径存在差异，未自行选择计分口径。〕</t>
        </is>
      </c>
      <c r="G24" s="252" t="inlineStr">
        <is>
          <t>Fig1，PDF8，印刷页8，自上而下第4面板（B4）；实心圆</t>
        </is>
      </c>
      <c r="H24" s="253" t="inlineStr">
        <is>
          <t>重新读取原文PDF方法与图，独立视觉核查并按图示时间顺序提取； 依原图面板纵轴实际高度读取百分比，不用正文步数推算；维持按目标比较合并MAIN与6WK FU（Body Basics仅FU），缺测空档不填。</t>
        </is>
      </c>
      <c r="I24" s="252" t="inlineStr">
        <is>
          <t>F:/元分析-效应量/Tau-u计算文献/013-滚雪球-自闭症谱系障碍学龄前儿童的校本社交技能训练.pdf</t>
        </is>
      </c>
    </row>
    <row r="25" ht="48" customHeight="1" s="176">
      <c r="A25" s="250" t="inlineStr">
        <is>
          <t>K106</t>
        </is>
      </c>
      <c r="B25" s="250" t="inlineStr">
        <is>
          <t>013-滚雪球</t>
        </is>
      </c>
      <c r="C25" s="250" t="inlineStr">
        <is>
          <t>Jack</t>
        </is>
      </c>
      <c r="D25" s="251" t="inlineStr">
        <is>
          <t>干预</t>
        </is>
      </c>
      <c r="E25" s="251" t="inlineStr">
        <is>
          <t>已补入</t>
        </is>
      </c>
      <c r="F25" s="251" t="inlineStr">
        <is>
          <t xml:space="preserve"> 依原图面板纵轴实际高度读取百分比，不用正文步数推算；维持按目标比较合并MAIN与6WK FU（Body Basics仅FU），缺测空档不填。</t>
        </is>
      </c>
      <c r="G25" s="250" t="inlineStr">
        <is>
          <t>Fig2，PDF9，印刷页9，自上而下第1面板（B1）；实心圆</t>
        </is>
      </c>
      <c r="H25" s="251" t="inlineStr">
        <is>
          <t>重新读取原文PDF方法与图，独立视觉核查并按图示时间顺序提取</t>
        </is>
      </c>
      <c r="I25" s="250" t="inlineStr">
        <is>
          <t>F:/元分析-效应量/Tau-u计算文献/013-滚雪球-自闭症谱系障碍学龄前儿童的校本社交技能训练.pdf</t>
        </is>
      </c>
    </row>
    <row r="26" ht="48" customHeight="1" s="176">
      <c r="A26" s="250" t="inlineStr">
        <is>
          <t>K107</t>
        </is>
      </c>
      <c r="B26" s="250" t="inlineStr">
        <is>
          <t>013-滚雪球</t>
        </is>
      </c>
      <c r="C26" s="250" t="inlineStr">
        <is>
          <t>Jack</t>
        </is>
      </c>
      <c r="D26" s="251" t="inlineStr">
        <is>
          <t>维持</t>
        </is>
      </c>
      <c r="E26" s="251" t="inlineStr">
        <is>
          <t>已补入</t>
        </is>
      </c>
      <c r="F26" s="251" t="inlineStr">
        <is>
          <t xml:space="preserve"> 依原图面板纵轴实际高度读取百分比，不用正文步数推算；维持按目标比较合并MAIN与6WK FU（Body Basics仅FU），缺测空档不填。</t>
        </is>
      </c>
      <c r="G26" s="250" t="inlineStr">
        <is>
          <t>Fig2，PDF9，印刷页9，自上而下第1面板（B1）；实心圆</t>
        </is>
      </c>
      <c r="H26" s="251" t="inlineStr">
        <is>
          <t>重新读取原文PDF方法与图，独立视觉核查并按图示时间顺序提取</t>
        </is>
      </c>
      <c r="I26" s="250" t="inlineStr">
        <is>
          <t>F:/元分析-效应量/Tau-u计算文献/013-滚雪球-自闭症谱系障碍学龄前儿童的校本社交技能训练.pdf</t>
        </is>
      </c>
    </row>
    <row r="27" ht="48" customHeight="1" s="176">
      <c r="A27" s="252" t="inlineStr">
        <is>
          <t>K110</t>
        </is>
      </c>
      <c r="B27" s="252" t="inlineStr">
        <is>
          <t>013-滚雪球</t>
        </is>
      </c>
      <c r="C27" s="252" t="inlineStr">
        <is>
          <t>Jack</t>
        </is>
      </c>
      <c r="D27" s="253" t="inlineStr">
        <is>
          <t>干预</t>
        </is>
      </c>
      <c r="E27" s="252" t="inlineStr">
        <is>
          <t>Claude补入</t>
        </is>
      </c>
      <c r="F27" s="253"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7" s="252" t="inlineStr">
        <is>
          <t>Fig2，PDF9，印刷页9，自上而下第3面板（B3）；实心圆</t>
        </is>
      </c>
      <c r="H27" s="253" t="inlineStr">
        <is>
          <t>重新读取原文PDF方法与图，独立视觉核查并按图示时间顺序提取； 依原图面板纵轴实际高度读取百分比，不用正文步数推算；维持按目标比较合并MAIN与6WK FU（Body Basics仅FU），缺测空档不填。</t>
        </is>
      </c>
      <c r="I27" s="252" t="inlineStr">
        <is>
          <t>F:/元分析-效应量/Tau-u计算文献/013-滚雪球-自闭症谱系障碍学龄前儿童的校本社交技能训练.pdf</t>
        </is>
      </c>
    </row>
    <row r="28" ht="48" customHeight="1" s="176">
      <c r="A28" s="252" t="inlineStr">
        <is>
          <t>K111</t>
        </is>
      </c>
      <c r="B28" s="252" t="inlineStr">
        <is>
          <t>013-滚雪球</t>
        </is>
      </c>
      <c r="C28" s="252" t="inlineStr">
        <is>
          <t>Jack</t>
        </is>
      </c>
      <c r="D28" s="253" t="inlineStr">
        <is>
          <t>维持</t>
        </is>
      </c>
      <c r="E28" s="252" t="inlineStr">
        <is>
          <t>Claude补入</t>
        </is>
      </c>
      <c r="F28" s="253" t="inlineStr">
        <is>
          <t>【Claude补入】Claude按PDF矢量坐标取点（Fig1 Clay PDF8、Fig2 Jack PDF9，实心圆）。图中百分比水平为Participate 20%一级、Body Basics 1/6一级，与方法所列步骤口径的差异按规则8以图为准。维持＝MAIN第32、37次＋6周随访第39–41次。　〔GPT原记录：原文方法所列Participate/Body Basics计分步骤与图中百分比水平口径存在差异，未自行选择计分口径。〕</t>
        </is>
      </c>
      <c r="G28" s="252" t="inlineStr">
        <is>
          <t>Fig2，PDF9，印刷页9，自上而下第3面板（B3）；实心圆</t>
        </is>
      </c>
      <c r="H28" s="253" t="inlineStr">
        <is>
          <t>重新读取原文PDF方法与图，独立视觉核查并按图示时间顺序提取； 依原图面板纵轴实际高度读取百分比，不用正文步数推算；维持按目标比较合并MAIN与6WK FU（Body Basics仅FU），缺测空档不填。</t>
        </is>
      </c>
      <c r="I28" s="252" t="inlineStr">
        <is>
          <t>F:/元分析-效应量/Tau-u计算文献/013-滚雪球-自闭症谱系障碍学龄前儿童的校本社交技能训练.pdf</t>
        </is>
      </c>
    </row>
    <row r="29" ht="48" customHeight="1" s="176">
      <c r="A29" s="252" t="inlineStr">
        <is>
          <t>K112</t>
        </is>
      </c>
      <c r="B29" s="252" t="inlineStr">
        <is>
          <t>013-滚雪球</t>
        </is>
      </c>
      <c r="C29" s="252" t="inlineStr">
        <is>
          <t>Jack</t>
        </is>
      </c>
      <c r="D29" s="253" t="inlineStr">
        <is>
          <t>干预</t>
        </is>
      </c>
      <c r="E29" s="252" t="inlineStr">
        <is>
          <t>Claude补入</t>
        </is>
      </c>
      <c r="F29" s="253" t="inlineStr">
        <is>
          <t>【Claude补入】Claude按PDF矢量坐标取点（Fig1 Clay PDF8、Fig2 Jack PDF9，实心圆）。图中百分比水平为Participate 20%一级、Body Basics 1/6一级，与方法所列步骤口径的差异按规则8以图为准。Jack Body Basics基线图上为13点（第1–3、12–15、21–23、27–29次），K清单记12点；按13点算NAP为0.88，与原文表3一致。　〔GPT原记录：原文方法所列Participate/Body Basics计分步骤与图中百分比水平口径存在差异，未自行选择计分口径。〕</t>
        </is>
      </c>
      <c r="G29" s="252" t="inlineStr">
        <is>
          <t>Fig2，PDF9，印刷页9，自上而下第4面板（B4）；实心圆</t>
        </is>
      </c>
      <c r="H29" s="253" t="inlineStr">
        <is>
          <t>重新读取原文PDF方法与图，独立视觉核查并按图示时间顺序提取； 依原图面板纵轴实际高度读取百分比，不用正文步数推算；维持按目标比较合并MAIN与6WK FU（Body Basics仅FU），缺测空档不填。</t>
        </is>
      </c>
      <c r="I29" s="252" t="inlineStr">
        <is>
          <t>F:/元分析-效应量/Tau-u计算文献/013-滚雪球-自闭症谱系障碍学龄前儿童的校本社交技能训练.pdf</t>
        </is>
      </c>
    </row>
    <row r="30" ht="48" customHeight="1" s="176">
      <c r="A30" s="252" t="inlineStr">
        <is>
          <t>K113</t>
        </is>
      </c>
      <c r="B30" s="252" t="inlineStr">
        <is>
          <t>013-滚雪球</t>
        </is>
      </c>
      <c r="C30" s="252" t="inlineStr">
        <is>
          <t>Jack</t>
        </is>
      </c>
      <c r="D30" s="253" t="inlineStr">
        <is>
          <t>维持</t>
        </is>
      </c>
      <c r="E30" s="252" t="inlineStr">
        <is>
          <t>Claude补入</t>
        </is>
      </c>
      <c r="F30" s="253" t="inlineStr">
        <is>
          <t>【Claude补入】Claude按PDF矢量坐标取点（Fig1 Clay PDF8、Fig2 Jack PDF9，实心圆）。图中百分比水平为Participate 20%一级、Body Basics 1/6一级，与方法所列步骤口径的差异按规则8以图为准。仅6周随访3点。　〔GPT原记录：原文方法所列Participate/Body Basics计分步骤与图中百分比水平口径存在差异，未自行选择计分口径。〕</t>
        </is>
      </c>
      <c r="G30" s="252" t="inlineStr">
        <is>
          <t>Fig2，PDF9，印刷页9，自上而下第4面板（B4）；实心圆</t>
        </is>
      </c>
      <c r="H30" s="253" t="inlineStr">
        <is>
          <t>重新读取原文PDF方法与图，独立视觉核查并按图示时间顺序提取； 依原图面板纵轴实际高度读取百分比，不用正文步数推算；维持按目标比较合并MAIN与6WK FU（Body Basics仅FU），缺测空档不填。</t>
        </is>
      </c>
      <c r="I30" s="252" t="inlineStr">
        <is>
          <t>F:/元分析-效应量/Tau-u计算文献/013-滚雪球-自闭症谱系障碍学龄前儿童的校本社交技能训练.pdf</t>
        </is>
      </c>
    </row>
    <row r="31" ht="48" customHeight="1" s="176">
      <c r="A31" s="250" t="inlineStr">
        <is>
          <t>K125</t>
        </is>
      </c>
      <c r="B31" s="250" t="inlineStr">
        <is>
          <t>017-二次</t>
        </is>
      </c>
      <c r="C31" s="250" t="inlineStr">
        <is>
          <t>Vito</t>
        </is>
      </c>
      <c r="D31" s="251" t="inlineStr">
        <is>
          <t>干预</t>
        </is>
      </c>
      <c r="E31" s="251" t="inlineStr">
        <is>
          <t>已补入</t>
        </is>
      </c>
      <c r="F31" s="251" t="inlineStr">
        <is>
          <t>实心方块Target；按阶段竖线取值，Vito/Michael不含Intervention+Prompts。 不同可见高度取整冲突时保留1位小数。</t>
        </is>
      </c>
      <c r="G31" s="250" t="inlineStr">
        <is>
          <t>Figure 1，PDF第10页/印刷171页，第1面板（Vito），Target实心方块</t>
        </is>
      </c>
      <c r="H31" s="251" t="inlineStr">
        <is>
          <t>原PDF矢量方块中心/纵轴0与100刻度校准，视觉复核，百分比整数</t>
        </is>
      </c>
      <c r="I31" s="250" t="inlineStr">
        <is>
          <t>F:/元分析-效应量/Tau-u计算文献/017-二次-E-利用计算机呈现的社会故事和视频示范提高高功能孤独症儿童的社会沟通技能.pdf</t>
        </is>
      </c>
    </row>
    <row r="32" ht="48" customHeight="1" s="176">
      <c r="A32" s="250" t="inlineStr">
        <is>
          <t>K126</t>
        </is>
      </c>
      <c r="B32" s="250" t="inlineStr">
        <is>
          <t>017-二次</t>
        </is>
      </c>
      <c r="C32" s="250" t="inlineStr">
        <is>
          <t>Vito</t>
        </is>
      </c>
      <c r="D32" s="251" t="inlineStr">
        <is>
          <t>维持</t>
        </is>
      </c>
      <c r="E32" s="251" t="inlineStr">
        <is>
          <t>已补入</t>
        </is>
      </c>
      <c r="F32" s="250" t="inlineStr">
        <is>
          <t>Follow-Up四个实心方块。 不同可见高度取整冲突时保留1位小数。</t>
        </is>
      </c>
      <c r="G32" s="250" t="inlineStr">
        <is>
          <t>Figure 1，PDF第10页/印刷171页，第1面板（Vito），Target实心方块Follow-Up</t>
        </is>
      </c>
      <c r="H32" s="251" t="inlineStr">
        <is>
          <t>原PDF矢量方块中心/纵轴刻度校准并视觉复核</t>
        </is>
      </c>
      <c r="I32" s="250" t="inlineStr">
        <is>
          <t>F:/元分析-效应量/Tau-u计算文献/017-二次-E-利用计算机呈现的社会故事和视频示范提高高功能孤独症儿童的社会沟通技能.pdf</t>
        </is>
      </c>
    </row>
    <row r="33" ht="48" customHeight="1" s="176">
      <c r="A33" s="250" t="inlineStr">
        <is>
          <t>K127</t>
        </is>
      </c>
      <c r="B33" s="250" t="inlineStr">
        <is>
          <t>017-二次</t>
        </is>
      </c>
      <c r="C33" s="250" t="inlineStr">
        <is>
          <t>Vito</t>
        </is>
      </c>
      <c r="D33" s="251" t="inlineStr">
        <is>
          <t>泛化</t>
        </is>
      </c>
      <c r="E33" s="251" t="inlineStr">
        <is>
          <t>已补入</t>
        </is>
      </c>
      <c r="F33" s="251" t="inlineStr">
        <is>
          <t>空心圆Generalization；仅取原干预阶段，不含Prompts和Follow-Up。 不同可见高度取整冲突时保留1位小数。</t>
        </is>
      </c>
      <c r="G33" s="250" t="inlineStr">
        <is>
          <t>Figure 1，PDF第10页/印刷171页，第1面板（Vito），Generalization空心圆</t>
        </is>
      </c>
      <c r="H33" s="251" t="inlineStr">
        <is>
          <t>原PDF空心圆矢量中心按图中阶段横坐标划分</t>
        </is>
      </c>
      <c r="I33" s="250" t="inlineStr">
        <is>
          <t>F:/元分析-效应量/Tau-u计算文献/017-二次-E-利用计算机呈现的社会故事和视频示范提高高功能孤独症儿童的社会沟通技能.pdf</t>
        </is>
      </c>
    </row>
    <row r="34" ht="48" customHeight="1" s="176">
      <c r="A34" s="250" t="inlineStr">
        <is>
          <t>K128</t>
        </is>
      </c>
      <c r="B34" s="250" t="inlineStr">
        <is>
          <t>017-二次</t>
        </is>
      </c>
      <c r="C34" s="250" t="inlineStr">
        <is>
          <t>Michael</t>
        </is>
      </c>
      <c r="D34" s="251" t="inlineStr">
        <is>
          <t>干预</t>
        </is>
      </c>
      <c r="E34" s="251" t="inlineStr">
        <is>
          <t>已补入</t>
        </is>
      </c>
      <c r="F34" s="251" t="inlineStr">
        <is>
          <t>实心方块Target；按阶段竖线取值，Vito/Michael不含Intervention+Prompts。 不同可见高度取整冲突时保留1位小数。</t>
        </is>
      </c>
      <c r="G34" s="250" t="inlineStr">
        <is>
          <t>Figure 1，PDF第10页/印刷171页，第2面板（Michael），Target实心方块</t>
        </is>
      </c>
      <c r="H34" s="251" t="inlineStr">
        <is>
          <t>原PDF矢量方块中心/纵轴0与100刻度校准，视觉复核，百分比整数</t>
        </is>
      </c>
      <c r="I34" s="250" t="inlineStr">
        <is>
          <t>F:/元分析-效应量/Tau-u计算文献/017-二次-E-利用计算机呈现的社会故事和视频示范提高高功能孤独症儿童的社会沟通技能.pdf</t>
        </is>
      </c>
    </row>
    <row r="35" ht="48" customHeight="1" s="176">
      <c r="A35" s="250" t="inlineStr">
        <is>
          <t>K129</t>
        </is>
      </c>
      <c r="B35" s="250" t="inlineStr">
        <is>
          <t>017-二次</t>
        </is>
      </c>
      <c r="C35" s="250" t="inlineStr">
        <is>
          <t>Michael</t>
        </is>
      </c>
      <c r="D35" s="251" t="inlineStr">
        <is>
          <t>维持</t>
        </is>
      </c>
      <c r="E35" s="251" t="inlineStr">
        <is>
          <t>已补入</t>
        </is>
      </c>
      <c r="F35" s="250" t="inlineStr">
        <is>
          <t>Follow-Up四个实心方块。 不同可见高度取整冲突时保留1位小数。</t>
        </is>
      </c>
      <c r="G35" s="250" t="inlineStr">
        <is>
          <t>Figure 1，PDF第10页/印刷171页，第2面板（Michael），Target实心方块Follow-Up</t>
        </is>
      </c>
      <c r="H35" s="251" t="inlineStr">
        <is>
          <t>原PDF矢量方块中心/纵轴刻度校准并视觉复核</t>
        </is>
      </c>
      <c r="I35" s="250" t="inlineStr">
        <is>
          <t>F:/元分析-效应量/Tau-u计算文献/017-二次-E-利用计算机呈现的社会故事和视频示范提高高功能孤独症儿童的社会沟通技能.pdf</t>
        </is>
      </c>
    </row>
    <row r="36" ht="48" customHeight="1" s="176">
      <c r="A36" s="250" t="inlineStr">
        <is>
          <t>K130</t>
        </is>
      </c>
      <c r="B36" s="250" t="inlineStr">
        <is>
          <t>017-二次</t>
        </is>
      </c>
      <c r="C36" s="250" t="inlineStr">
        <is>
          <t>Michael</t>
        </is>
      </c>
      <c r="D36" s="251" t="inlineStr">
        <is>
          <t>泛化</t>
        </is>
      </c>
      <c r="E36" s="251" t="inlineStr">
        <is>
          <t>已补入</t>
        </is>
      </c>
      <c r="F36" s="251" t="inlineStr">
        <is>
          <t>空心圆Generalization；仅取原干预阶段，不含Prompts和Follow-Up。 不同可见高度取整冲突时保留1位小数。</t>
        </is>
      </c>
      <c r="G36" s="250" t="inlineStr">
        <is>
          <t>Figure 1，PDF第10页/印刷171页，第2面板（Michael），Generalization空心圆</t>
        </is>
      </c>
      <c r="H36" s="251" t="inlineStr">
        <is>
          <t>原PDF空心圆矢量中心按图中阶段横坐标划分</t>
        </is>
      </c>
      <c r="I36" s="250" t="inlineStr">
        <is>
          <t>F:/元分析-效应量/Tau-u计算文献/017-二次-E-利用计算机呈现的社会故事和视频示范提高高功能孤独症儿童的社会沟通技能.pdf</t>
        </is>
      </c>
    </row>
    <row r="37" ht="48" customHeight="1" s="176">
      <c r="A37" s="250" t="inlineStr">
        <is>
          <t>K131</t>
        </is>
      </c>
      <c r="B37" s="250" t="inlineStr">
        <is>
          <t>017-二次</t>
        </is>
      </c>
      <c r="C37" s="250" t="inlineStr">
        <is>
          <t>Santino</t>
        </is>
      </c>
      <c r="D37" s="251" t="inlineStr">
        <is>
          <t>干预</t>
        </is>
      </c>
      <c r="E37" s="251" t="inlineStr">
        <is>
          <t>已补入</t>
        </is>
      </c>
      <c r="F37" s="251" t="inlineStr">
        <is>
          <t>实心方块Target；按阶段竖线取值，Vito/Michael不含Intervention+Prompts。 不同可见高度取整冲突时保留1位小数。</t>
        </is>
      </c>
      <c r="G37" s="250" t="inlineStr">
        <is>
          <t>Figure 1，PDF第10页/印刷171页，第3面板（Santino），Target实心方块</t>
        </is>
      </c>
      <c r="H37" s="251" t="inlineStr">
        <is>
          <t>原PDF矢量方块中心/纵轴0与100刻度校准，视觉复核，百分比整数</t>
        </is>
      </c>
      <c r="I37" s="250" t="inlineStr">
        <is>
          <t>F:/元分析-效应量/Tau-u计算文献/017-二次-E-利用计算机呈现的社会故事和视频示范提高高功能孤独症儿童的社会沟通技能.pdf</t>
        </is>
      </c>
    </row>
    <row r="38" ht="48" customHeight="1" s="176">
      <c r="A38" s="250" t="inlineStr">
        <is>
          <t>K132</t>
        </is>
      </c>
      <c r="B38" s="250" t="inlineStr">
        <is>
          <t>017-二次</t>
        </is>
      </c>
      <c r="C38" s="250" t="inlineStr">
        <is>
          <t>Santino</t>
        </is>
      </c>
      <c r="D38" s="251" t="inlineStr">
        <is>
          <t>维持</t>
        </is>
      </c>
      <c r="E38" s="251" t="inlineStr">
        <is>
          <t>已补入</t>
        </is>
      </c>
      <c r="F38" s="250" t="inlineStr">
        <is>
          <t>Follow-Up四个实心方块。 不同可见高度取整冲突时保留1位小数。</t>
        </is>
      </c>
      <c r="G38" s="250" t="inlineStr">
        <is>
          <t>Figure 1，PDF第10页/印刷171页，第3面板（Santino），Target实心方块Follow-Up</t>
        </is>
      </c>
      <c r="H38" s="251" t="inlineStr">
        <is>
          <t>原PDF矢量方块中心/纵轴刻度校准并视觉复核</t>
        </is>
      </c>
      <c r="I38" s="250" t="inlineStr">
        <is>
          <t>F:/元分析-效应量/Tau-u计算文献/017-二次-E-利用计算机呈现的社会故事和视频示范提高高功能孤独症儿童的社会沟通技能.pdf</t>
        </is>
      </c>
    </row>
    <row r="39" ht="48" customHeight="1" s="176">
      <c r="A39" s="250" t="inlineStr">
        <is>
          <t>K133</t>
        </is>
      </c>
      <c r="B39" s="250" t="inlineStr">
        <is>
          <t>017-二次</t>
        </is>
      </c>
      <c r="C39" s="250" t="inlineStr">
        <is>
          <t>Santino</t>
        </is>
      </c>
      <c r="D39" s="251" t="inlineStr">
        <is>
          <t>泛化</t>
        </is>
      </c>
      <c r="E39" s="251" t="inlineStr">
        <is>
          <t>已补入</t>
        </is>
      </c>
      <c r="F39" s="251" t="inlineStr">
        <is>
          <t>空心圆Generalization；仅取原干预阶段，不含Prompts和Follow-Up。 不同可见高度取整冲突时保留1位小数。</t>
        </is>
      </c>
      <c r="G39" s="250" t="inlineStr">
        <is>
          <t>Figure 1，PDF第10页/印刷171页，第3面板（Santino），Generalization空心圆</t>
        </is>
      </c>
      <c r="H39" s="251" t="inlineStr">
        <is>
          <t>原PDF空心圆矢量中心按图中阶段横坐标划分</t>
        </is>
      </c>
      <c r="I39" s="250" t="inlineStr">
        <is>
          <t>F:/元分析-效应量/Tau-u计算文献/017-二次-E-利用计算机呈现的社会故事和视频示范提高高功能孤独症儿童的社会沟通技能.pdf</t>
        </is>
      </c>
    </row>
    <row r="40" ht="48" customHeight="1" s="176">
      <c r="A40" s="254" t="inlineStr">
        <is>
          <t>K134</t>
        </is>
      </c>
      <c r="B40" s="254" t="inlineStr">
        <is>
          <t>018-二次</t>
        </is>
      </c>
      <c r="C40" s="254" t="inlineStr">
        <is>
          <t>Luke</t>
        </is>
      </c>
      <c r="D40" s="255" t="inlineStr">
        <is>
          <t>干预</t>
        </is>
      </c>
      <c r="E40" s="255" t="inlineStr">
        <is>
          <t>Claude补入（第二轮）</t>
        </is>
      </c>
      <c r="F40"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Luke基线4点（第1–3、5次；第4次GP、第6次GS剔除），处理期14点（第9–23次，剔除第22次GP）。本K为Self（实心圆）；第12次实心圆被25%方块盖住，记25。　〔GPT原记录：原图为低分辨率栅格，非零点的百分比与方法每条件8题所暗示的步长不能可靠对应，且多个空心/实心标记重叠；放大原图后仍不能无歧义恢复完整逐点数列，未填写估测候选值。〕</t>
        </is>
      </c>
      <c r="G40" s="254" t="inlineStr">
        <is>
          <t>Fig1，PDF10，印刷页149，自上而下第1面板（Luke），Self as Model实心圆</t>
        </is>
      </c>
      <c r="H40" s="255" t="inlineStr">
        <is>
          <t>重新读取原文方法并渲染视觉核查</t>
        </is>
      </c>
      <c r="I40" s="254" t="inlineStr">
        <is>
          <t>F:/元分析-效应量/Tau-u计算文献/018-二次-E-利用视频技术提高孤独症儿童会话技能：“自我”还是“他人”作为示范者更好？.pdf</t>
        </is>
      </c>
    </row>
    <row r="41" ht="48" customHeight="1" s="176">
      <c r="A41" s="254" t="inlineStr">
        <is>
          <t>K135</t>
        </is>
      </c>
      <c r="B41" s="254" t="inlineStr">
        <is>
          <t>018-二次</t>
        </is>
      </c>
      <c r="C41" s="254" t="inlineStr">
        <is>
          <t>Luke</t>
        </is>
      </c>
      <c r="D41" s="255" t="inlineStr">
        <is>
          <t>干预</t>
        </is>
      </c>
      <c r="E41" s="255" t="inlineStr">
        <is>
          <t>Claude补入（第二轮）</t>
        </is>
      </c>
      <c r="F41"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Luke同上。本K为Other（空心方块）。　〔GPT原记录：原图为低分辨率栅格，非零点的百分比与方法每条件8题所暗示的步长不能可靠对应，且多个空心/实心标记重叠；放大原图后仍不能无歧义恢复完整逐点数列，未填写估测候选值。〕</t>
        </is>
      </c>
      <c r="G41" s="254" t="inlineStr">
        <is>
          <t>Fig1，PDF10，印刷页149，自上而下第1面板（Luke），Other as Model空心方形</t>
        </is>
      </c>
      <c r="H41" s="255" t="inlineStr">
        <is>
          <t>重新读取原文方法并渲染视觉核查</t>
        </is>
      </c>
      <c r="I41" s="254" t="inlineStr">
        <is>
          <t>F:/元分析-效应量/Tau-u计算文献/018-二次-E-利用视频技术提高孤独症儿童会话技能：“自我”还是“他人”作为示范者更好？.pdf</t>
        </is>
      </c>
    </row>
    <row r="42" ht="48" customHeight="1" s="176">
      <c r="A42" s="254" t="inlineStr">
        <is>
          <t>K136</t>
        </is>
      </c>
      <c r="B42" s="254" t="inlineStr">
        <is>
          <t>018-二次</t>
        </is>
      </c>
      <c r="C42" s="254" t="inlineStr">
        <is>
          <t>Sam</t>
        </is>
      </c>
      <c r="D42" s="255" t="inlineStr">
        <is>
          <t>干预</t>
        </is>
      </c>
      <c r="E42" s="255" t="inlineStr">
        <is>
          <t>Claude补入（第二轮）</t>
        </is>
      </c>
      <c r="F42"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Sam基线6点（第1–5、7次；第6次GM、第8次GP剔除），处理期15点（第13–32次，剔除第18、20、26次GM和第22、30次GP）。本K为Self；第31、32次实心圆被100%方块盖住，记100。　〔GPT原记录：原图为低分辨率栅格，非零点的百分比与方法每条件8题所暗示的步长不能可靠对应，且多个空心/实心标记重叠；放大原图后仍不能无歧义恢复完整逐点数列，未填写估测候选值。〕</t>
        </is>
      </c>
      <c r="G42" s="254" t="inlineStr">
        <is>
          <t>Fig1，PDF10，印刷页149，自上而下第2面板（Sam），Self as Model实心圆</t>
        </is>
      </c>
      <c r="H42" s="255" t="inlineStr">
        <is>
          <t>重新读取原文方法并渲染视觉核查</t>
        </is>
      </c>
      <c r="I42" s="254" t="inlineStr">
        <is>
          <t>F:/元分析-效应量/Tau-u计算文献/018-二次-E-利用视频技术提高孤独症儿童会话技能：“自我”还是“他人”作为示范者更好？.pdf</t>
        </is>
      </c>
    </row>
    <row r="43" ht="48" customHeight="1" s="176">
      <c r="A43" s="254" t="inlineStr">
        <is>
          <t>K137</t>
        </is>
      </c>
      <c r="B43" s="254" t="inlineStr">
        <is>
          <t>018-二次</t>
        </is>
      </c>
      <c r="C43" s="254" t="inlineStr">
        <is>
          <t>Sam</t>
        </is>
      </c>
      <c r="D43" s="255" t="inlineStr">
        <is>
          <t>干预</t>
        </is>
      </c>
      <c r="E43" s="255" t="inlineStr">
        <is>
          <t>Claude补入（第二轮）</t>
        </is>
      </c>
      <c r="F43"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Sam同上。本K为Other。　〔GPT原记录：原图为低分辨率栅格，非零点的百分比与方法每条件8题所暗示的步长不能可靠对应，且多个空心/实心标记重叠；放大原图后仍不能无歧义恢复完整逐点数列，未填写估测候选值。〕</t>
        </is>
      </c>
      <c r="G43" s="254" t="inlineStr">
        <is>
          <t>Fig1，PDF10，印刷页149，自上而下第2面板（Sam），Other as Model空心方形</t>
        </is>
      </c>
      <c r="H43" s="255" t="inlineStr">
        <is>
          <t>重新读取原文方法并渲染视觉核查</t>
        </is>
      </c>
      <c r="I43" s="254" t="inlineStr">
        <is>
          <t>F:/元分析-效应量/Tau-u计算文献/018-二次-E-利用视频技术提高孤独症儿童会话技能：“自我”还是“他人”作为示范者更好？.pdf</t>
        </is>
      </c>
    </row>
    <row r="44" ht="48" customHeight="1" s="176">
      <c r="A44" s="254" t="inlineStr">
        <is>
          <t>K138</t>
        </is>
      </c>
      <c r="B44" s="254" t="inlineStr">
        <is>
          <t>018-二次</t>
        </is>
      </c>
      <c r="C44" s="254" t="inlineStr">
        <is>
          <t>Joey</t>
        </is>
      </c>
      <c r="D44" s="255" t="inlineStr">
        <is>
          <t>干预</t>
        </is>
      </c>
      <c r="E44" s="255" t="inlineStr">
        <is>
          <t>Claude补入（第二轮）</t>
        </is>
      </c>
      <c r="F44"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oey基线8点（第1–7、9次；第8次GP、第10次GS剔除），处理期17点（第13–29次，剔除第30次GS）。本K为Self；被方块盖住处（第13–15、18、22、23、29次）记方块同值。　〔GPT原记录：原图为低分辨率栅格，非零点的百分比与方法每条件8题所暗示的步长不能可靠对应，且多个空心/实心标记重叠；放大原图后仍不能无歧义恢复完整逐点数列，未填写估测候选值。〕</t>
        </is>
      </c>
      <c r="G44" s="254" t="inlineStr">
        <is>
          <t>Fig1，PDF10，印刷页149，自上而下第3面板（Joey），Self as Model实心圆</t>
        </is>
      </c>
      <c r="H44" s="255" t="inlineStr">
        <is>
          <t>重新读取原文方法并渲染视觉核查</t>
        </is>
      </c>
      <c r="I44" s="254" t="inlineStr">
        <is>
          <t>F:/元分析-效应量/Tau-u计算文献/018-二次-E-利用视频技术提高孤独症儿童会话技能：“自我”还是“他人”作为示范者更好？.pdf</t>
        </is>
      </c>
    </row>
    <row r="45" ht="48" customHeight="1" s="176">
      <c r="A45" s="254" t="inlineStr">
        <is>
          <t>K139</t>
        </is>
      </c>
      <c r="B45" s="254" t="inlineStr">
        <is>
          <t>018-二次</t>
        </is>
      </c>
      <c r="C45" s="254" t="inlineStr">
        <is>
          <t>Joey</t>
        </is>
      </c>
      <c r="D45" s="255" t="inlineStr">
        <is>
          <t>干预</t>
        </is>
      </c>
      <c r="E45" s="255" t="inlineStr">
        <is>
          <t>Claude补入（第二轮）</t>
        </is>
      </c>
      <c r="F45"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oey同上。本K为Other。　〔GPT原记录：原图为低分辨率栅格，非零点的百分比与方法每条件8题所暗示的步长不能可靠对应，且多个空心/实心标记重叠；放大原图后仍不能无歧义恢复完整逐点数列，未填写估测候选值。〕</t>
        </is>
      </c>
      <c r="G45" s="254" t="inlineStr">
        <is>
          <t>Fig1，PDF10，印刷页149，自上而下第3面板（Joey），Other as Model空心方形</t>
        </is>
      </c>
      <c r="H45" s="255" t="inlineStr">
        <is>
          <t>重新读取原文方法并渲染视觉核查</t>
        </is>
      </c>
      <c r="I45" s="254" t="inlineStr">
        <is>
          <t>F:/元分析-效应量/Tau-u计算文献/018-二次-E-利用视频技术提高孤独症儿童会话技能：“自我”还是“他人”作为示范者更好？.pdf</t>
        </is>
      </c>
    </row>
    <row r="46" ht="48" customHeight="1" s="176">
      <c r="A46" s="254" t="inlineStr">
        <is>
          <t>K140</t>
        </is>
      </c>
      <c r="B46" s="254" t="inlineStr">
        <is>
          <t>018-二次</t>
        </is>
      </c>
      <c r="C46" s="254" t="inlineStr">
        <is>
          <t>Jack</t>
        </is>
      </c>
      <c r="D46" s="255" t="inlineStr">
        <is>
          <t>干预</t>
        </is>
      </c>
      <c r="E46" s="255" t="inlineStr">
        <is>
          <t>Claude补入（第二轮）</t>
        </is>
      </c>
      <c r="F46"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ack基线9点（与K142同），处理期7点（第15–21次，剔除第22次GS）。本K为Self；第15次被0%方块、第20次被100%方块盖住。　〔GPT原记录：原图为低分辨率栅格，非零点的百分比与方法每条件8题所暗示的步长不能可靠对应，且多个空心/实心标记重叠；放大原图后仍不能无歧义恢复完整逐点数列，未填写估测候选值。〕</t>
        </is>
      </c>
      <c r="G46" s="254" t="inlineStr">
        <is>
          <t>Fig1，PDF10，印刷页149，自上而下第4面板（Jack），Self as Model实心圆</t>
        </is>
      </c>
      <c r="H46" s="255" t="inlineStr">
        <is>
          <t>重新读取原文方法并渲染视觉核查</t>
        </is>
      </c>
      <c r="I46" s="254" t="inlineStr">
        <is>
          <t>F:/元分析-效应量/Tau-u计算文献/018-二次-E-利用视频技术提高孤独症儿童会话技能：“自我”还是“他人”作为示范者更好？.pdf</t>
        </is>
      </c>
    </row>
    <row r="47" ht="48" customHeight="1" s="176">
      <c r="A47" s="254" t="inlineStr">
        <is>
          <t>K141</t>
        </is>
      </c>
      <c r="B47" s="254" t="inlineStr">
        <is>
          <t>018-二次</t>
        </is>
      </c>
      <c r="C47" s="254" t="inlineStr">
        <is>
          <t>Jack</t>
        </is>
      </c>
      <c r="D47" s="255" t="inlineStr">
        <is>
          <t>干预</t>
        </is>
      </c>
      <c r="E47" s="255" t="inlineStr">
        <is>
          <t>Claude补入（第二轮）</t>
        </is>
      </c>
      <c r="F47"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ack同上。本K为Other；第21次方块（约36%）模板未检出，按图读数。　〔GPT原记录：原图为低分辨率栅格，非零点的百分比与方法每条件8题所暗示的步长不能可靠对应，且多个空心/实心标记重叠；放大原图后仍不能无歧义恢复完整逐点数列，未填写估测候选值。〕</t>
        </is>
      </c>
      <c r="G47" s="254" t="inlineStr">
        <is>
          <t>Fig1，PDF10，印刷页149，自上而下第4面板（Jack），Other as Model空心方形</t>
        </is>
      </c>
      <c r="H47" s="255" t="inlineStr">
        <is>
          <t>重新读取原文方法并渲染视觉核查</t>
        </is>
      </c>
      <c r="I47" s="254" t="inlineStr">
        <is>
          <t>F:/元分析-效应量/Tau-u计算文献/018-二次-E-利用视频技术提高孤独症儿童会话技能：“自我”还是“他人”作为示范者更好？.pdf</t>
        </is>
      </c>
    </row>
    <row r="48" ht="48" customHeight="1" s="176">
      <c r="A48" s="250" t="inlineStr">
        <is>
          <t>K142</t>
        </is>
      </c>
      <c r="B48" s="250" t="inlineStr">
        <is>
          <t>018-二次</t>
        </is>
      </c>
      <c r="C48" s="250" t="inlineStr">
        <is>
          <t>Jack</t>
        </is>
      </c>
      <c r="D48" s="251" t="inlineStr">
        <is>
          <t>维持</t>
        </is>
      </c>
      <c r="E48" s="251" t="inlineStr">
        <is>
          <t>已补入</t>
        </is>
      </c>
      <c r="F48" s="250" t="inlineStr">
        <is>
          <t>Jack基线12个横轴位置中GP、GM、GS各一次属于泛化探测，排除后9个训练点；Follow-up空心方形3点均为0。</t>
        </is>
      </c>
      <c r="G48" s="250" t="inlineStr">
        <is>
          <t>Fig1，PDF10，印刷页149，自上而下第4面板（Jack），Other as Model空心方形</t>
        </is>
      </c>
      <c r="H48" s="251" t="inlineStr">
        <is>
          <t>重新读取原文PDF方法与图，独立视觉核查并按图示时间顺序提取</t>
        </is>
      </c>
      <c r="I48" s="250" t="inlineStr">
        <is>
          <t>F:/元分析-效应量/Tau-u计算文献/018-二次-E-利用视频技术提高孤独症儿童会话技能：“自我”还是“他人”作为示范者更好？.pdf</t>
        </is>
      </c>
    </row>
    <row r="49" ht="48" customHeight="1" s="176">
      <c r="A49" s="254" t="inlineStr">
        <is>
          <t>K143</t>
        </is>
      </c>
      <c r="B49" s="254" t="inlineStr">
        <is>
          <t>018-二次</t>
        </is>
      </c>
      <c r="C49" s="254" t="inlineStr">
        <is>
          <t>Chuck</t>
        </is>
      </c>
      <c r="D49" s="255" t="inlineStr">
        <is>
          <t>干预</t>
        </is>
      </c>
      <c r="E49" s="255" t="inlineStr">
        <is>
          <t>Claude补入（第二轮）</t>
        </is>
      </c>
      <c r="F49"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Chuck基线12点（第1–14次，剔除第4、8次GM），处理期28点（阶段线右侧全部点；处理期横轴无GP/GS/GM标记）。本K为Self；前6个处理点被0%方块盖住，第24个点被约60%方块盖住。　〔GPT原记录：原图为低分辨率栅格，非零点的百分比与方法每条件8题所暗示的步长不能可靠对应，且多个空心/实心标记重叠；放大原图后仍不能无歧义恢复完整逐点数列，未填写估测候选值。〕</t>
        </is>
      </c>
      <c r="G49" s="254" t="inlineStr">
        <is>
          <t>Fig1，PDF10，印刷页149，自上而下第5面板（Chuck），Self as Model实心圆</t>
        </is>
      </c>
      <c r="H49" s="255" t="inlineStr">
        <is>
          <t>重新读取原文方法并渲染视觉核查</t>
        </is>
      </c>
      <c r="I49" s="254" t="inlineStr">
        <is>
          <t>F:/元分析-效应量/Tau-u计算文献/018-二次-E-利用视频技术提高孤独症儿童会话技能：“自我”还是“他人”作为示范者更好？.pdf</t>
        </is>
      </c>
    </row>
    <row r="50" ht="48" customHeight="1" s="176">
      <c r="A50" s="254" t="inlineStr">
        <is>
          <t>K144</t>
        </is>
      </c>
      <c r="B50" s="254" t="inlineStr">
        <is>
          <t>018-二次</t>
        </is>
      </c>
      <c r="C50" s="254" t="inlineStr">
        <is>
          <t>Chuck</t>
        </is>
      </c>
      <c r="D50" s="255" t="inlineStr">
        <is>
          <t>干预</t>
        </is>
      </c>
      <c r="E50" s="255" t="inlineStr">
        <is>
          <t>Claude补入（第二轮）</t>
        </is>
      </c>
      <c r="F50" s="255"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Chuck同上。本K为Other。　〔GPT原记录：原图为低分辨率栅格，非零点的百分比与方法每条件8题所暗示的步长不能可靠对应，且多个空心/实心标记重叠；放大原图后仍不能无歧义恢复完整逐点数列，未填写估测候选值。〕</t>
        </is>
      </c>
      <c r="G50" s="254" t="inlineStr">
        <is>
          <t>Fig1，PDF10，印刷页149，自上而下第5面板（Chuck），Other as Model空心方形</t>
        </is>
      </c>
      <c r="H50" s="255" t="inlineStr">
        <is>
          <t>重新读取原文方法并渲染视觉核查</t>
        </is>
      </c>
      <c r="I50" s="254" t="inlineStr">
        <is>
          <t>F:/元分析-效应量/Tau-u计算文献/018-二次-E-利用视频技术提高孤独症儿童会话技能：“自我”还是“他人”作为示范者更好？.pdf</t>
        </is>
      </c>
    </row>
    <row r="51" ht="63.75" customHeight="1" s="176">
      <c r="A51" s="252" t="inlineStr">
        <is>
          <t>K169</t>
        </is>
      </c>
      <c r="B51" s="252" t="inlineStr">
        <is>
          <t>026-二次</t>
        </is>
      </c>
      <c r="C51" s="252" t="inlineStr">
        <is>
          <t>Taylor</t>
        </is>
      </c>
      <c r="D51" s="253" t="inlineStr">
        <is>
          <t>干预</t>
        </is>
      </c>
      <c r="E51" s="252" t="inlineStr">
        <is>
          <t>Claude补入</t>
        </is>
      </c>
      <c r="F51"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Taylor VSM第5点按图为0.8（非整数，但不是均值，正文称该日有1次发起），保留；VSM均值按图0.96、表1写1.4，以图为准。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1" s="252" t="inlineStr">
        <is>
          <t>Figure 1，PDF 7 / 印刷页7，自上而下第1面板（Taylor）；符号见原图图例</t>
        </is>
      </c>
      <c r="H51" s="253" t="inlineStr">
        <is>
          <t>重新读取原文方法并渲染视觉核查</t>
        </is>
      </c>
      <c r="I51" s="252" t="inlineStr">
        <is>
          <t>F:/元分析-效应量/Tau-u计算文献/026-二次-E-利用视频自我示范促进发展性障碍幼儿的社会发起行为.pdf</t>
        </is>
      </c>
    </row>
    <row r="52" ht="63.75" customHeight="1" s="176">
      <c r="A52" s="252" t="inlineStr">
        <is>
          <t>K170</t>
        </is>
      </c>
      <c r="B52" s="252" t="inlineStr">
        <is>
          <t>026-二次</t>
        </is>
      </c>
      <c r="C52" s="252" t="inlineStr">
        <is>
          <t>Taylor</t>
        </is>
      </c>
      <c r="D52" s="253" t="inlineStr">
        <is>
          <t>维持</t>
        </is>
      </c>
      <c r="E52" s="252" t="inlineStr">
        <is>
          <t>Claude补入</t>
        </is>
      </c>
      <c r="F52"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2" s="252" t="inlineStr">
        <is>
          <t>Figure 1，PDF 7 / 印刷页7，自上而下第1面板（Taylor）；符号见原图图例</t>
        </is>
      </c>
      <c r="H52" s="253" t="inlineStr">
        <is>
          <t>重新读取原文方法并渲染视觉核查</t>
        </is>
      </c>
      <c r="I52" s="252" t="inlineStr">
        <is>
          <t>F:/元分析-效应量/Tau-u计算文献/026-二次-E-利用视频自我示范促进发展性障碍幼儿的社会发起行为.pdf</t>
        </is>
      </c>
    </row>
    <row r="53" ht="63.75" customHeight="1" s="176">
      <c r="A53" s="252" t="inlineStr">
        <is>
          <t>K171</t>
        </is>
      </c>
      <c r="B53" s="252" t="inlineStr">
        <is>
          <t>026-二次</t>
        </is>
      </c>
      <c r="C53" s="252" t="inlineStr">
        <is>
          <t>Corey</t>
        </is>
      </c>
      <c r="D53" s="253" t="inlineStr">
        <is>
          <t>干预</t>
        </is>
      </c>
      <c r="E53" s="252" t="inlineStr">
        <is>
          <t>Claude补入</t>
        </is>
      </c>
      <c r="F53"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3" s="252" t="inlineStr">
        <is>
          <t>Figure 1，PDF 7 / 印刷页7，自上而下第3面板（Corey）；符号见原图图例</t>
        </is>
      </c>
      <c r="H53" s="253" t="inlineStr">
        <is>
          <t>重新读取原文方法并渲染视觉核查</t>
        </is>
      </c>
      <c r="I53" s="252" t="inlineStr">
        <is>
          <t>F:/元分析-效应量/Tau-u计算文献/026-二次-E-利用视频自我示范促进发展性障碍幼儿的社会发起行为.pdf</t>
        </is>
      </c>
    </row>
    <row r="54" ht="63.75" customHeight="1" s="176">
      <c r="A54" s="252" t="inlineStr">
        <is>
          <t>K172</t>
        </is>
      </c>
      <c r="B54" s="252" t="inlineStr">
        <is>
          <t>026-二次</t>
        </is>
      </c>
      <c r="C54" s="252" t="inlineStr">
        <is>
          <t>Corey</t>
        </is>
      </c>
      <c r="D54" s="253" t="inlineStr">
        <is>
          <t>维持</t>
        </is>
      </c>
      <c r="E54" s="252" t="inlineStr">
        <is>
          <t>Claude补入</t>
        </is>
      </c>
      <c r="F54"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4" s="252" t="inlineStr">
        <is>
          <t>Figure 1，PDF 7 / 印刷页7，自上而下第3面板（Corey）；符号见原图图例</t>
        </is>
      </c>
      <c r="H54" s="253" t="inlineStr">
        <is>
          <t>重新读取原文方法并渲染视觉核查</t>
        </is>
      </c>
      <c r="I54" s="252" t="inlineStr">
        <is>
          <t>F:/元分析-效应量/Tau-u计算文献/026-二次-E-利用视频自我示范促进发展性障碍幼儿的社会发起行为.pdf</t>
        </is>
      </c>
    </row>
    <row r="55" ht="63.75" customHeight="1" s="176">
      <c r="A55" s="252" t="inlineStr">
        <is>
          <t>K173</t>
        </is>
      </c>
      <c r="B55" s="252" t="inlineStr">
        <is>
          <t>026-二次</t>
        </is>
      </c>
      <c r="C55" s="252" t="inlineStr">
        <is>
          <t>Jonathan</t>
        </is>
      </c>
      <c r="D55" s="253" t="inlineStr">
        <is>
          <t>干预</t>
        </is>
      </c>
      <c r="E55" s="252" t="inlineStr">
        <is>
          <t>Claude补入</t>
        </is>
      </c>
      <c r="F55"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5" s="252" t="inlineStr">
        <is>
          <t>Figure 1，PDF 7 / 印刷页7，自上而下第4面板（Jonathan）；符号见原图图例</t>
        </is>
      </c>
      <c r="H55" s="253" t="inlineStr">
        <is>
          <t>重新读取原文方法并渲染视觉核查</t>
        </is>
      </c>
      <c r="I55" s="252" t="inlineStr">
        <is>
          <t>F:/元分析-效应量/Tau-u计算文献/026-二次-E-利用视频自我示范促进发展性障碍幼儿的社会发起行为.pdf</t>
        </is>
      </c>
    </row>
    <row r="56" ht="63.75" customHeight="1" s="176">
      <c r="A56" s="252" t="inlineStr">
        <is>
          <t>K174</t>
        </is>
      </c>
      <c r="B56" s="252" t="inlineStr">
        <is>
          <t>026-二次</t>
        </is>
      </c>
      <c r="C56" s="252" t="inlineStr">
        <is>
          <t>Jonathan</t>
        </is>
      </c>
      <c r="D56" s="253" t="inlineStr">
        <is>
          <t>维持</t>
        </is>
      </c>
      <c r="E56" s="252" t="inlineStr">
        <is>
          <t>Claude补入</t>
        </is>
      </c>
      <c r="F56" s="253"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6" s="252" t="inlineStr">
        <is>
          <t>Figure 1，PDF 7 / 印刷页7，自上而下第4面板（Jonathan）；符号见原图图例</t>
        </is>
      </c>
      <c r="H56" s="253" t="inlineStr">
        <is>
          <t>重新读取原文方法并渲染视觉核查</t>
        </is>
      </c>
      <c r="I56" s="252" t="inlineStr">
        <is>
          <t>F:/元分析-效应量/Tau-u计算文献/026-二次-E-利用视频自我示范促进发展性障碍幼儿的社会发起行为.pdf</t>
        </is>
      </c>
    </row>
    <row r="57" ht="63.75" customHeight="1" s="176">
      <c r="A57" s="252" t="inlineStr">
        <is>
          <t>K175</t>
        </is>
      </c>
      <c r="B57" s="252" t="inlineStr">
        <is>
          <t>027-二次</t>
        </is>
      </c>
      <c r="C57" s="252" t="inlineStr">
        <is>
          <t>Lucy</t>
        </is>
      </c>
      <c r="D57" s="253" t="inlineStr">
        <is>
          <t>干预</t>
        </is>
      </c>
      <c r="E57" s="252" t="inlineStr">
        <is>
          <t>Claude补入</t>
        </is>
      </c>
      <c r="F57"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7" s="252" t="inlineStr">
        <is>
          <t>Figure 1，PDF 8 / 印刷页32，自上而下第1面板（Lucy）；符号见原图图例</t>
        </is>
      </c>
      <c r="H57" s="253" t="inlineStr">
        <is>
          <t>重新读取原文方法并渲染视觉核查</t>
        </is>
      </c>
      <c r="I57" s="252" t="inlineStr">
        <is>
          <t>F:/元分析-效应量/Tau-u计算文献/027-二次-E-利用视频自我示范促进孤独症谱系障碍学前儿童的社会发起行为.pdf</t>
        </is>
      </c>
    </row>
    <row r="58" ht="63.75" customHeight="1" s="176">
      <c r="A58" s="252" t="inlineStr">
        <is>
          <t>K176</t>
        </is>
      </c>
      <c r="B58" s="252" t="inlineStr">
        <is>
          <t>027-二次</t>
        </is>
      </c>
      <c r="C58" s="252" t="inlineStr">
        <is>
          <t>Lucy</t>
        </is>
      </c>
      <c r="D58" s="253" t="inlineStr">
        <is>
          <t>维持</t>
        </is>
      </c>
      <c r="E58" s="252" t="inlineStr">
        <is>
          <t>Claude补入</t>
        </is>
      </c>
      <c r="F58"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8" s="252" t="inlineStr">
        <is>
          <t>Figure 1，PDF 8 / 印刷页32，自上而下第1面板（Lucy）；符号见原图图例</t>
        </is>
      </c>
      <c r="H58" s="253" t="inlineStr">
        <is>
          <t>重新读取原文方法并渲染视觉核查</t>
        </is>
      </c>
      <c r="I58" s="252" t="inlineStr">
        <is>
          <t>F:/元分析-效应量/Tau-u计算文献/027-二次-E-利用视频自我示范促进孤独症谱系障碍学前儿童的社会发起行为.pdf</t>
        </is>
      </c>
    </row>
    <row r="59" ht="63.75" customHeight="1" s="176">
      <c r="A59" s="252" t="inlineStr">
        <is>
          <t>K177</t>
        </is>
      </c>
      <c r="B59" s="252" t="inlineStr">
        <is>
          <t>027-二次</t>
        </is>
      </c>
      <c r="C59" s="252" t="inlineStr">
        <is>
          <t>Tim</t>
        </is>
      </c>
      <c r="D59" s="253" t="inlineStr">
        <is>
          <t>干预</t>
        </is>
      </c>
      <c r="E59" s="252" t="inlineStr">
        <is>
          <t>Claude补入</t>
        </is>
      </c>
      <c r="F59"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9" s="252" t="inlineStr">
        <is>
          <t>Figure 1，PDF 8 / 印刷页32，自上而下第2面板（Tim）；符号见原图图例</t>
        </is>
      </c>
      <c r="H59" s="253" t="inlineStr">
        <is>
          <t>重新读取原文方法并渲染视觉核查</t>
        </is>
      </c>
      <c r="I59" s="252" t="inlineStr">
        <is>
          <t>F:/元分析-效应量/Tau-u计算文献/027-二次-E-利用视频自我示范促进孤独症谱系障碍学前儿童的社会发起行为.pdf</t>
        </is>
      </c>
    </row>
    <row r="60" ht="63.75" customHeight="1" s="176">
      <c r="A60" s="252" t="inlineStr">
        <is>
          <t>K178</t>
        </is>
      </c>
      <c r="B60" s="252" t="inlineStr">
        <is>
          <t>027-二次</t>
        </is>
      </c>
      <c r="C60" s="252" t="inlineStr">
        <is>
          <t>Tim</t>
        </is>
      </c>
      <c r="D60" s="253" t="inlineStr">
        <is>
          <t>维持</t>
        </is>
      </c>
      <c r="E60" s="252" t="inlineStr">
        <is>
          <t>Claude补入</t>
        </is>
      </c>
      <c r="F60"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0" s="252" t="inlineStr">
        <is>
          <t>Figure 1，PDF 8 / 印刷页32，自上而下第2面板（Tim）；符号见原图图例</t>
        </is>
      </c>
      <c r="H60" s="253" t="inlineStr">
        <is>
          <t>重新读取原文方法并渲染视觉核查</t>
        </is>
      </c>
      <c r="I60" s="252" t="inlineStr">
        <is>
          <t>F:/元分析-效应量/Tau-u计算文献/027-二次-E-利用视频自我示范促进孤独症谱系障碍学前儿童的社会发起行为.pdf</t>
        </is>
      </c>
    </row>
    <row r="61" ht="63.75" customHeight="1" s="176">
      <c r="A61" s="252" t="inlineStr">
        <is>
          <t>K179</t>
        </is>
      </c>
      <c r="B61" s="252" t="inlineStr">
        <is>
          <t>027-二次</t>
        </is>
      </c>
      <c r="C61" s="252" t="inlineStr">
        <is>
          <t>John</t>
        </is>
      </c>
      <c r="D61" s="253" t="inlineStr">
        <is>
          <t>干预</t>
        </is>
      </c>
      <c r="E61" s="252" t="inlineStr">
        <is>
          <t>Claude补入</t>
        </is>
      </c>
      <c r="F61"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1" s="252" t="inlineStr">
        <is>
          <t>Figure 1，PDF 8 / 印刷页32，自上而下第3面板（John）；符号见原图图例</t>
        </is>
      </c>
      <c r="H61" s="253" t="inlineStr">
        <is>
          <t>重新读取原文方法并渲染视觉核查</t>
        </is>
      </c>
      <c r="I61" s="252" t="inlineStr">
        <is>
          <t>F:/元分析-效应量/Tau-u计算文献/027-二次-E-利用视频自我示范促进孤独症谱系障碍学前儿童的社会发起行为.pdf</t>
        </is>
      </c>
    </row>
    <row r="62" ht="63.75" customHeight="1" s="176">
      <c r="A62" s="252" t="inlineStr">
        <is>
          <t>K180</t>
        </is>
      </c>
      <c r="B62" s="252" t="inlineStr">
        <is>
          <t>027-二次</t>
        </is>
      </c>
      <c r="C62" s="252" t="inlineStr">
        <is>
          <t>John</t>
        </is>
      </c>
      <c r="D62" s="253" t="inlineStr">
        <is>
          <t>维持</t>
        </is>
      </c>
      <c r="E62" s="252" t="inlineStr">
        <is>
          <t>Claude补入</t>
        </is>
      </c>
      <c r="F62"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2" s="252" t="inlineStr">
        <is>
          <t>Figure 1，PDF 8 / 印刷页32，自上而下第3面板（John）；符号见原图图例</t>
        </is>
      </c>
      <c r="H62" s="253" t="inlineStr">
        <is>
          <t>重新读取原文方法并渲染视觉核查</t>
        </is>
      </c>
      <c r="I62" s="252" t="inlineStr">
        <is>
          <t>F:/元分析-效应量/Tau-u计算文献/027-二次-E-利用视频自我示范促进孤独症谱系障碍学前儿童的社会发起行为.pdf</t>
        </is>
      </c>
    </row>
    <row r="63" ht="63.75" customHeight="1" s="176">
      <c r="A63" s="252" t="inlineStr">
        <is>
          <t>K181</t>
        </is>
      </c>
      <c r="B63" s="252" t="inlineStr">
        <is>
          <t>027-二次</t>
        </is>
      </c>
      <c r="C63" s="252" t="inlineStr">
        <is>
          <t>Helen</t>
        </is>
      </c>
      <c r="D63" s="253" t="inlineStr">
        <is>
          <t>干预</t>
        </is>
      </c>
      <c r="E63" s="252" t="inlineStr">
        <is>
          <t>Claude补入</t>
        </is>
      </c>
      <c r="F63"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3" s="252" t="inlineStr">
        <is>
          <t>Figure 1，PDF 8 / 印刷页32，自上而下第4面板（Helen）；符号见原图图例</t>
        </is>
      </c>
      <c r="H63" s="253" t="inlineStr">
        <is>
          <t>重新读取原文方法并渲染视觉核查</t>
        </is>
      </c>
      <c r="I63" s="252" t="inlineStr">
        <is>
          <t>F:/元分析-效应量/Tau-u计算文献/027-二次-E-利用视频自我示范促进孤独症谱系障碍学前儿童的社会发起行为.pdf</t>
        </is>
      </c>
    </row>
    <row r="64" ht="63.75" customHeight="1" s="176">
      <c r="A64" s="252" t="inlineStr">
        <is>
          <t>K182</t>
        </is>
      </c>
      <c r="B64" s="252" t="inlineStr">
        <is>
          <t>027-二次</t>
        </is>
      </c>
      <c r="C64" s="252" t="inlineStr">
        <is>
          <t>Helen</t>
        </is>
      </c>
      <c r="D64" s="253" t="inlineStr">
        <is>
          <t>维持</t>
        </is>
      </c>
      <c r="E64" s="252" t="inlineStr">
        <is>
          <t>Claude补入</t>
        </is>
      </c>
      <c r="F64" s="253"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4" s="252" t="inlineStr">
        <is>
          <t>Figure 1，PDF 8 / 印刷页32，自上而下第4面板（Helen）；符号见原图图例</t>
        </is>
      </c>
      <c r="H64" s="253" t="inlineStr">
        <is>
          <t>重新读取原文方法并渲染视觉核查</t>
        </is>
      </c>
      <c r="I64" s="252" t="inlineStr">
        <is>
          <t>F:/元分析-效应量/Tau-u计算文献/027-二次-E-利用视频自我示范促进孤独症谱系障碍学前儿童的社会发起行为.pdf</t>
        </is>
      </c>
    </row>
    <row r="65" ht="48" customHeight="1" s="176">
      <c r="A65" s="250" t="inlineStr">
        <is>
          <t>K183</t>
        </is>
      </c>
      <c r="B65" s="250" t="inlineStr">
        <is>
          <t>029-二次</t>
        </is>
      </c>
      <c r="C65" s="250" t="inlineStr">
        <is>
          <t>Jerry</t>
        </is>
      </c>
      <c r="D65" s="251" t="inlineStr">
        <is>
          <t>干预</t>
        </is>
      </c>
      <c r="E65" s="251" t="inlineStr">
        <is>
          <t>已补入</t>
        </is>
      </c>
      <c r="F65" s="251" t="inlineStr">
        <is>
          <t>黑三角为目标系列；竖实线为干预起点，最右虚线之后Probe不计入；每10分钟含40个15秒区间，据2.5个百分点水平读取，输出整数百分比。</t>
        </is>
      </c>
      <c r="G65" s="250" t="inlineStr">
        <is>
          <t>Figure 1，PDF 8 / 印刷页55，自上而下第1面板（Jerry），三角标记目标序列</t>
        </is>
      </c>
      <c r="H65" s="251" t="inlineStr">
        <is>
          <t>重新读取原文PDF方法与图，独立视觉核查并按图示时间顺序提取</t>
        </is>
      </c>
      <c r="I65" s="250" t="inlineStr">
        <is>
          <t>F:/元分析-效应量/Tau-u计算文献/029-二次-E-利用视频自我示范增加孤独症儿童娱乐活动中的社会发起行为.pdf</t>
        </is>
      </c>
    </row>
    <row r="66" ht="48" customHeight="1" s="176">
      <c r="A66" s="250" t="inlineStr">
        <is>
          <t>K184</t>
        </is>
      </c>
      <c r="B66" s="250" t="inlineStr">
        <is>
          <t>029-二次</t>
        </is>
      </c>
      <c r="C66" s="250" t="inlineStr">
        <is>
          <t>Bob</t>
        </is>
      </c>
      <c r="D66" s="251" t="inlineStr">
        <is>
          <t>干预</t>
        </is>
      </c>
      <c r="E66" s="251" t="inlineStr">
        <is>
          <t>已补入</t>
        </is>
      </c>
      <c r="F66" s="251" t="inlineStr">
        <is>
          <t>实线前13个三角为基线、实线后至Probe前12个为干预；2.5个百分点按整数百分比显示，同高一致。</t>
        </is>
      </c>
      <c r="G66" s="250" t="inlineStr">
        <is>
          <t>Figure 1，PDF 8 / 印刷页55，自上而下第2面板（Bob），三角标记目标序列</t>
        </is>
      </c>
      <c r="H66" s="251" t="inlineStr">
        <is>
          <t>重新读取原文PDF方法与图，独立视觉核查并按图示时间顺序提取</t>
        </is>
      </c>
      <c r="I66" s="250" t="inlineStr">
        <is>
          <t>F:/元分析-效应量/Tau-u计算文献/029-二次-E-利用视频自我示范增加孤独症儿童娱乐活动中的社会发起行为.pdf</t>
        </is>
      </c>
    </row>
    <row r="67" ht="48" customHeight="1" s="176">
      <c r="A67" s="250" t="inlineStr">
        <is>
          <t>K185</t>
        </is>
      </c>
      <c r="B67" s="250" t="inlineStr">
        <is>
          <t>029-二次</t>
        </is>
      </c>
      <c r="C67" s="250" t="inlineStr">
        <is>
          <t>Phil</t>
        </is>
      </c>
      <c r="D67" s="251" t="inlineStr">
        <is>
          <t>干预</t>
        </is>
      </c>
      <c r="E67" s="251" t="inlineStr">
        <is>
          <t>已补入</t>
        </is>
      </c>
      <c r="F67" s="251" t="inlineStr">
        <is>
          <t>基线15点；干预8点，排除右端Probe；阶段内缺测横坐标不补0。</t>
        </is>
      </c>
      <c r="G67" s="250" t="inlineStr">
        <is>
          <t>Figure 1，PDF 8 / 印刷页55，自上而下第3面板（Phil），三角标记目标序列</t>
        </is>
      </c>
      <c r="H67" s="251" t="inlineStr">
        <is>
          <t>重新读取原文PDF方法与图，独立视觉核查并按图示时间顺序提取</t>
        </is>
      </c>
      <c r="I67" s="250" t="inlineStr">
        <is>
          <t>F:/元分析-效应量/Tau-u计算文献/029-二次-E-利用视频自我示范增加孤独症儿童娱乐活动中的社会发起行为.pdf</t>
        </is>
      </c>
    </row>
    <row r="68" ht="48" customHeight="1" s="176">
      <c r="A68" s="250" t="inlineStr">
        <is>
          <t>K186</t>
        </is>
      </c>
      <c r="B68" s="250" t="inlineStr">
        <is>
          <t>030-滚雪球</t>
        </is>
      </c>
      <c r="C68" s="250" t="inlineStr">
        <is>
          <t>Cameron</t>
        </is>
      </c>
      <c r="D68" s="251" t="inlineStr">
        <is>
          <t>干预</t>
        </is>
      </c>
      <c r="E68" s="251" t="inlineStr">
        <is>
          <t>已补入</t>
        </is>
      </c>
      <c r="F68" s="251" t="inlineStr">
        <is>
          <t xml:space="preserve"> 仅实心菱形Training，空心方形Generalization不计入；以图中阶段线划分，缺测空档不补点。</t>
        </is>
      </c>
      <c r="G68" s="250" t="inlineStr">
        <is>
          <t>Figure 1，PDF7/675，自上而下第1面板，实心菱形</t>
        </is>
      </c>
      <c r="H68" s="251" t="inlineStr">
        <is>
          <t>重新读取原文PDF方法与图，独立视觉核查并按图示时间顺序提取</t>
        </is>
      </c>
      <c r="I68" s="250" t="inlineStr">
        <is>
          <t>F:/元分析-效应量/Tau-u计算文献/030-滚雪球-促进自闭症谱系障碍儿童社交技能的运用与泛化.pdf</t>
        </is>
      </c>
    </row>
    <row r="69" ht="48" customHeight="1" s="176">
      <c r="A69" s="250" t="inlineStr">
        <is>
          <t>K187</t>
        </is>
      </c>
      <c r="B69" s="250" t="inlineStr">
        <is>
          <t>030-滚雪球</t>
        </is>
      </c>
      <c r="C69" s="250" t="inlineStr">
        <is>
          <t>Cameron</t>
        </is>
      </c>
      <c r="D69" s="251" t="inlineStr">
        <is>
          <t>维持</t>
        </is>
      </c>
      <c r="E69" s="251" t="inlineStr">
        <is>
          <t>已补入</t>
        </is>
      </c>
      <c r="F69" s="251" t="inlineStr">
        <is>
          <t xml:space="preserve"> 仅实心菱形Training，空心方形Generalization不计入；以图中阶段线划分，缺测空档不补点。</t>
        </is>
      </c>
      <c r="G69" s="250" t="inlineStr">
        <is>
          <t>Figure 1，PDF7/675，自上而下第1面板，实心菱形</t>
        </is>
      </c>
      <c r="H69" s="251" t="inlineStr">
        <is>
          <t>重新读取原文PDF方法与图，独立视觉核查并按图示时间顺序提取</t>
        </is>
      </c>
      <c r="I69" s="250" t="inlineStr">
        <is>
          <t>F:/元分析-效应量/Tau-u计算文献/030-滚雪球-促进自闭症谱系障碍儿童社交技能的运用与泛化.pdf</t>
        </is>
      </c>
    </row>
    <row r="70" ht="48" customHeight="1" s="176">
      <c r="A70" s="250" t="inlineStr">
        <is>
          <t>K188</t>
        </is>
      </c>
      <c r="B70" s="250" t="inlineStr">
        <is>
          <t>030-滚雪球</t>
        </is>
      </c>
      <c r="C70" s="250" t="inlineStr">
        <is>
          <t>Cameron</t>
        </is>
      </c>
      <c r="D70" s="251" t="inlineStr">
        <is>
          <t>干预</t>
        </is>
      </c>
      <c r="E70" s="251" t="inlineStr">
        <is>
          <t>已补入</t>
        </is>
      </c>
      <c r="F70" s="251" t="inlineStr">
        <is>
          <t xml:space="preserve"> 仅实心菱形Training，空心方形Generalization不计入；以图中阶段线划分，缺测空档不补点。</t>
        </is>
      </c>
      <c r="G70" s="250" t="inlineStr">
        <is>
          <t>Figure 1，PDF7/675，自上而下第2面板，实心菱形</t>
        </is>
      </c>
      <c r="H70" s="251" t="inlineStr">
        <is>
          <t>重新读取原文PDF方法与图，独立视觉核查并按图示时间顺序提取</t>
        </is>
      </c>
      <c r="I70" s="250" t="inlineStr">
        <is>
          <t>F:/元分析-效应量/Tau-u计算文献/030-滚雪球-促进自闭症谱系障碍儿童社交技能的运用与泛化.pdf</t>
        </is>
      </c>
    </row>
    <row r="71" ht="48" customHeight="1" s="176">
      <c r="A71" s="250" t="inlineStr">
        <is>
          <t>K189</t>
        </is>
      </c>
      <c r="B71" s="250" t="inlineStr">
        <is>
          <t>030-滚雪球</t>
        </is>
      </c>
      <c r="C71" s="250" t="inlineStr">
        <is>
          <t>Cameron</t>
        </is>
      </c>
      <c r="D71" s="251" t="inlineStr">
        <is>
          <t>维持</t>
        </is>
      </c>
      <c r="E71" s="251" t="inlineStr">
        <is>
          <t>已补入</t>
        </is>
      </c>
      <c r="F71" s="251" t="inlineStr">
        <is>
          <t xml:space="preserve"> 仅实心菱形Training，空心方形Generalization不计入；以图中阶段线划分，缺测空档不补点。</t>
        </is>
      </c>
      <c r="G71" s="250" t="inlineStr">
        <is>
          <t>Figure 1，PDF7/675，自上而下第2面板，实心菱形</t>
        </is>
      </c>
      <c r="H71" s="251" t="inlineStr">
        <is>
          <t>重新读取原文PDF方法与图，独立视觉核查并按图示时间顺序提取</t>
        </is>
      </c>
      <c r="I71" s="250" t="inlineStr">
        <is>
          <t>F:/元分析-效应量/Tau-u计算文献/030-滚雪球-促进自闭症谱系障碍儿童社交技能的运用与泛化.pdf</t>
        </is>
      </c>
    </row>
    <row r="72" ht="48" customHeight="1" s="176">
      <c r="A72" s="250" t="inlineStr">
        <is>
          <t>K190</t>
        </is>
      </c>
      <c r="B72" s="250" t="inlineStr">
        <is>
          <t>030-滚雪球</t>
        </is>
      </c>
      <c r="C72" s="250" t="inlineStr">
        <is>
          <t>Cameron</t>
        </is>
      </c>
      <c r="D72" s="251" t="inlineStr">
        <is>
          <t>干预</t>
        </is>
      </c>
      <c r="E72" s="251" t="inlineStr">
        <is>
          <t>已补入</t>
        </is>
      </c>
      <c r="F72" s="251" t="inlineStr">
        <is>
          <t xml:space="preserve"> 仅实心菱形Training，空心方形Generalization不计入；以图中阶段线划分，缺测空档不补点。</t>
        </is>
      </c>
      <c r="G72" s="250" t="inlineStr">
        <is>
          <t>Figure 1，PDF7/675，自上而下第3面板，实心菱形</t>
        </is>
      </c>
      <c r="H72" s="251" t="inlineStr">
        <is>
          <t>重新读取原文PDF方法与图，独立视觉核查并按图示时间顺序提取</t>
        </is>
      </c>
      <c r="I72" s="250" t="inlineStr">
        <is>
          <t>F:/元分析-效应量/Tau-u计算文献/030-滚雪球-促进自闭症谱系障碍儿童社交技能的运用与泛化.pdf</t>
        </is>
      </c>
    </row>
    <row r="73" ht="48" customHeight="1" s="176">
      <c r="A73" s="250" t="inlineStr">
        <is>
          <t>K191</t>
        </is>
      </c>
      <c r="B73" s="250" t="inlineStr">
        <is>
          <t>030-滚雪球</t>
        </is>
      </c>
      <c r="C73" s="250" t="inlineStr">
        <is>
          <t>Cameron</t>
        </is>
      </c>
      <c r="D73" s="251" t="inlineStr">
        <is>
          <t>维持</t>
        </is>
      </c>
      <c r="E73" s="251" t="inlineStr">
        <is>
          <t>已补入</t>
        </is>
      </c>
      <c r="F73" s="251" t="inlineStr">
        <is>
          <t xml:space="preserve"> 仅实心菱形Training，空心方形Generalization不计入；以图中阶段线划分，缺测空档不补点。</t>
        </is>
      </c>
      <c r="G73" s="250" t="inlineStr">
        <is>
          <t>Figure 1，PDF7/675，自上而下第3面板，实心菱形</t>
        </is>
      </c>
      <c r="H73" s="251" t="inlineStr">
        <is>
          <t>重新读取原文PDF方法与图，独立视觉核查并按图示时间顺序提取</t>
        </is>
      </c>
      <c r="I73" s="250" t="inlineStr">
        <is>
          <t>F:/元分析-效应量/Tau-u计算文献/030-滚雪球-促进自闭症谱系障碍儿童社交技能的运用与泛化.pdf</t>
        </is>
      </c>
    </row>
    <row r="74" ht="48" customHeight="1" s="176">
      <c r="A74" s="250" t="inlineStr">
        <is>
          <t>K192</t>
        </is>
      </c>
      <c r="B74" s="250" t="inlineStr">
        <is>
          <t>030-滚雪球</t>
        </is>
      </c>
      <c r="C74" s="250" t="inlineStr">
        <is>
          <t>Cameron</t>
        </is>
      </c>
      <c r="D74" s="251" t="inlineStr">
        <is>
          <t>干预</t>
        </is>
      </c>
      <c r="E74" s="251" t="inlineStr">
        <is>
          <t>已补入</t>
        </is>
      </c>
      <c r="F74" s="251" t="inlineStr">
        <is>
          <t xml:space="preserve"> 仅实心菱形Training，空心方形Generalization不计入；以图中阶段线划分，缺测空档不补点。</t>
        </is>
      </c>
      <c r="G74" s="250" t="inlineStr">
        <is>
          <t>Figure 1，PDF7/675，自上而下第4面板，实心菱形</t>
        </is>
      </c>
      <c r="H74" s="251" t="inlineStr">
        <is>
          <t>重新读取原文PDF方法与图，独立视觉核查并按图示时间顺序提取</t>
        </is>
      </c>
      <c r="I74" s="250" t="inlineStr">
        <is>
          <t>F:/元分析-效应量/Tau-u计算文献/030-滚雪球-促进自闭症谱系障碍儿童社交技能的运用与泛化.pdf</t>
        </is>
      </c>
    </row>
    <row r="75" ht="48" customHeight="1" s="176">
      <c r="A75" s="250" t="inlineStr">
        <is>
          <t>K193</t>
        </is>
      </c>
      <c r="B75" s="250" t="inlineStr">
        <is>
          <t>030-滚雪球</t>
        </is>
      </c>
      <c r="C75" s="250" t="inlineStr">
        <is>
          <t>Ferris</t>
        </is>
      </c>
      <c r="D75" s="251" t="inlineStr">
        <is>
          <t>干预</t>
        </is>
      </c>
      <c r="E75" s="251" t="inlineStr">
        <is>
          <t>已补入</t>
        </is>
      </c>
      <c r="F75" s="251" t="inlineStr">
        <is>
          <t xml:space="preserve"> 仅实心菱形Training，空心方形Generalization不计入；以图中阶段线划分，缺测空档不补点。</t>
        </is>
      </c>
      <c r="G75" s="250" t="inlineStr">
        <is>
          <t>Figure 3，PDF9/677，自上而下第1面板，实心菱形</t>
        </is>
      </c>
      <c r="H75" s="251" t="inlineStr">
        <is>
          <t>重新读取原文PDF方法与图，独立视觉核查并按图示时间顺序提取</t>
        </is>
      </c>
      <c r="I75" s="250" t="inlineStr">
        <is>
          <t>F:/元分析-效应量/Tau-u计算文献/030-滚雪球-促进自闭症谱系障碍儿童社交技能的运用与泛化.pdf</t>
        </is>
      </c>
    </row>
    <row r="76" ht="48" customHeight="1" s="176">
      <c r="A76" s="250" t="inlineStr">
        <is>
          <t>K194</t>
        </is>
      </c>
      <c r="B76" s="250" t="inlineStr">
        <is>
          <t>030-滚雪球</t>
        </is>
      </c>
      <c r="C76" s="250" t="inlineStr">
        <is>
          <t>Ferris</t>
        </is>
      </c>
      <c r="D76" s="251" t="inlineStr">
        <is>
          <t>维持</t>
        </is>
      </c>
      <c r="E76" s="251" t="inlineStr">
        <is>
          <t>已补入</t>
        </is>
      </c>
      <c r="F76" s="251" t="inlineStr">
        <is>
          <t xml:space="preserve"> 仅实心菱形Training，空心方形Generalization不计入；以图中阶段线划分，缺测空档不补点。</t>
        </is>
      </c>
      <c r="G76" s="250" t="inlineStr">
        <is>
          <t>Figure 3，PDF9/677，自上而下第1面板，实心菱形</t>
        </is>
      </c>
      <c r="H76" s="251" t="inlineStr">
        <is>
          <t>重新读取原文PDF方法与图，独立视觉核查并按图示时间顺序提取</t>
        </is>
      </c>
      <c r="I76" s="250" t="inlineStr">
        <is>
          <t>F:/元分析-效应量/Tau-u计算文献/030-滚雪球-促进自闭症谱系障碍儿童社交技能的运用与泛化.pdf</t>
        </is>
      </c>
    </row>
    <row r="77" ht="48" customHeight="1" s="176">
      <c r="A77" s="250" t="inlineStr">
        <is>
          <t>K195</t>
        </is>
      </c>
      <c r="B77" s="250" t="inlineStr">
        <is>
          <t>030-滚雪球</t>
        </is>
      </c>
      <c r="C77" s="250" t="inlineStr">
        <is>
          <t>Ferris</t>
        </is>
      </c>
      <c r="D77" s="251" t="inlineStr">
        <is>
          <t>干预</t>
        </is>
      </c>
      <c r="E77" s="251" t="inlineStr">
        <is>
          <t>已补入</t>
        </is>
      </c>
      <c r="F77" s="251" t="inlineStr">
        <is>
          <t xml:space="preserve"> 仅实心菱形Training，空心方形Generalization不计入；以图中阶段线划分，缺测空档不补点。</t>
        </is>
      </c>
      <c r="G77" s="250" t="inlineStr">
        <is>
          <t>Figure 3，PDF9/677，自上而下第2面板，实心菱形</t>
        </is>
      </c>
      <c r="H77" s="251" t="inlineStr">
        <is>
          <t>重新读取原文PDF方法与图，独立视觉核查并按图示时间顺序提取</t>
        </is>
      </c>
      <c r="I77" s="250" t="inlineStr">
        <is>
          <t>F:/元分析-效应量/Tau-u计算文献/030-滚雪球-促进自闭症谱系障碍儿童社交技能的运用与泛化.pdf</t>
        </is>
      </c>
    </row>
    <row r="78" ht="48" customHeight="1" s="176">
      <c r="A78" s="250" t="inlineStr">
        <is>
          <t>K196</t>
        </is>
      </c>
      <c r="B78" s="250" t="inlineStr">
        <is>
          <t>030-滚雪球</t>
        </is>
      </c>
      <c r="C78" s="250" t="inlineStr">
        <is>
          <t>Ferris</t>
        </is>
      </c>
      <c r="D78" s="251" t="inlineStr">
        <is>
          <t>维持</t>
        </is>
      </c>
      <c r="E78" s="251" t="inlineStr">
        <is>
          <t>已补入</t>
        </is>
      </c>
      <c r="F78" s="251" t="inlineStr">
        <is>
          <t xml:space="preserve"> 仅实心菱形Training，空心方形Generalization不计入；以图中阶段线划分，缺测空档不补点。</t>
        </is>
      </c>
      <c r="G78" s="250" t="inlineStr">
        <is>
          <t>Figure 3，PDF9/677，自上而下第2面板，实心菱形</t>
        </is>
      </c>
      <c r="H78" s="251" t="inlineStr">
        <is>
          <t>重新读取原文PDF方法与图，独立视觉核查并按图示时间顺序提取</t>
        </is>
      </c>
      <c r="I78" s="250" t="inlineStr">
        <is>
          <t>F:/元分析-效应量/Tau-u计算文献/030-滚雪球-促进自闭症谱系障碍儿童社交技能的运用与泛化.pdf</t>
        </is>
      </c>
    </row>
    <row r="79" ht="48" customHeight="1" s="176">
      <c r="A79" s="250" t="inlineStr">
        <is>
          <t>K197</t>
        </is>
      </c>
      <c r="B79" s="250" t="inlineStr">
        <is>
          <t>030-滚雪球</t>
        </is>
      </c>
      <c r="C79" s="250" t="inlineStr">
        <is>
          <t>Ferris</t>
        </is>
      </c>
      <c r="D79" s="251" t="inlineStr">
        <is>
          <t>干预</t>
        </is>
      </c>
      <c r="E79" s="251" t="inlineStr">
        <is>
          <t>已补入</t>
        </is>
      </c>
      <c r="F79" s="251" t="inlineStr">
        <is>
          <t xml:space="preserve"> 仅实心菱形Training，空心方形Generalization不计入；以图中阶段线划分，缺测空档不补点。</t>
        </is>
      </c>
      <c r="G79" s="250" t="inlineStr">
        <is>
          <t>Figure 3，PDF9/677，自上而下第3面板，实心菱形</t>
        </is>
      </c>
      <c r="H79" s="251" t="inlineStr">
        <is>
          <t>重新读取原文PDF方法与图，独立视觉核查并按图示时间顺序提取</t>
        </is>
      </c>
      <c r="I79" s="250" t="inlineStr">
        <is>
          <t>F:/元分析-效应量/Tau-u计算文献/030-滚雪球-促进自闭症谱系障碍儿童社交技能的运用与泛化.pdf</t>
        </is>
      </c>
    </row>
    <row r="80" ht="48" customHeight="1" s="176">
      <c r="A80" s="250" t="inlineStr">
        <is>
          <t>K198</t>
        </is>
      </c>
      <c r="B80" s="250" t="inlineStr">
        <is>
          <t>030-滚雪球</t>
        </is>
      </c>
      <c r="C80" s="250" t="inlineStr">
        <is>
          <t>Ferris</t>
        </is>
      </c>
      <c r="D80" s="251" t="inlineStr">
        <is>
          <t>维持</t>
        </is>
      </c>
      <c r="E80" s="251" t="inlineStr">
        <is>
          <t>已补入</t>
        </is>
      </c>
      <c r="F80" s="251" t="inlineStr">
        <is>
          <t xml:space="preserve"> 仅实心菱形Training，空心方形Generalization不计入；以图中阶段线划分，缺测空档不补点。</t>
        </is>
      </c>
      <c r="G80" s="250" t="inlineStr">
        <is>
          <t>Figure 3，PDF9/677，自上而下第3面板，实心菱形</t>
        </is>
      </c>
      <c r="H80" s="251" t="inlineStr">
        <is>
          <t>重新读取原文PDF方法与图，独立视觉核查并按图示时间顺序提取</t>
        </is>
      </c>
      <c r="I80" s="250" t="inlineStr">
        <is>
          <t>F:/元分析-效应量/Tau-u计算文献/030-滚雪球-促进自闭症谱系障碍儿童社交技能的运用与泛化.pdf</t>
        </is>
      </c>
    </row>
    <row r="81" ht="48" customHeight="1" s="176">
      <c r="A81" s="250" t="inlineStr">
        <is>
          <t>K199</t>
        </is>
      </c>
      <c r="B81" s="250" t="inlineStr">
        <is>
          <t>030-滚雪球</t>
        </is>
      </c>
      <c r="C81" s="250" t="inlineStr">
        <is>
          <t>Ferris</t>
        </is>
      </c>
      <c r="D81" s="251" t="inlineStr">
        <is>
          <t>干预</t>
        </is>
      </c>
      <c r="E81" s="251" t="inlineStr">
        <is>
          <t>已补入</t>
        </is>
      </c>
      <c r="F81" s="251" t="inlineStr">
        <is>
          <t xml:space="preserve"> 仅实心菱形Training，空心方形Generalization不计入；以图中阶段线划分，缺测空档不补点。</t>
        </is>
      </c>
      <c r="G81" s="250" t="inlineStr">
        <is>
          <t>Figure 3，PDF9/677，自上而下第4面板，实心菱形</t>
        </is>
      </c>
      <c r="H81" s="251" t="inlineStr">
        <is>
          <t>重新读取原文PDF方法与图，独立视觉核查并按图示时间顺序提取</t>
        </is>
      </c>
      <c r="I81" s="250" t="inlineStr">
        <is>
          <t>F:/元分析-效应量/Tau-u计算文献/030-滚雪球-促进自闭症谱系障碍儿童社交技能的运用与泛化.pdf</t>
        </is>
      </c>
    </row>
    <row r="82" ht="48" customHeight="1" s="176">
      <c r="A82" s="254" t="inlineStr">
        <is>
          <t>K220</t>
        </is>
      </c>
      <c r="B82" s="254" t="inlineStr">
        <is>
          <t>032-二次</t>
        </is>
      </c>
      <c r="C82" s="254" t="inlineStr">
        <is>
          <t>Jacob</t>
        </is>
      </c>
      <c r="D82" s="255" t="inlineStr">
        <is>
          <t>干预</t>
        </is>
      </c>
      <c r="E82" s="255" t="inlineStr">
        <is>
          <t>Claude补入（第二轮）</t>
        </is>
      </c>
      <c r="F82" s="255"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Jacob干预9点（第4–6、8–11、13、14次；第7、12次无点）。干预第8次中心为7.8%，低于基线第3点（8.4%）、高于基线第1点（6.9%），为保留这一大小关系记7.8，其余记整数。　〔GPT原记录：原始嵌入图仅544×1142像素（五面板合计）；Jacob基线第3点与干预第8次点只相差约1个原图像素，取整会合并且无法确认是否原始相等，不能可靠保留大小/相等关系。〕</t>
        </is>
      </c>
      <c r="G82" s="254" t="inlineStr">
        <is>
          <t>Figure1，PDF8（原文在线页码8），自上而下第1面板 Jacob；符号见原图图例</t>
        </is>
      </c>
      <c r="H82" s="255" t="inlineStr">
        <is>
          <t>已重新检查原PDF方法、原生图和标记中心；不以60区间理论网格强行推测原始值。</t>
        </is>
      </c>
      <c r="I82" s="254" t="inlineStr">
        <is>
          <t>F:/元分析-效应量/Tau-u计算文献/032-二次-E-面向孤独症谱系障碍儿童的学校社会技能训练.pdf</t>
        </is>
      </c>
    </row>
    <row r="83" ht="48" customHeight="1" s="176">
      <c r="A83" s="250" t="inlineStr">
        <is>
          <t>K221</t>
        </is>
      </c>
      <c r="B83" s="250" t="inlineStr">
        <is>
          <t>032-二次</t>
        </is>
      </c>
      <c r="C83" s="250" t="inlineStr">
        <is>
          <t>Jacob</t>
        </is>
      </c>
      <c r="D83" s="251" t="inlineStr">
        <is>
          <t>维持</t>
        </is>
      </c>
      <c r="E83" s="251" t="inlineStr">
        <is>
          <t>已补入</t>
        </is>
      </c>
      <c r="F83" s="250" t="inlineStr">
        <is>
          <t>BL第1–3次；FU第15–17次。 百分比为图中约读整数。</t>
        </is>
      </c>
      <c r="G83" s="250" t="inlineStr">
        <is>
          <t>Figure1，PDF8（原文在线页码8），自上而下第1面板 Jacob；符号见原图图例</t>
        </is>
      </c>
      <c r="H83" s="251" t="inlineStr">
        <is>
          <t>重新渲染及提取原PDF原始嵌入图，读取实心圆；以每面板0/100刻度校准中心，视觉核查同高度关系。</t>
        </is>
      </c>
      <c r="I83" s="250" t="inlineStr">
        <is>
          <t>F:/元分析-效应量/Tau-u计算文献/032-二次-E-面向孤独症谱系障碍儿童的学校社会技能训练.pdf</t>
        </is>
      </c>
    </row>
    <row r="84" ht="48" customHeight="1" s="176">
      <c r="A84" s="254" t="inlineStr">
        <is>
          <t>K222</t>
        </is>
      </c>
      <c r="B84" s="254" t="inlineStr">
        <is>
          <t>032-二次</t>
        </is>
      </c>
      <c r="C84" s="254" t="inlineStr">
        <is>
          <t>Carl</t>
        </is>
      </c>
      <c r="D84" s="255" t="inlineStr">
        <is>
          <t>干预</t>
        </is>
      </c>
      <c r="E84" s="255" t="inlineStr">
        <is>
          <t>Claude补入（第二轮）</t>
        </is>
      </c>
      <c r="F84" s="255"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Carl干预11点（第4–14次）。　〔GPT原记录：Carl干预段第5次和第14次的点中心高度相近（约42%），差距小于1个百分点；源图分辨率不足以可靠确定相等关系。〕</t>
        </is>
      </c>
      <c r="G84" s="254" t="inlineStr">
        <is>
          <t>Figure1，PDF8（原文在线页码8），自上而下第2面板 Carl；符号见原图图例</t>
        </is>
      </c>
      <c r="H84" s="255" t="inlineStr">
        <is>
          <t>已重新检查原PDF方法、原生图和标记中心；不以60区间理论网格强行推测原始值。</t>
        </is>
      </c>
      <c r="I84" s="254" t="inlineStr">
        <is>
          <t>F:/元分析-效应量/Tau-u计算文献/032-二次-E-面向孤独症谱系障碍儿童的学校社会技能训练.pdf</t>
        </is>
      </c>
    </row>
    <row r="85" ht="48" customHeight="1" s="176">
      <c r="A85" s="250" t="inlineStr">
        <is>
          <t>K223</t>
        </is>
      </c>
      <c r="B85" s="250" t="inlineStr">
        <is>
          <t>032-二次</t>
        </is>
      </c>
      <c r="C85" s="250" t="inlineStr">
        <is>
          <t>Carl</t>
        </is>
      </c>
      <c r="D85" s="251" t="inlineStr">
        <is>
          <t>维持</t>
        </is>
      </c>
      <c r="E85" s="251" t="inlineStr">
        <is>
          <t>已补入</t>
        </is>
      </c>
      <c r="F85" s="250" t="inlineStr">
        <is>
          <t>BL第1–3次；FU第15–17次。 百分比为图中约读整数。</t>
        </is>
      </c>
      <c r="G85" s="250" t="inlineStr">
        <is>
          <t>Figure1，PDF8（原文在线页码8），自上而下第2面板 Carl；符号见原图图例</t>
        </is>
      </c>
      <c r="H85" s="251" t="inlineStr">
        <is>
          <t>重新渲染及提取原PDF原始嵌入图，读取实心圆；以每面板0/100刻度校准中心，视觉核查同高度关系。</t>
        </is>
      </c>
      <c r="I85" s="250" t="inlineStr">
        <is>
          <t>F:/元分析-效应量/Tau-u计算文献/032-二次-E-面向孤独症谱系障碍儿童的学校社会技能训练.pdf</t>
        </is>
      </c>
    </row>
    <row r="86" ht="48" customHeight="1" s="176">
      <c r="A86" s="254" t="inlineStr">
        <is>
          <t>K224</t>
        </is>
      </c>
      <c r="B86" s="254" t="inlineStr">
        <is>
          <t>032-二次</t>
        </is>
      </c>
      <c r="C86" s="254" t="inlineStr">
        <is>
          <t>Edgar</t>
        </is>
      </c>
      <c r="D86" s="255" t="inlineStr">
        <is>
          <t>干预</t>
        </is>
      </c>
      <c r="E86" s="255" t="inlineStr">
        <is>
          <t>Claude补入（第二轮）</t>
        </is>
      </c>
      <c r="F86" s="255"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Edgar干预8点（第6–13次）。　〔GPT原记录：Edgar干预段第7/8次、第9/10次相邻点高度差约1原图像素；无法排除绘图/栅格误差，取整可能改变相等关系。〕</t>
        </is>
      </c>
      <c r="G86" s="254" t="inlineStr">
        <is>
          <t>Figure1，PDF8（原文在线页码8），自上而下第3面板 Edgar；符号见原图图例</t>
        </is>
      </c>
      <c r="H86" s="255" t="inlineStr">
        <is>
          <t>已重新检查原PDF方法、原生图和标记中心；不以60区间理论网格强行推测原始值。</t>
        </is>
      </c>
      <c r="I86" s="254" t="inlineStr">
        <is>
          <t>F:/元分析-效应量/Tau-u计算文献/032-二次-E-面向孤独症谱系障碍儿童的学校社会技能训练.pdf</t>
        </is>
      </c>
    </row>
    <row r="87" ht="48" customHeight="1" s="176">
      <c r="A87" s="250" t="inlineStr">
        <is>
          <t>K225</t>
        </is>
      </c>
      <c r="B87" s="250" t="inlineStr">
        <is>
          <t>032-二次</t>
        </is>
      </c>
      <c r="C87" s="250" t="inlineStr">
        <is>
          <t>Edgar</t>
        </is>
      </c>
      <c r="D87" s="251" t="inlineStr">
        <is>
          <t>维持</t>
        </is>
      </c>
      <c r="E87" s="251" t="inlineStr">
        <is>
          <t>已补入</t>
        </is>
      </c>
      <c r="F87" s="250" t="inlineStr">
        <is>
          <t>BL第1–5次；FU第14–16次。图中60%的同高度点统一60。 百分比为图中约读整数。</t>
        </is>
      </c>
      <c r="G87" s="250" t="inlineStr">
        <is>
          <t>Figure1，PDF8（原文在线页码8），自上而下第3面板 Edgar；符号见原图图例</t>
        </is>
      </c>
      <c r="H87" s="251" t="inlineStr">
        <is>
          <t>重新渲染及提取原PDF原始嵌入图，读取实心圆；以每面板0/100刻度校准中心，视觉核查同高度关系。</t>
        </is>
      </c>
      <c r="I87" s="250" t="inlineStr">
        <is>
          <t>F:/元分析-效应量/Tau-u计算文献/032-二次-E-面向孤独症谱系障碍儿童的学校社会技能训练.pdf</t>
        </is>
      </c>
    </row>
    <row r="88" ht="48" customHeight="1" s="176">
      <c r="A88" s="254" t="inlineStr">
        <is>
          <t>K226</t>
        </is>
      </c>
      <c r="B88" s="254" t="inlineStr">
        <is>
          <t>032-二次</t>
        </is>
      </c>
      <c r="C88" s="254" t="inlineStr">
        <is>
          <t>Dylan</t>
        </is>
      </c>
      <c r="D88" s="255" t="inlineStr">
        <is>
          <t>干预</t>
        </is>
      </c>
      <c r="E88" s="255" t="inlineStr">
        <is>
          <t>Claude补入（第二轮）</t>
        </is>
      </c>
      <c r="F88" s="255"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Dylan干预10点（第8–17次）。　〔GPT原记录：Dylan干预段约37%的两点和约49%的两点高度接近，取整可能合并可见不同高度；原始嵌入图不足以可靠确定逐点精度。〕</t>
        </is>
      </c>
      <c r="G88" s="254" t="inlineStr">
        <is>
          <t>Figure1，PDF8（原文在线页码8），自上而下第4面板 Dylan；符号见原图图例</t>
        </is>
      </c>
      <c r="H88" s="255" t="inlineStr">
        <is>
          <t>已重新检查原PDF方法、原生图和标记中心；不以60区间理论网格强行推测原始值。</t>
        </is>
      </c>
      <c r="I88" s="254" t="inlineStr">
        <is>
          <t>F:/元分析-效应量/Tau-u计算文献/032-二次-E-面向孤独症谱系障碍儿童的学校社会技能训练.pdf</t>
        </is>
      </c>
    </row>
    <row r="89" ht="48" customHeight="1" s="176">
      <c r="A89" s="250" t="inlineStr">
        <is>
          <t>K227</t>
        </is>
      </c>
      <c r="B89" s="250" t="inlineStr">
        <is>
          <t>032-二次</t>
        </is>
      </c>
      <c r="C89" s="250" t="inlineStr">
        <is>
          <t>Dylan</t>
        </is>
      </c>
      <c r="D89" s="251" t="inlineStr">
        <is>
          <t>维持</t>
        </is>
      </c>
      <c r="E89" s="251" t="inlineStr">
        <is>
          <t>已补入</t>
        </is>
      </c>
      <c r="F89" s="250" t="inlineStr">
        <is>
          <t>BL第1–7次；FU第18–21次。33%、38%同高度点各统一。 百分比为图中约读整数。</t>
        </is>
      </c>
      <c r="G89" s="250" t="inlineStr">
        <is>
          <t>Figure1，PDF8（原文在线页码8），自上而下第4面板 Dylan；符号见原图图例</t>
        </is>
      </c>
      <c r="H89" s="251" t="inlineStr">
        <is>
          <t>重新渲染及提取原PDF原始嵌入图，读取实心圆；以每面板0/100刻度校准中心，视觉核查同高度关系。</t>
        </is>
      </c>
      <c r="I89" s="250" t="inlineStr">
        <is>
          <t>F:/元分析-效应量/Tau-u计算文献/032-二次-E-面向孤独症谱系障碍儿童的学校社会技能训练.pdf</t>
        </is>
      </c>
    </row>
    <row r="90" ht="48" customHeight="1" s="176">
      <c r="A90" s="254" t="inlineStr">
        <is>
          <t>K228</t>
        </is>
      </c>
      <c r="B90" s="254" t="inlineStr">
        <is>
          <t>032-二次</t>
        </is>
      </c>
      <c r="C90" s="254" t="inlineStr">
        <is>
          <t>Louis</t>
        </is>
      </c>
      <c r="D90" s="255" t="inlineStr">
        <is>
          <t>干预</t>
        </is>
      </c>
      <c r="E90" s="255" t="inlineStr">
        <is>
          <t>Claude补入（第二轮）</t>
        </is>
      </c>
      <c r="F90" s="255" t="inlineStr">
        <is>
          <t>【Claude第二轮补入】Claude按原图取点（Figure1 PDF8，544×1142灰度图，按灰度加权求点中心，用每面板11条刻度线标定）。GPT担心的近邻点同高问题：干预段内部的同高与否不影响Tau-U（Tau-U只比较前后段之间和基线内部的大小）；只有前后段之间的近邻点才影响，已按像素中心保留大小关系。Louis基线10点、干预7点（第11–17次）。基线第1点与干预第1点像素中心完全同高（均56.4%），记同值56；基线第8点61.0%与干预第4点59.9%分别记61、60。基线内14.8/14.4/13.0/12.2/11.4/11.4取整后大小顺序不变。　〔GPT原记录：Louis基线约12–15%的数个近邻水平及干预前后约56%的点有亚百分点差异；仅低分辨率栅格不能可靠确定这些点的大小/相等关系。〕</t>
        </is>
      </c>
      <c r="G90" s="254" t="inlineStr">
        <is>
          <t>Figure1，PDF8（原文在线页码8），自上而下第5面板 Louis；符号见原图图例</t>
        </is>
      </c>
      <c r="H90" s="255" t="inlineStr">
        <is>
          <t>已重新检查原PDF方法、原生图和标记中心；不以60区间理论网格强行推测原始值。</t>
        </is>
      </c>
      <c r="I90" s="254" t="inlineStr">
        <is>
          <t>F:/元分析-效应量/Tau-u计算文献/032-二次-E-面向孤独症谱系障碍儿童的学校社会技能训练.pdf</t>
        </is>
      </c>
    </row>
    <row r="91" ht="48" customHeight="1" s="176">
      <c r="A91" s="250" t="inlineStr">
        <is>
          <t>K229</t>
        </is>
      </c>
      <c r="B91" s="250" t="inlineStr">
        <is>
          <t>034-二次</t>
        </is>
      </c>
      <c r="C91" s="250" t="inlineStr">
        <is>
          <t>Matthew</t>
        </is>
      </c>
      <c r="D91" s="251" t="inlineStr">
        <is>
          <t>干预</t>
        </is>
      </c>
      <c r="E91" s="251" t="inlineStr">
        <is>
          <t>已补入</t>
        </is>
      </c>
      <c r="F91" s="251" t="inlineStr">
        <is>
          <t>学校探测为第1和22次，不纳入诊室比较。目光基线2–4、微笑2–6、发起2–11；后段均至第21次。百分比按图整数，不以正文聚合均值反推逐点值。</t>
        </is>
      </c>
      <c r="G91" s="250" t="inlineStr">
        <is>
          <t>Fig1 PDF3／印刷397，自上而下第1面板，Clinic系列；符号见原图图例</t>
        </is>
      </c>
      <c r="H91" s="251" t="inlineStr">
        <is>
          <t>新读取Figure1矢量实心圆和原文Procedure，重新校准各面板0/100纵轴；按原图阶段线确定诊室阶段。</t>
        </is>
      </c>
      <c r="I91" s="250" t="inlineStr">
        <is>
          <t>F:/元分析-效应量/Tau-u计算文献/034-二次-E-社会故事结合视频建模改善一名阿斯伯格儿童的会话技能.pdf</t>
        </is>
      </c>
    </row>
    <row r="92" ht="48" customHeight="1" s="176">
      <c r="A92" s="250" t="inlineStr">
        <is>
          <t>K230</t>
        </is>
      </c>
      <c r="B92" s="250" t="inlineStr">
        <is>
          <t>034-二次</t>
        </is>
      </c>
      <c r="C92" s="250" t="inlineStr">
        <is>
          <t>Matthew</t>
        </is>
      </c>
      <c r="D92" s="251" t="inlineStr">
        <is>
          <t>干预</t>
        </is>
      </c>
      <c r="E92" s="251" t="inlineStr">
        <is>
          <t>已补入</t>
        </is>
      </c>
      <c r="F92" s="251" t="inlineStr">
        <is>
          <t>学校探测为第1和22次，不纳入诊室比较。目光基线2–4、微笑2–6、发起2–11；后段均至第21次。百分比按图整数，不以正文聚合均值反推逐点值。</t>
        </is>
      </c>
      <c r="G92" s="250" t="inlineStr">
        <is>
          <t>Fig1 PDF3／印刷397，自上而下第2面板，Clinic系列；符号见原图图例</t>
        </is>
      </c>
      <c r="H92" s="251" t="inlineStr">
        <is>
          <t>新读取Figure1矢量实心圆和原文Procedure，重新校准各面板0/100纵轴；按原图阶段线确定诊室阶段。</t>
        </is>
      </c>
      <c r="I92" s="250" t="inlineStr">
        <is>
          <t>F:/元分析-效应量/Tau-u计算文献/034-二次-E-社会故事结合视频建模改善一名阿斯伯格儿童的会话技能.pdf</t>
        </is>
      </c>
    </row>
    <row r="93" ht="48" customHeight="1" s="176">
      <c r="A93" s="250" t="inlineStr">
        <is>
          <t>K231</t>
        </is>
      </c>
      <c r="B93" s="250" t="inlineStr">
        <is>
          <t>034-二次</t>
        </is>
      </c>
      <c r="C93" s="250" t="inlineStr">
        <is>
          <t>Matthew</t>
        </is>
      </c>
      <c r="D93" s="251" t="inlineStr">
        <is>
          <t>干预</t>
        </is>
      </c>
      <c r="E93" s="251" t="inlineStr">
        <is>
          <t>已补入</t>
        </is>
      </c>
      <c r="F93" s="251" t="inlineStr">
        <is>
          <t>学校探测为第1和22次，不纳入诊室比较。目光基线2–4、微笑2–6、发起2–11；后段均至第21次。百分比按图整数，不以正文聚合均值反推逐点值。</t>
        </is>
      </c>
      <c r="G93" s="250" t="inlineStr">
        <is>
          <t>Fig1 PDF3／印刷397，自上而下第3面板，Clinic系列；符号见原图图例</t>
        </is>
      </c>
      <c r="H93" s="251" t="inlineStr">
        <is>
          <t>新读取Figure1矢量实心圆和原文Procedure，重新校准各面板0/100纵轴；按原图阶段线确定诊室阶段。</t>
        </is>
      </c>
      <c r="I93" s="250" t="inlineStr">
        <is>
          <t>F:/元分析-效应量/Tau-u计算文献/034-二次-E-社会故事结合视频建模改善一名阿斯伯格儿童的会话技能.pdf</t>
        </is>
      </c>
    </row>
    <row r="94" ht="48" customHeight="1" s="176">
      <c r="A94" s="250" t="inlineStr">
        <is>
          <t>K232</t>
        </is>
      </c>
      <c r="B94" s="250" t="inlineStr">
        <is>
          <t>035-二次</t>
        </is>
      </c>
      <c r="C94" s="250" t="inlineStr">
        <is>
          <t>James</t>
        </is>
      </c>
      <c r="D94" s="251" t="inlineStr">
        <is>
          <t>干预</t>
        </is>
      </c>
      <c r="E94" s="251" t="inlineStr">
        <is>
          <t>已补入</t>
        </is>
      </c>
      <c r="F94" s="251" t="inlineStr">
        <is>
          <t>百分比按图取整数；训练圆点与泛化三角分别计入，包括各自真实叠点。泛化后段只取本技能INT。</t>
        </is>
      </c>
      <c r="G94" s="250" t="inlineStr">
        <is>
          <t>Figure1，PDF15/246，自上而下第1面板，实心圆</t>
        </is>
      </c>
      <c r="H94" s="251" t="inlineStr">
        <is>
          <t>重新读取原PDF矢量圆点/倒三角坐标，依据原图0–100刻度校准及阶段虚线分段；逐页视觉复核，排除坐标轴外图例。</t>
        </is>
      </c>
      <c r="I94" s="250" t="inlineStr">
        <is>
          <t>F:/元分析-效应量/Tau-u计算文献/035-二次-E-社会技能干预对孤独症谱系障碍儿童及具有相同技能缺陷同伴的影响.pdf</t>
        </is>
      </c>
    </row>
    <row r="95" ht="48" customHeight="1" s="176">
      <c r="A95" s="250" t="inlineStr">
        <is>
          <t>K233</t>
        </is>
      </c>
      <c r="B95" s="250" t="inlineStr">
        <is>
          <t>035-二次</t>
        </is>
      </c>
      <c r="C95" s="250" t="inlineStr">
        <is>
          <t>James</t>
        </is>
      </c>
      <c r="D95" s="251" t="inlineStr">
        <is>
          <t>维持</t>
        </is>
      </c>
      <c r="E95" s="251" t="inlineStr">
        <is>
          <t>已补入</t>
        </is>
      </c>
      <c r="F95" s="251" t="inlineStr">
        <is>
          <t>百分比按图取整数；训练圆点与泛化三角分别计入，包括各自真实叠点。泛化后段只取本技能INT。</t>
        </is>
      </c>
      <c r="G95" s="250" t="inlineStr">
        <is>
          <t>Figure1，PDF15/246，自上而下第1面板，实心圆</t>
        </is>
      </c>
      <c r="H95" s="251" t="inlineStr">
        <is>
          <t>重新读取原PDF矢量圆点/倒三角坐标，依据原图0–100刻度校准及阶段虚线分段；逐页视觉复核，排除坐标轴外图例。</t>
        </is>
      </c>
      <c r="I95" s="250" t="inlineStr">
        <is>
          <t>F:/元分析-效应量/Tau-u计算文献/035-二次-E-社会技能干预对孤独症谱系障碍儿童及具有相同技能缺陷同伴的影响.pdf</t>
        </is>
      </c>
    </row>
    <row r="96" ht="48" customHeight="1" s="176">
      <c r="A96" s="250" t="inlineStr">
        <is>
          <t>K234</t>
        </is>
      </c>
      <c r="B96" s="250" t="inlineStr">
        <is>
          <t>035-二次</t>
        </is>
      </c>
      <c r="C96" s="250" t="inlineStr">
        <is>
          <t>James</t>
        </is>
      </c>
      <c r="D96" s="251" t="inlineStr">
        <is>
          <t>泛化</t>
        </is>
      </c>
      <c r="E96" s="251" t="inlineStr">
        <is>
          <t>已补入</t>
        </is>
      </c>
      <c r="F96" s="251" t="inlineStr">
        <is>
          <t>百分比按图取整数；训练圆点与泛化三角分别计入，包括各自真实叠点。泛化后段只取本技能INT。</t>
        </is>
      </c>
      <c r="G96" s="250" t="inlineStr">
        <is>
          <t>Figure1，PDF15/246，自上而下第1面板，空心倒三角</t>
        </is>
      </c>
      <c r="H96" s="251" t="inlineStr">
        <is>
          <t>重新读取原PDF矢量圆点/倒三角坐标，依据原图0–100刻度校准及阶段虚线分段；逐页视觉复核，排除坐标轴外图例。</t>
        </is>
      </c>
      <c r="I96" s="250" t="inlineStr">
        <is>
          <t>F:/元分析-效应量/Tau-u计算文献/035-二次-E-社会技能干预对孤独症谱系障碍儿童及具有相同技能缺陷同伴的影响.pdf</t>
        </is>
      </c>
    </row>
    <row r="97" ht="48" customHeight="1" s="176">
      <c r="A97" s="250" t="inlineStr">
        <is>
          <t>K235</t>
        </is>
      </c>
      <c r="B97" s="250" t="inlineStr">
        <is>
          <t>035-二次</t>
        </is>
      </c>
      <c r="C97" s="250" t="inlineStr">
        <is>
          <t>James</t>
        </is>
      </c>
      <c r="D97" s="251" t="inlineStr">
        <is>
          <t>干预</t>
        </is>
      </c>
      <c r="E97" s="251" t="inlineStr">
        <is>
          <t>已补入</t>
        </is>
      </c>
      <c r="F97" s="251" t="inlineStr">
        <is>
          <t>百分比按图取整数；训练圆点与泛化三角分别计入，包括各自真实叠点。泛化后段只取本技能INT。</t>
        </is>
      </c>
      <c r="G97" s="250" t="inlineStr">
        <is>
          <t>Figure1，PDF15/246，自上而下第2面板，实心圆</t>
        </is>
      </c>
      <c r="H97" s="251" t="inlineStr">
        <is>
          <t>重新读取原PDF矢量圆点/倒三角坐标，依据原图0–100刻度校准及阶段虚线分段；逐页视觉复核，排除坐标轴外图例。</t>
        </is>
      </c>
      <c r="I97" s="250" t="inlineStr">
        <is>
          <t>F:/元分析-效应量/Tau-u计算文献/035-二次-E-社会技能干预对孤独症谱系障碍儿童及具有相同技能缺陷同伴的影响.pdf</t>
        </is>
      </c>
    </row>
    <row r="98" ht="48" customHeight="1" s="176">
      <c r="A98" s="250" t="inlineStr">
        <is>
          <t>K236</t>
        </is>
      </c>
      <c r="B98" s="250" t="inlineStr">
        <is>
          <t>035-二次</t>
        </is>
      </c>
      <c r="C98" s="250" t="inlineStr">
        <is>
          <t>James</t>
        </is>
      </c>
      <c r="D98" s="251" t="inlineStr">
        <is>
          <t>维持</t>
        </is>
      </c>
      <c r="E98" s="251" t="inlineStr">
        <is>
          <t>已补入</t>
        </is>
      </c>
      <c r="F98" s="251" t="inlineStr">
        <is>
          <t>百分比按图取整数；训练圆点与泛化三角分别计入，包括各自真实叠点。泛化后段只取本技能INT。</t>
        </is>
      </c>
      <c r="G98" s="250" t="inlineStr">
        <is>
          <t>Figure1，PDF15/246，自上而下第2面板，实心圆</t>
        </is>
      </c>
      <c r="H98" s="251" t="inlineStr">
        <is>
          <t>重新读取原PDF矢量圆点/倒三角坐标，依据原图0–100刻度校准及阶段虚线分段；逐页视觉复核，排除坐标轴外图例。</t>
        </is>
      </c>
      <c r="I98" s="250" t="inlineStr">
        <is>
          <t>F:/元分析-效应量/Tau-u计算文献/035-二次-E-社会技能干预对孤独症谱系障碍儿童及具有相同技能缺陷同伴的影响.pdf</t>
        </is>
      </c>
    </row>
    <row r="99" ht="48" customHeight="1" s="176">
      <c r="A99" s="250" t="inlineStr">
        <is>
          <t>K237</t>
        </is>
      </c>
      <c r="B99" s="250" t="inlineStr">
        <is>
          <t>035-二次</t>
        </is>
      </c>
      <c r="C99" s="250" t="inlineStr">
        <is>
          <t>James</t>
        </is>
      </c>
      <c r="D99" s="251" t="inlineStr">
        <is>
          <t>泛化</t>
        </is>
      </c>
      <c r="E99" s="251" t="inlineStr">
        <is>
          <t>已补入</t>
        </is>
      </c>
      <c r="F99" s="251" t="inlineStr">
        <is>
          <t>百分比按图取整数；训练圆点与泛化三角分别计入，包括各自真实叠点。泛化后段只取本技能INT。</t>
        </is>
      </c>
      <c r="G99" s="250" t="inlineStr">
        <is>
          <t>Figure1，PDF15/246，自上而下第2面板，空心倒三角</t>
        </is>
      </c>
      <c r="H99" s="251" t="inlineStr">
        <is>
          <t>重新读取原PDF矢量圆点/倒三角坐标，依据原图0–100刻度校准及阶段虚线分段；逐页视觉复核，排除坐标轴外图例。</t>
        </is>
      </c>
      <c r="I99" s="250" t="inlineStr">
        <is>
          <t>F:/元分析-效应量/Tau-u计算文献/035-二次-E-社会技能干预对孤独症谱系障碍儿童及具有相同技能缺陷同伴的影响.pdf</t>
        </is>
      </c>
    </row>
    <row r="100" ht="48" customHeight="1" s="176">
      <c r="A100" s="250" t="inlineStr">
        <is>
          <t>K238</t>
        </is>
      </c>
      <c r="B100" s="250" t="inlineStr">
        <is>
          <t>035-二次</t>
        </is>
      </c>
      <c r="C100" s="250" t="inlineStr">
        <is>
          <t>James</t>
        </is>
      </c>
      <c r="D100" s="251" t="inlineStr">
        <is>
          <t>干预</t>
        </is>
      </c>
      <c r="E100" s="251" t="inlineStr">
        <is>
          <t>已补入</t>
        </is>
      </c>
      <c r="F100" s="251" t="inlineStr">
        <is>
          <t>百分比按图取整数；训练圆点与泛化三角分别计入，包括各自真实叠点。泛化后段只取本技能INT。</t>
        </is>
      </c>
      <c r="G100" s="250" t="inlineStr">
        <is>
          <t>Figure1，PDF15/246，自上而下第3面板，实心圆</t>
        </is>
      </c>
      <c r="H100" s="251" t="inlineStr">
        <is>
          <t>重新读取原PDF矢量圆点/倒三角坐标，依据原图0–100刻度校准及阶段虚线分段；逐页视觉复核，排除坐标轴外图例。</t>
        </is>
      </c>
      <c r="I100" s="250" t="inlineStr">
        <is>
          <t>F:/元分析-效应量/Tau-u计算文献/035-二次-E-社会技能干预对孤独症谱系障碍儿童及具有相同技能缺陷同伴的影响.pdf</t>
        </is>
      </c>
    </row>
    <row r="101" ht="48" customHeight="1" s="176">
      <c r="A101" s="250" t="inlineStr">
        <is>
          <t>K239</t>
        </is>
      </c>
      <c r="B101" s="250" t="inlineStr">
        <is>
          <t>035-二次</t>
        </is>
      </c>
      <c r="C101" s="250" t="inlineStr">
        <is>
          <t>James</t>
        </is>
      </c>
      <c r="D101" s="251" t="inlineStr">
        <is>
          <t>维持</t>
        </is>
      </c>
      <c r="E101" s="251" t="inlineStr">
        <is>
          <t>已补入</t>
        </is>
      </c>
      <c r="F101" s="251" t="inlineStr">
        <is>
          <t>百分比按图取整数；训练圆点与泛化三角分别计入，包括各自真实叠点。泛化后段只取本技能INT。</t>
        </is>
      </c>
      <c r="G101" s="250" t="inlineStr">
        <is>
          <t>Figure1，PDF15/246，自上而下第3面板，实心圆</t>
        </is>
      </c>
      <c r="H101" s="251" t="inlineStr">
        <is>
          <t>重新读取原PDF矢量圆点/倒三角坐标，依据原图0–100刻度校准及阶段虚线分段；逐页视觉复核，排除坐标轴外图例。</t>
        </is>
      </c>
      <c r="I101" s="250" t="inlineStr">
        <is>
          <t>F:/元分析-效应量/Tau-u计算文献/035-二次-E-社会技能干预对孤独症谱系障碍儿童及具有相同技能缺陷同伴的影响.pdf</t>
        </is>
      </c>
    </row>
    <row r="102" ht="48" customHeight="1" s="176">
      <c r="A102" s="250" t="inlineStr">
        <is>
          <t>K240</t>
        </is>
      </c>
      <c r="B102" s="250" t="inlineStr">
        <is>
          <t>035-二次</t>
        </is>
      </c>
      <c r="C102" s="250" t="inlineStr">
        <is>
          <t>James</t>
        </is>
      </c>
      <c r="D102" s="251" t="inlineStr">
        <is>
          <t>泛化</t>
        </is>
      </c>
      <c r="E102" s="251" t="inlineStr">
        <is>
          <t>已补入</t>
        </is>
      </c>
      <c r="F102" s="251" t="inlineStr">
        <is>
          <t>百分比按图取整数；训练圆点与泛化三角分别计入，包括各自真实叠点。泛化后段只取本技能INT。</t>
        </is>
      </c>
      <c r="G102" s="250" t="inlineStr">
        <is>
          <t>Figure1，PDF15/246，自上而下第3面板，空心倒三角</t>
        </is>
      </c>
      <c r="H102" s="251" t="inlineStr">
        <is>
          <t>重新读取原PDF矢量圆点/倒三角坐标，依据原图0–100刻度校准及阶段虚线分段；逐页视觉复核，排除坐标轴外图例。</t>
        </is>
      </c>
      <c r="I102" s="250" t="inlineStr">
        <is>
          <t>F:/元分析-效应量/Tau-u计算文献/035-二次-E-社会技能干预对孤独症谱系障碍儿童及具有相同技能缺陷同伴的影响.pdf</t>
        </is>
      </c>
    </row>
    <row r="103" ht="48" customHeight="1" s="176">
      <c r="A103" s="250" t="inlineStr">
        <is>
          <t>K241</t>
        </is>
      </c>
      <c r="B103" s="250" t="inlineStr">
        <is>
          <t>035-二次</t>
        </is>
      </c>
      <c r="C103" s="250" t="inlineStr">
        <is>
          <t>James</t>
        </is>
      </c>
      <c r="D103" s="251" t="inlineStr">
        <is>
          <t>干预</t>
        </is>
      </c>
      <c r="E103" s="251" t="inlineStr">
        <is>
          <t>已补入</t>
        </is>
      </c>
      <c r="F103" s="251" t="inlineStr">
        <is>
          <t>百分比按图取整数；训练圆点与泛化三角分别计入，包括各自真实叠点。泛化后段只取本技能INT。</t>
        </is>
      </c>
      <c r="G103" s="250" t="inlineStr">
        <is>
          <t>Figure1，PDF15/246，自上而下第4面板，实心圆</t>
        </is>
      </c>
      <c r="H103" s="251" t="inlineStr">
        <is>
          <t>重新读取原PDF矢量圆点/倒三角坐标，依据原图0–100刻度校准及阶段虚线分段；逐页视觉复核，排除坐标轴外图例。</t>
        </is>
      </c>
      <c r="I103" s="250" t="inlineStr">
        <is>
          <t>F:/元分析-效应量/Tau-u计算文献/035-二次-E-社会技能干预对孤独症谱系障碍儿童及具有相同技能缺陷同伴的影响.pdf</t>
        </is>
      </c>
    </row>
    <row r="104" ht="48" customHeight="1" s="176">
      <c r="A104" s="250" t="inlineStr">
        <is>
          <t>K242</t>
        </is>
      </c>
      <c r="B104" s="250" t="inlineStr">
        <is>
          <t>035-二次</t>
        </is>
      </c>
      <c r="C104" s="250" t="inlineStr">
        <is>
          <t>James</t>
        </is>
      </c>
      <c r="D104" s="251" t="inlineStr">
        <is>
          <t>泛化</t>
        </is>
      </c>
      <c r="E104" s="251" t="inlineStr">
        <is>
          <t>已补入</t>
        </is>
      </c>
      <c r="F104" s="251" t="inlineStr">
        <is>
          <t>百分比按图取整数；训练圆点与泛化三角分别计入，包括各自真实叠点。泛化后段只取本技能INT。</t>
        </is>
      </c>
      <c r="G104" s="250" t="inlineStr">
        <is>
          <t>Figure1，PDF15/246，自上而下第4面板，空心倒三角</t>
        </is>
      </c>
      <c r="H104" s="251" t="inlineStr">
        <is>
          <t>重新读取原PDF矢量圆点/倒三角坐标，依据原图0–100刻度校准及阶段虚线分段；逐页视觉复核，排除坐标轴外图例。</t>
        </is>
      </c>
      <c r="I104" s="250" t="inlineStr">
        <is>
          <t>F:/元分析-效应量/Tau-u计算文献/035-二次-E-社会技能干预对孤独症谱系障碍儿童及具有相同技能缺陷同伴的影响.pdf</t>
        </is>
      </c>
    </row>
    <row r="105" ht="48" customHeight="1" s="176">
      <c r="A105" s="250" t="inlineStr">
        <is>
          <t>K243</t>
        </is>
      </c>
      <c r="B105" s="250" t="inlineStr">
        <is>
          <t>035-二次</t>
        </is>
      </c>
      <c r="C105" s="250" t="inlineStr">
        <is>
          <t>Ryan</t>
        </is>
      </c>
      <c r="D105" s="251" t="inlineStr">
        <is>
          <t>干预</t>
        </is>
      </c>
      <c r="E105" s="251" t="inlineStr">
        <is>
          <t>已补入</t>
        </is>
      </c>
      <c r="F105" s="251" t="inlineStr">
        <is>
          <t>百分比按图取整数；训练圆点与泛化三角分别计入，包括各自真实叠点。泛化后段只取本技能INT。</t>
        </is>
      </c>
      <c r="G105" s="250" t="inlineStr">
        <is>
          <t>Figure2，PDF16/247，自上而下第1面板，实心圆</t>
        </is>
      </c>
      <c r="H105" s="251" t="inlineStr">
        <is>
          <t>重新读取原PDF矢量圆点/倒三角坐标，依据原图0–100刻度校准及阶段虚线分段；逐页视觉复核，排除坐标轴外图例。</t>
        </is>
      </c>
      <c r="I105" s="250" t="inlineStr">
        <is>
          <t>F:/元分析-效应量/Tau-u计算文献/035-二次-E-社会技能干预对孤独症谱系障碍儿童及具有相同技能缺陷同伴的影响.pdf</t>
        </is>
      </c>
    </row>
    <row r="106" ht="48" customHeight="1" s="176">
      <c r="A106" s="250" t="inlineStr">
        <is>
          <t>K244</t>
        </is>
      </c>
      <c r="B106" s="250" t="inlineStr">
        <is>
          <t>035-二次</t>
        </is>
      </c>
      <c r="C106" s="250" t="inlineStr">
        <is>
          <t>Ryan</t>
        </is>
      </c>
      <c r="D106" s="251" t="inlineStr">
        <is>
          <t>维持</t>
        </is>
      </c>
      <c r="E106" s="251" t="inlineStr">
        <is>
          <t>已补入</t>
        </is>
      </c>
      <c r="F106" s="251" t="inlineStr">
        <is>
          <t>百分比按图取整数；训练圆点与泛化三角分别计入，包括各自真实叠点。泛化后段只取本技能INT。</t>
        </is>
      </c>
      <c r="G106" s="250" t="inlineStr">
        <is>
          <t>Figure2，PDF16/247，自上而下第1面板，实心圆</t>
        </is>
      </c>
      <c r="H106" s="251" t="inlineStr">
        <is>
          <t>重新读取原PDF矢量圆点/倒三角坐标，依据原图0–100刻度校准及阶段虚线分段；逐页视觉复核，排除坐标轴外图例。</t>
        </is>
      </c>
      <c r="I106" s="250" t="inlineStr">
        <is>
          <t>F:/元分析-效应量/Tau-u计算文献/035-二次-E-社会技能干预对孤独症谱系障碍儿童及具有相同技能缺陷同伴的影响.pdf</t>
        </is>
      </c>
    </row>
    <row r="107" ht="48" customHeight="1" s="176">
      <c r="A107" s="250" t="inlineStr">
        <is>
          <t>K245</t>
        </is>
      </c>
      <c r="B107" s="250" t="inlineStr">
        <is>
          <t>035-二次</t>
        </is>
      </c>
      <c r="C107" s="250" t="inlineStr">
        <is>
          <t>Ryan</t>
        </is>
      </c>
      <c r="D107" s="251" t="inlineStr">
        <is>
          <t>泛化</t>
        </is>
      </c>
      <c r="E107" s="251" t="inlineStr">
        <is>
          <t>已补入</t>
        </is>
      </c>
      <c r="F107" s="251" t="inlineStr">
        <is>
          <t>百分比按图取整数；训练圆点与泛化三角分别计入，包括各自真实叠点。泛化后段只取本技能INT。</t>
        </is>
      </c>
      <c r="G107" s="250" t="inlineStr">
        <is>
          <t>Figure2，PDF16/247，自上而下第1面板，空心倒三角</t>
        </is>
      </c>
      <c r="H107" s="251" t="inlineStr">
        <is>
          <t>重新读取原PDF矢量圆点/倒三角坐标，依据原图0–100刻度校准及阶段虚线分段；逐页视觉复核，排除坐标轴外图例。</t>
        </is>
      </c>
      <c r="I107" s="250" t="inlineStr">
        <is>
          <t>F:/元分析-效应量/Tau-u计算文献/035-二次-E-社会技能干预对孤独症谱系障碍儿童及具有相同技能缺陷同伴的影响.pdf</t>
        </is>
      </c>
    </row>
    <row r="108" ht="48" customHeight="1" s="176">
      <c r="A108" s="250" t="inlineStr">
        <is>
          <t>K246</t>
        </is>
      </c>
      <c r="B108" s="250" t="inlineStr">
        <is>
          <t>035-二次</t>
        </is>
      </c>
      <c r="C108" s="250" t="inlineStr">
        <is>
          <t>Ryan</t>
        </is>
      </c>
      <c r="D108" s="251" t="inlineStr">
        <is>
          <t>干预</t>
        </is>
      </c>
      <c r="E108" s="251" t="inlineStr">
        <is>
          <t>已补入</t>
        </is>
      </c>
      <c r="F108" s="251" t="inlineStr">
        <is>
          <t>百分比按图取整数；训练圆点与泛化三角分别计入，包括各自真实叠点。泛化后段只取本技能INT。</t>
        </is>
      </c>
      <c r="G108" s="250" t="inlineStr">
        <is>
          <t>Figure2，PDF16/247，自上而下第2面板，实心圆</t>
        </is>
      </c>
      <c r="H108" s="251" t="inlineStr">
        <is>
          <t>重新读取原PDF矢量圆点/倒三角坐标，依据原图0–100刻度校准及阶段虚线分段；逐页视觉复核，排除坐标轴外图例。</t>
        </is>
      </c>
      <c r="I108" s="250" t="inlineStr">
        <is>
          <t>F:/元分析-效应量/Tau-u计算文献/035-二次-E-社会技能干预对孤独症谱系障碍儿童及具有相同技能缺陷同伴的影响.pdf</t>
        </is>
      </c>
    </row>
    <row r="109" ht="48" customHeight="1" s="176">
      <c r="A109" s="250" t="inlineStr">
        <is>
          <t>K247</t>
        </is>
      </c>
      <c r="B109" s="250" t="inlineStr">
        <is>
          <t>035-二次</t>
        </is>
      </c>
      <c r="C109" s="250" t="inlineStr">
        <is>
          <t>Ryan</t>
        </is>
      </c>
      <c r="D109" s="251" t="inlineStr">
        <is>
          <t>维持</t>
        </is>
      </c>
      <c r="E109" s="251" t="inlineStr">
        <is>
          <t>已补入</t>
        </is>
      </c>
      <c r="F109" s="251" t="inlineStr">
        <is>
          <t>百分比按图取整数；训练圆点与泛化三角分别计入，包括各自真实叠点。泛化后段只取本技能INT。</t>
        </is>
      </c>
      <c r="G109" s="250" t="inlineStr">
        <is>
          <t>Figure2，PDF16/247，自上而下第2面板，实心圆</t>
        </is>
      </c>
      <c r="H109" s="251" t="inlineStr">
        <is>
          <t>重新读取原PDF矢量圆点/倒三角坐标，依据原图0–100刻度校准及阶段虚线分段；逐页视觉复核，排除坐标轴外图例。</t>
        </is>
      </c>
      <c r="I109" s="250" t="inlineStr">
        <is>
          <t>F:/元分析-效应量/Tau-u计算文献/035-二次-E-社会技能干预对孤独症谱系障碍儿童及具有相同技能缺陷同伴的影响.pdf</t>
        </is>
      </c>
    </row>
    <row r="110" ht="48" customHeight="1" s="176">
      <c r="A110" s="250" t="inlineStr">
        <is>
          <t>K248</t>
        </is>
      </c>
      <c r="B110" s="250" t="inlineStr">
        <is>
          <t>035-二次</t>
        </is>
      </c>
      <c r="C110" s="250" t="inlineStr">
        <is>
          <t>Ryan</t>
        </is>
      </c>
      <c r="D110" s="251" t="inlineStr">
        <is>
          <t>泛化</t>
        </is>
      </c>
      <c r="E110" s="251" t="inlineStr">
        <is>
          <t>已补入</t>
        </is>
      </c>
      <c r="F110" s="251" t="inlineStr">
        <is>
          <t>百分比按图取整数；训练圆点与泛化三角分别计入，包括各自真实叠点。泛化后段只取本技能INT。</t>
        </is>
      </c>
      <c r="G110" s="250" t="inlineStr">
        <is>
          <t>Figure2，PDF16/247，自上而下第2面板，空心倒三角</t>
        </is>
      </c>
      <c r="H110" s="251" t="inlineStr">
        <is>
          <t>重新读取原PDF矢量圆点/倒三角坐标，依据原图0–100刻度校准及阶段虚线分段；逐页视觉复核，排除坐标轴外图例。</t>
        </is>
      </c>
      <c r="I110" s="250" t="inlineStr">
        <is>
          <t>F:/元分析-效应量/Tau-u计算文献/035-二次-E-社会技能干预对孤独症谱系障碍儿童及具有相同技能缺陷同伴的影响.pdf</t>
        </is>
      </c>
    </row>
    <row r="111" ht="48" customHeight="1" s="176">
      <c r="A111" s="250" t="inlineStr">
        <is>
          <t>K249</t>
        </is>
      </c>
      <c r="B111" s="250" t="inlineStr">
        <is>
          <t>035-二次</t>
        </is>
      </c>
      <c r="C111" s="250" t="inlineStr">
        <is>
          <t>Ryan</t>
        </is>
      </c>
      <c r="D111" s="251" t="inlineStr">
        <is>
          <t>干预</t>
        </is>
      </c>
      <c r="E111" s="251" t="inlineStr">
        <is>
          <t>已补入</t>
        </is>
      </c>
      <c r="F111" s="251" t="inlineStr">
        <is>
          <t>百分比按图取整数；训练圆点与泛化三角分别计入，包括各自真实叠点。泛化后段只取本技能INT。</t>
        </is>
      </c>
      <c r="G111" s="250" t="inlineStr">
        <is>
          <t>Figure2，PDF16/247，自上而下第3面板，实心圆</t>
        </is>
      </c>
      <c r="H111" s="251" t="inlineStr">
        <is>
          <t>重新读取原PDF矢量圆点/倒三角坐标，依据原图0–100刻度校准及阶段虚线分段；逐页视觉复核，排除坐标轴外图例。</t>
        </is>
      </c>
      <c r="I111" s="250" t="inlineStr">
        <is>
          <t>F:/元分析-效应量/Tau-u计算文献/035-二次-E-社会技能干预对孤独症谱系障碍儿童及具有相同技能缺陷同伴的影响.pdf</t>
        </is>
      </c>
    </row>
    <row r="112" ht="48" customHeight="1" s="176">
      <c r="A112" s="250" t="inlineStr">
        <is>
          <t>K250</t>
        </is>
      </c>
      <c r="B112" s="250" t="inlineStr">
        <is>
          <t>035-二次</t>
        </is>
      </c>
      <c r="C112" s="250" t="inlineStr">
        <is>
          <t>Ryan</t>
        </is>
      </c>
      <c r="D112" s="251" t="inlineStr">
        <is>
          <t>维持</t>
        </is>
      </c>
      <c r="E112" s="251" t="inlineStr">
        <is>
          <t>已补入</t>
        </is>
      </c>
      <c r="F112" s="251" t="inlineStr">
        <is>
          <t>百分比按图取整数；训练圆点与泛化三角分别计入，包括各自真实叠点。泛化后段只取本技能INT。</t>
        </is>
      </c>
      <c r="G112" s="250" t="inlineStr">
        <is>
          <t>Figure2，PDF16/247，自上而下第3面板，实心圆</t>
        </is>
      </c>
      <c r="H112" s="251" t="inlineStr">
        <is>
          <t>重新读取原PDF矢量圆点/倒三角坐标，依据原图0–100刻度校准及阶段虚线分段；逐页视觉复核，排除坐标轴外图例。</t>
        </is>
      </c>
      <c r="I112" s="250" t="inlineStr">
        <is>
          <t>F:/元分析-效应量/Tau-u计算文献/035-二次-E-社会技能干预对孤独症谱系障碍儿童及具有相同技能缺陷同伴的影响.pdf</t>
        </is>
      </c>
    </row>
    <row r="113" ht="48" customHeight="1" s="176">
      <c r="A113" s="250" t="inlineStr">
        <is>
          <t>K251</t>
        </is>
      </c>
      <c r="B113" s="250" t="inlineStr">
        <is>
          <t>035-二次</t>
        </is>
      </c>
      <c r="C113" s="250" t="inlineStr">
        <is>
          <t>Ryan</t>
        </is>
      </c>
      <c r="D113" s="251" t="inlineStr">
        <is>
          <t>泛化</t>
        </is>
      </c>
      <c r="E113" s="251" t="inlineStr">
        <is>
          <t>已补入</t>
        </is>
      </c>
      <c r="F113" s="251" t="inlineStr">
        <is>
          <t>百分比按图取整数；训练圆点与泛化三角分别计入，包括各自真实叠点。泛化后段只取本技能INT。</t>
        </is>
      </c>
      <c r="G113" s="250" t="inlineStr">
        <is>
          <t>Figure2，PDF16/247，自上而下第3面板，空心倒三角</t>
        </is>
      </c>
      <c r="H113" s="251" t="inlineStr">
        <is>
          <t>重新读取原PDF矢量圆点/倒三角坐标，依据原图0–100刻度校准及阶段虚线分段；逐页视觉复核，排除坐标轴外图例。</t>
        </is>
      </c>
      <c r="I113" s="250" t="inlineStr">
        <is>
          <t>F:/元分析-效应量/Tau-u计算文献/035-二次-E-社会技能干预对孤独症谱系障碍儿童及具有相同技能缺陷同伴的影响.pdf</t>
        </is>
      </c>
    </row>
    <row r="114" ht="48" customHeight="1" s="176">
      <c r="A114" s="250" t="inlineStr">
        <is>
          <t>K252</t>
        </is>
      </c>
      <c r="B114" s="250" t="inlineStr">
        <is>
          <t>035-二次</t>
        </is>
      </c>
      <c r="C114" s="250" t="inlineStr">
        <is>
          <t>Ryan</t>
        </is>
      </c>
      <c r="D114" s="251" t="inlineStr">
        <is>
          <t>干预</t>
        </is>
      </c>
      <c r="E114" s="251" t="inlineStr">
        <is>
          <t>已补入</t>
        </is>
      </c>
      <c r="F114" s="251" t="inlineStr">
        <is>
          <t>百分比按图取整数；训练圆点与泛化三角分别计入，包括各自真实叠点。泛化后段只取本技能INT。</t>
        </is>
      </c>
      <c r="G114" s="250" t="inlineStr">
        <is>
          <t>Figure2，PDF16/247，自上而下第4面板，实心圆</t>
        </is>
      </c>
      <c r="H114" s="251" t="inlineStr">
        <is>
          <t>重新读取原PDF矢量圆点/倒三角坐标，依据原图0–100刻度校准及阶段虚线分段；逐页视觉复核，排除坐标轴外图例。</t>
        </is>
      </c>
      <c r="I114" s="250" t="inlineStr">
        <is>
          <t>F:/元分析-效应量/Tau-u计算文献/035-二次-E-社会技能干预对孤独症谱系障碍儿童及具有相同技能缺陷同伴的影响.pdf</t>
        </is>
      </c>
    </row>
    <row r="115" ht="48" customHeight="1" s="176">
      <c r="A115" s="250" t="inlineStr">
        <is>
          <t>K253</t>
        </is>
      </c>
      <c r="B115" s="250" t="inlineStr">
        <is>
          <t>035-二次</t>
        </is>
      </c>
      <c r="C115" s="250" t="inlineStr">
        <is>
          <t>Ryan</t>
        </is>
      </c>
      <c r="D115" s="251" t="inlineStr">
        <is>
          <t>泛化</t>
        </is>
      </c>
      <c r="E115" s="251" t="inlineStr">
        <is>
          <t>已补入</t>
        </is>
      </c>
      <c r="F115" s="251" t="inlineStr">
        <is>
          <t>百分比按图取整数；训练圆点与泛化三角分别计入，包括各自真实叠点。泛化后段只取本技能INT。</t>
        </is>
      </c>
      <c r="G115" s="250" t="inlineStr">
        <is>
          <t>Figure2，PDF16/247，自上而下第4面板，空心倒三角</t>
        </is>
      </c>
      <c r="H115" s="251" t="inlineStr">
        <is>
          <t>重新读取原PDF矢量圆点/倒三角坐标，依据原图0–100刻度校准及阶段虚线分段；逐页视觉复核，排除坐标轴外图例。</t>
        </is>
      </c>
      <c r="I115" s="250" t="inlineStr">
        <is>
          <t>F:/元分析-效应量/Tau-u计算文献/035-二次-E-社会技能干预对孤独症谱系障碍儿童及具有相同技能缺陷同伴的影响.pdf</t>
        </is>
      </c>
    </row>
    <row r="116" ht="48" customHeight="1" s="176">
      <c r="A116" s="250" t="inlineStr">
        <is>
          <t>K254</t>
        </is>
      </c>
      <c r="B116" s="250" t="inlineStr">
        <is>
          <t>035-二次</t>
        </is>
      </c>
      <c r="C116" s="250" t="inlineStr">
        <is>
          <t>Andrew</t>
        </is>
      </c>
      <c r="D116" s="251" t="inlineStr">
        <is>
          <t>干预</t>
        </is>
      </c>
      <c r="E116" s="251" t="inlineStr">
        <is>
          <t>已补入</t>
        </is>
      </c>
      <c r="F116" s="251" t="inlineStr">
        <is>
          <t>百分比按图取整数；训练圆点与泛化三角分别计入，包括各自真实叠点。泛化后段只取本技能INT。</t>
        </is>
      </c>
      <c r="G116" s="250" t="inlineStr">
        <is>
          <t>Figure3，PDF19/250，自上而下第1面板，实心圆</t>
        </is>
      </c>
      <c r="H116" s="251" t="inlineStr">
        <is>
          <t>重新读取原PDF矢量圆点/倒三角坐标，依据原图0–100刻度校准及阶段虚线分段；逐页视觉复核，排除坐标轴外图例。</t>
        </is>
      </c>
      <c r="I116" s="250" t="inlineStr">
        <is>
          <t>F:/元分析-效应量/Tau-u计算文献/035-二次-E-社会技能干预对孤独症谱系障碍儿童及具有相同技能缺陷同伴的影响.pdf</t>
        </is>
      </c>
    </row>
    <row r="117" ht="48" customHeight="1" s="176">
      <c r="A117" s="250" t="inlineStr">
        <is>
          <t>K255</t>
        </is>
      </c>
      <c r="B117" s="250" t="inlineStr">
        <is>
          <t>035-二次</t>
        </is>
      </c>
      <c r="C117" s="250" t="inlineStr">
        <is>
          <t>Andrew</t>
        </is>
      </c>
      <c r="D117" s="251" t="inlineStr">
        <is>
          <t>维持</t>
        </is>
      </c>
      <c r="E117" s="251" t="inlineStr">
        <is>
          <t>已补入</t>
        </is>
      </c>
      <c r="F117" s="251" t="inlineStr">
        <is>
          <t>百分比按图取整数；训练圆点与泛化三角分别计入，包括各自真实叠点。泛化后段只取本技能INT。</t>
        </is>
      </c>
      <c r="G117" s="250" t="inlineStr">
        <is>
          <t>Figure3，PDF19/250，自上而下第1面板，实心圆</t>
        </is>
      </c>
      <c r="H117" s="251" t="inlineStr">
        <is>
          <t>重新读取原PDF矢量圆点/倒三角坐标，依据原图0–100刻度校准及阶段虚线分段；逐页视觉复核，排除坐标轴外图例。</t>
        </is>
      </c>
      <c r="I117" s="250" t="inlineStr">
        <is>
          <t>F:/元分析-效应量/Tau-u计算文献/035-二次-E-社会技能干预对孤独症谱系障碍儿童及具有相同技能缺陷同伴的影响.pdf</t>
        </is>
      </c>
    </row>
    <row r="118" ht="48" customHeight="1" s="176">
      <c r="A118" s="250" t="inlineStr">
        <is>
          <t>K256</t>
        </is>
      </c>
      <c r="B118" s="250" t="inlineStr">
        <is>
          <t>035-二次</t>
        </is>
      </c>
      <c r="C118" s="250" t="inlineStr">
        <is>
          <t>Andrew</t>
        </is>
      </c>
      <c r="D118" s="251" t="inlineStr">
        <is>
          <t>泛化</t>
        </is>
      </c>
      <c r="E118" s="251" t="inlineStr">
        <is>
          <t>已补入</t>
        </is>
      </c>
      <c r="F118" s="251" t="inlineStr">
        <is>
          <t>百分比按图取整数；训练圆点与泛化三角分别计入，包括各自真实叠点。泛化后段只取本技能INT。</t>
        </is>
      </c>
      <c r="G118" s="250" t="inlineStr">
        <is>
          <t>Figure3，PDF19/250，自上而下第1面板，空心倒三角</t>
        </is>
      </c>
      <c r="H118" s="251" t="inlineStr">
        <is>
          <t>重新读取原PDF矢量圆点/倒三角坐标，依据原图0–100刻度校准及阶段虚线分段；逐页视觉复核，排除坐标轴外图例。</t>
        </is>
      </c>
      <c r="I118" s="250" t="inlineStr">
        <is>
          <t>F:/元分析-效应量/Tau-u计算文献/035-二次-E-社会技能干预对孤独症谱系障碍儿童及具有相同技能缺陷同伴的影响.pdf</t>
        </is>
      </c>
    </row>
    <row r="119" ht="48" customHeight="1" s="176">
      <c r="A119" s="250" t="inlineStr">
        <is>
          <t>K257</t>
        </is>
      </c>
      <c r="B119" s="250" t="inlineStr">
        <is>
          <t>035-二次</t>
        </is>
      </c>
      <c r="C119" s="250" t="inlineStr">
        <is>
          <t>Andrew</t>
        </is>
      </c>
      <c r="D119" s="251" t="inlineStr">
        <is>
          <t>干预</t>
        </is>
      </c>
      <c r="E119" s="251" t="inlineStr">
        <is>
          <t>已补入</t>
        </is>
      </c>
      <c r="F119" s="251" t="inlineStr">
        <is>
          <t>百分比按图取整数；训练圆点与泛化三角分别计入，包括各自真实叠点。泛化后段只取本技能INT。</t>
        </is>
      </c>
      <c r="G119" s="250" t="inlineStr">
        <is>
          <t>Figure3，PDF19/250，自上而下第2面板，实心圆</t>
        </is>
      </c>
      <c r="H119" s="251" t="inlineStr">
        <is>
          <t>重新读取原PDF矢量圆点/倒三角坐标，依据原图0–100刻度校准及阶段虚线分段；逐页视觉复核，排除坐标轴外图例。</t>
        </is>
      </c>
      <c r="I119" s="250" t="inlineStr">
        <is>
          <t>F:/元分析-效应量/Tau-u计算文献/035-二次-E-社会技能干预对孤独症谱系障碍儿童及具有相同技能缺陷同伴的影响.pdf</t>
        </is>
      </c>
    </row>
    <row r="120" ht="48" customHeight="1" s="176">
      <c r="A120" s="250" t="inlineStr">
        <is>
          <t>K258</t>
        </is>
      </c>
      <c r="B120" s="250" t="inlineStr">
        <is>
          <t>035-二次</t>
        </is>
      </c>
      <c r="C120" s="250" t="inlineStr">
        <is>
          <t>Andrew</t>
        </is>
      </c>
      <c r="D120" s="251" t="inlineStr">
        <is>
          <t>维持</t>
        </is>
      </c>
      <c r="E120" s="251" t="inlineStr">
        <is>
          <t>已补入</t>
        </is>
      </c>
      <c r="F120" s="251" t="inlineStr">
        <is>
          <t>百分比按图取整数；训练圆点与泛化三角分别计入，包括各自真实叠点。泛化后段只取本技能INT。</t>
        </is>
      </c>
      <c r="G120" s="250" t="inlineStr">
        <is>
          <t>Figure3，PDF19/250，自上而下第2面板，实心圆</t>
        </is>
      </c>
      <c r="H120" s="251" t="inlineStr">
        <is>
          <t>重新读取原PDF矢量圆点/倒三角坐标，依据原图0–100刻度校准及阶段虚线分段；逐页视觉复核，排除坐标轴外图例。</t>
        </is>
      </c>
      <c r="I120" s="250" t="inlineStr">
        <is>
          <t>F:/元分析-效应量/Tau-u计算文献/035-二次-E-社会技能干预对孤独症谱系障碍儿童及具有相同技能缺陷同伴的影响.pdf</t>
        </is>
      </c>
    </row>
    <row r="121" ht="48" customHeight="1" s="176">
      <c r="A121" s="250" t="inlineStr">
        <is>
          <t>K259</t>
        </is>
      </c>
      <c r="B121" s="250" t="inlineStr">
        <is>
          <t>035-二次</t>
        </is>
      </c>
      <c r="C121" s="250" t="inlineStr">
        <is>
          <t>Andrew</t>
        </is>
      </c>
      <c r="D121" s="251" t="inlineStr">
        <is>
          <t>泛化</t>
        </is>
      </c>
      <c r="E121" s="251" t="inlineStr">
        <is>
          <t>已补入</t>
        </is>
      </c>
      <c r="F121" s="251" t="inlineStr">
        <is>
          <t>百分比按图取整数；训练圆点与泛化三角分别计入，包括各自真实叠点。泛化后段只取本技能INT。</t>
        </is>
      </c>
      <c r="G121" s="250" t="inlineStr">
        <is>
          <t>Figure3，PDF19/250，自上而下第2面板，空心倒三角</t>
        </is>
      </c>
      <c r="H121" s="251" t="inlineStr">
        <is>
          <t>重新读取原PDF矢量圆点/倒三角坐标，依据原图0–100刻度校准及阶段虚线分段；逐页视觉复核，排除坐标轴外图例。</t>
        </is>
      </c>
      <c r="I121" s="250" t="inlineStr">
        <is>
          <t>F:/元分析-效应量/Tau-u计算文献/035-二次-E-社会技能干预对孤独症谱系障碍儿童及具有相同技能缺陷同伴的影响.pdf</t>
        </is>
      </c>
    </row>
    <row r="122" ht="48" customHeight="1" s="176">
      <c r="A122" s="250" t="inlineStr">
        <is>
          <t>K260</t>
        </is>
      </c>
      <c r="B122" s="250" t="inlineStr">
        <is>
          <t>035-二次</t>
        </is>
      </c>
      <c r="C122" s="250" t="inlineStr">
        <is>
          <t>Andrew</t>
        </is>
      </c>
      <c r="D122" s="251" t="inlineStr">
        <is>
          <t>干预</t>
        </is>
      </c>
      <c r="E122" s="251" t="inlineStr">
        <is>
          <t>已补入</t>
        </is>
      </c>
      <c r="F122" s="251" t="inlineStr">
        <is>
          <t>百分比按图取整数；训练圆点与泛化三角分别计入，包括各自真实叠点。泛化后段只取本技能INT。</t>
        </is>
      </c>
      <c r="G122" s="250" t="inlineStr">
        <is>
          <t>Figure3，PDF19/250，自上而下第3面板，实心圆</t>
        </is>
      </c>
      <c r="H122" s="251" t="inlineStr">
        <is>
          <t>重新读取原PDF矢量圆点/倒三角坐标，依据原图0–100刻度校准及阶段虚线分段；逐页视觉复核，排除坐标轴外图例。</t>
        </is>
      </c>
      <c r="I122" s="250" t="inlineStr">
        <is>
          <t>F:/元分析-效应量/Tau-u计算文献/035-二次-E-社会技能干预对孤独症谱系障碍儿童及具有相同技能缺陷同伴的影响.pdf</t>
        </is>
      </c>
    </row>
    <row r="123" ht="48" customHeight="1" s="176">
      <c r="A123" s="250" t="inlineStr">
        <is>
          <t>K261</t>
        </is>
      </c>
      <c r="B123" s="250" t="inlineStr">
        <is>
          <t>035-二次</t>
        </is>
      </c>
      <c r="C123" s="250" t="inlineStr">
        <is>
          <t>Andrew</t>
        </is>
      </c>
      <c r="D123" s="251" t="inlineStr">
        <is>
          <t>维持</t>
        </is>
      </c>
      <c r="E123" s="251" t="inlineStr">
        <is>
          <t>已补入</t>
        </is>
      </c>
      <c r="F123" s="251" t="inlineStr">
        <is>
          <t>百分比按图取整数；训练圆点与泛化三角分别计入，包括各自真实叠点。泛化后段只取本技能INT。</t>
        </is>
      </c>
      <c r="G123" s="250" t="inlineStr">
        <is>
          <t>Figure3，PDF19/250，自上而下第3面板，实心圆</t>
        </is>
      </c>
      <c r="H123" s="251" t="inlineStr">
        <is>
          <t>重新读取原PDF矢量圆点/倒三角坐标，依据原图0–100刻度校准及阶段虚线分段；逐页视觉复核，排除坐标轴外图例。</t>
        </is>
      </c>
      <c r="I123" s="250" t="inlineStr">
        <is>
          <t>F:/元分析-效应量/Tau-u计算文献/035-二次-E-社会技能干预对孤独症谱系障碍儿童及具有相同技能缺陷同伴的影响.pdf</t>
        </is>
      </c>
    </row>
    <row r="124" ht="48" customHeight="1" s="176">
      <c r="A124" s="250" t="inlineStr">
        <is>
          <t>K262</t>
        </is>
      </c>
      <c r="B124" s="250" t="inlineStr">
        <is>
          <t>035-二次</t>
        </is>
      </c>
      <c r="C124" s="250" t="inlineStr">
        <is>
          <t>Andrew</t>
        </is>
      </c>
      <c r="D124" s="251" t="inlineStr">
        <is>
          <t>泛化</t>
        </is>
      </c>
      <c r="E124" s="251" t="inlineStr">
        <is>
          <t>已补入</t>
        </is>
      </c>
      <c r="F124" s="251" t="inlineStr">
        <is>
          <t>百分比按图取整数；训练圆点与泛化三角分别计入，包括各自真实叠点。泛化后段只取本技能INT。</t>
        </is>
      </c>
      <c r="G124" s="250" t="inlineStr">
        <is>
          <t>Figure3，PDF19/250，自上而下第3面板，空心倒三角</t>
        </is>
      </c>
      <c r="H124" s="251" t="inlineStr">
        <is>
          <t>重新读取原PDF矢量圆点/倒三角坐标，依据原图0–100刻度校准及阶段虚线分段；逐页视觉复核，排除坐标轴外图例。</t>
        </is>
      </c>
      <c r="I124" s="250" t="inlineStr">
        <is>
          <t>F:/元分析-效应量/Tau-u计算文献/035-二次-E-社会技能干预对孤独症谱系障碍儿童及具有相同技能缺陷同伴的影响.pdf</t>
        </is>
      </c>
    </row>
    <row r="125" ht="48" customHeight="1" s="176">
      <c r="A125" s="250" t="inlineStr">
        <is>
          <t>K263</t>
        </is>
      </c>
      <c r="B125" s="250" t="inlineStr">
        <is>
          <t>035-二次</t>
        </is>
      </c>
      <c r="C125" s="250" t="inlineStr">
        <is>
          <t>Andrew</t>
        </is>
      </c>
      <c r="D125" s="251" t="inlineStr">
        <is>
          <t>干预</t>
        </is>
      </c>
      <c r="E125" s="251" t="inlineStr">
        <is>
          <t>已补入</t>
        </is>
      </c>
      <c r="F125" s="251" t="inlineStr">
        <is>
          <t>百分比按图取整数；训练圆点与泛化三角分别计入，包括各自真实叠点。泛化后段只取本技能INT。</t>
        </is>
      </c>
      <c r="G125" s="250" t="inlineStr">
        <is>
          <t>Figure3，PDF19/250，自上而下第4面板，实心圆</t>
        </is>
      </c>
      <c r="H125" s="251" t="inlineStr">
        <is>
          <t>重新读取原PDF矢量圆点/倒三角坐标，依据原图0–100刻度校准及阶段虚线分段；逐页视觉复核，排除坐标轴外图例。</t>
        </is>
      </c>
      <c r="I125" s="250" t="inlineStr">
        <is>
          <t>F:/元分析-效应量/Tau-u计算文献/035-二次-E-社会技能干预对孤独症谱系障碍儿童及具有相同技能缺陷同伴的影响.pdf</t>
        </is>
      </c>
    </row>
    <row r="126" ht="48" customHeight="1" s="176">
      <c r="A126" s="250" t="inlineStr">
        <is>
          <t>K264</t>
        </is>
      </c>
      <c r="B126" s="250" t="inlineStr">
        <is>
          <t>035-二次</t>
        </is>
      </c>
      <c r="C126" s="250" t="inlineStr">
        <is>
          <t>Andrew</t>
        </is>
      </c>
      <c r="D126" s="251" t="inlineStr">
        <is>
          <t>泛化</t>
        </is>
      </c>
      <c r="E126" s="251" t="inlineStr">
        <is>
          <t>已补入</t>
        </is>
      </c>
      <c r="F126" s="251" t="inlineStr">
        <is>
          <t>百分比按图取整数；训练圆点与泛化三角分别计入，包括各自真实叠点。泛化后段只取本技能INT。</t>
        </is>
      </c>
      <c r="G126" s="250" t="inlineStr">
        <is>
          <t>Figure3，PDF19/250，自上而下第4面板，空心倒三角</t>
        </is>
      </c>
      <c r="H126" s="251" t="inlineStr">
        <is>
          <t>重新读取原PDF矢量圆点/倒三角坐标，依据原图0–100刻度校准及阶段虚线分段；逐页视觉复核，排除坐标轴外图例。</t>
        </is>
      </c>
      <c r="I126" s="250" t="inlineStr">
        <is>
          <t>F:/元分析-效应量/Tau-u计算文献/035-二次-E-社会技能干预对孤独症谱系障碍儿童及具有相同技能缺陷同伴的影响.pdf</t>
        </is>
      </c>
    </row>
    <row r="127" ht="48" customHeight="1" s="176">
      <c r="A127" s="254" t="inlineStr">
        <is>
          <t>K265</t>
        </is>
      </c>
      <c r="B127" s="254" t="inlineStr">
        <is>
          <t>037-二次</t>
        </is>
      </c>
      <c r="C127" s="254" t="inlineStr">
        <is>
          <t>Matt</t>
        </is>
      </c>
      <c r="D127" s="255" t="inlineStr">
        <is>
          <t>干预</t>
        </is>
      </c>
      <c r="E127" s="255" t="inlineStr">
        <is>
          <t>Claude补入（第二轮）</t>
        </is>
      </c>
      <c r="F127" s="255" t="inlineStr">
        <is>
          <t>【Claude第二轮补入】Claude按原图取点（Figure2 PDF7，2450×3266扫描图，实心圆中心）。纵轴刻度文字与刻度线错位，按11条刻度线（0–100）线性换算；Tau-U只用到数值的大小顺序，换算方式不改变顺序。横轴标签“9”被阶段线遮住，按点数计：Matt基线9点、干预12点（第10–21次）。基线第7、9点与干预第2、7、10点高度相差不到2像素，均记33（视为同值）。　〔GPT原记录：原图百分比轴标定有歧义，无法可靠还原原始百分比；须原始数据或可靠清晰原图确认。〕</t>
        </is>
      </c>
      <c r="G127" s="254" t="inlineStr">
        <is>
          <t>Figure2，PDF7/页211，自上而下第1面板Matt；实心圆；原图黑色阶段分界线</t>
        </is>
      </c>
      <c r="H127" s="255"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27" s="254" t="inlineStr">
        <is>
          <t>F:/元分析-效应量/Tau-u计算文献/037-二次-E-使用录像自我示范训练孤独症学生的应答行为.pdf</t>
        </is>
      </c>
    </row>
    <row r="128" ht="48" customHeight="1" s="176">
      <c r="A128" s="254" t="inlineStr">
        <is>
          <t>K266</t>
        </is>
      </c>
      <c r="B128" s="254" t="inlineStr">
        <is>
          <t>037-二次</t>
        </is>
      </c>
      <c r="C128" s="254" t="inlineStr">
        <is>
          <t>Matt</t>
        </is>
      </c>
      <c r="D128" s="255" t="inlineStr">
        <is>
          <t>维持</t>
        </is>
      </c>
      <c r="E128" s="255" t="inlineStr">
        <is>
          <t>Claude补入（第二轮）</t>
        </is>
      </c>
      <c r="F128" s="255" t="inlineStr">
        <is>
          <t>【Claude第二轮补入】Claude按原图取点（Figure2 PDF7，2450×3266扫描图，实心圆中心）。纵轴刻度文字与刻度线错位，按11条刻度线（0–100）线性换算；Tau-U只用到数值的大小顺序，换算方式不改变顺序。横轴标签“9”被阶段线遮住，按点数计：Matt撤除期3点（第22–24次）；前段与K265一致。　〔GPT原记录：原图百分比轴标定有歧义，无法可靠还原原始百分比；须原始数据或可靠清晰原图确认。〕</t>
        </is>
      </c>
      <c r="G128" s="254" t="inlineStr">
        <is>
          <t>Figure2，PDF7/页211，自上而下第1面板Matt；实心圆；原图黑色阶段分界线</t>
        </is>
      </c>
      <c r="H128" s="255"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28" s="254" t="inlineStr">
        <is>
          <t>F:/元分析-效应量/Tau-u计算文献/037-二次-E-使用录像自我示范训练孤独症学生的应答行为.pdf</t>
        </is>
      </c>
    </row>
    <row r="129" ht="48" customHeight="1" s="176">
      <c r="A129" s="254" t="inlineStr">
        <is>
          <t>K267</t>
        </is>
      </c>
      <c r="B129" s="254" t="inlineStr">
        <is>
          <t>037-二次</t>
        </is>
      </c>
      <c r="C129" s="254" t="inlineStr">
        <is>
          <t>Esther</t>
        </is>
      </c>
      <c r="D129" s="255" t="inlineStr">
        <is>
          <t>干预</t>
        </is>
      </c>
      <c r="E129" s="255" t="inlineStr">
        <is>
          <t>Claude补入（第二轮）</t>
        </is>
      </c>
      <c r="F129" s="255" t="inlineStr">
        <is>
          <t>【Claude第二轮补入】Claude按原图取点（Figure2 PDF7，2450×3266扫描图，实心圆中心）。纵轴刻度文字与刻度线错位，按11条刻度线（0–100）线性换算；Tau-U只用到数值的大小顺序，换算方式不改变顺序。横轴标签“9”被阶段线遮住，按点数计：Esther基线11点、干预7点（第12–18次）；撤除期仅2点，无K。　〔GPT原记录：原图百分比轴标定有歧义，无法可靠还原原始百分比；须原始数据或可靠清晰原图确认。〕</t>
        </is>
      </c>
      <c r="G129" s="254" t="inlineStr">
        <is>
          <t>Figure2，PDF7/页211，自上而下第2面板Esther；实心圆；原图黑色阶段分界线</t>
        </is>
      </c>
      <c r="H129" s="255"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29" s="254" t="inlineStr">
        <is>
          <t>F:/元分析-效应量/Tau-u计算文献/037-二次-E-使用录像自我示范训练孤独症学生的应答行为.pdf</t>
        </is>
      </c>
    </row>
    <row r="130" ht="48" customHeight="1" s="176">
      <c r="A130" s="254" t="inlineStr">
        <is>
          <t>K268</t>
        </is>
      </c>
      <c r="B130" s="254" t="inlineStr">
        <is>
          <t>037-二次</t>
        </is>
      </c>
      <c r="C130" s="254" t="inlineStr">
        <is>
          <t>Fred</t>
        </is>
      </c>
      <c r="D130" s="255" t="inlineStr">
        <is>
          <t>干预</t>
        </is>
      </c>
      <c r="E130" s="255" t="inlineStr">
        <is>
          <t>Claude补入（第二轮）</t>
        </is>
      </c>
      <c r="F130" s="255" t="inlineStr">
        <is>
          <t>【Claude第二轮补入】Claude按原图取点（Figure2 PDF7，2450×3266扫描图，实心圆中心）。纵轴刻度文字与刻度线错位，按11条刻度线（0–100）线性换算；Tau-U只用到数值的大小顺序，换算方式不改变顺序。横轴标签“9”被阶段线遮住，按点数计：Fred基线14点、干预7点（第15–21次）。正文称干预5次，图上为7个实心圆，按规则8以图为准。　〔GPT原记录：原图百分比轴标定有歧义；且正文 PDF 第 6 页称 Fred 干预 5 次，Figure 2 阶段内可见 7 个实心圆，不能确认完整数列。〕</t>
        </is>
      </c>
      <c r="G130" s="254" t="inlineStr">
        <is>
          <t>Figure2，PDF7/页211，自上而下第3面板Fred；实心圆；原图黑色阶段分界线</t>
        </is>
      </c>
      <c r="H130" s="255"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30" s="254" t="inlineStr">
        <is>
          <t>F:/元分析-效应量/Tau-u计算文献/037-二次-E-使用录像自我示范训练孤独症学生的应答行为.pdf</t>
        </is>
      </c>
    </row>
    <row r="131" ht="48" customHeight="1" s="176">
      <c r="A131" s="250" t="inlineStr">
        <is>
          <t>K269</t>
        </is>
      </c>
      <c r="B131" s="250" t="inlineStr">
        <is>
          <t>038-滚雪球</t>
        </is>
      </c>
      <c r="C131" s="250" t="inlineStr">
        <is>
          <t>Ben</t>
        </is>
      </c>
      <c r="D131" s="251" t="inlineStr">
        <is>
          <t>干预</t>
        </is>
      </c>
      <c r="E131" s="251" t="inlineStr">
        <is>
          <t>已补入</t>
        </is>
      </c>
      <c r="F131" s="251" t="inlineStr">
        <is>
          <t>证据为b/038_new_sessions.json的逐会话符号记录；只纳入本技能干预期间的泛化，维持用对应训练基线。</t>
        </is>
      </c>
      <c r="G131" s="250" t="inlineStr">
        <is>
          <t>Figure1，PDF7/329，自上而下第1面板，实心圆</t>
        </is>
      </c>
      <c r="H131" s="251" t="inlineStr">
        <is>
          <t>全新渲染原PDF后，按会话坐标逐个记录训练实心圆与泛化空心方形。依据各面板虚线和BL/INT/MT文字分段，人工核查零值叠点。</t>
        </is>
      </c>
      <c r="I131" s="250" t="inlineStr">
        <is>
          <t>F:/元分析-效应量/Tau-u计算文献/038-滚雪球-《超级英雄社交技能》方案在初中年龄自闭症谱系障碍学生中的应用.pdf</t>
        </is>
      </c>
    </row>
    <row r="132" ht="48" customHeight="1" s="176">
      <c r="A132" s="250" t="inlineStr">
        <is>
          <t>K270</t>
        </is>
      </c>
      <c r="B132" s="250" t="inlineStr">
        <is>
          <t>038-滚雪球</t>
        </is>
      </c>
      <c r="C132" s="250" t="inlineStr">
        <is>
          <t>Ben</t>
        </is>
      </c>
      <c r="D132" s="251" t="inlineStr">
        <is>
          <t>维持</t>
        </is>
      </c>
      <c r="E132" s="251" t="inlineStr">
        <is>
          <t>已补入</t>
        </is>
      </c>
      <c r="F132" s="251" t="inlineStr">
        <is>
          <t>证据为b/038_new_sessions.json的逐会话符号记录；只纳入本技能干预期间的泛化，维持用对应训练基线。</t>
        </is>
      </c>
      <c r="G132" s="250" t="inlineStr">
        <is>
          <t>Figure1，PDF7/329，自上而下第1面板，实心圆</t>
        </is>
      </c>
      <c r="H132" s="251" t="inlineStr">
        <is>
          <t>全新渲染原PDF后，按会话坐标逐个记录训练实心圆与泛化空心方形。依据各面板虚线和BL/INT/MT文字分段，人工核查零值叠点。</t>
        </is>
      </c>
      <c r="I132" s="250" t="inlineStr">
        <is>
          <t>F:/元分析-效应量/Tau-u计算文献/038-滚雪球-《超级英雄社交技能》方案在初中年龄自闭症谱系障碍学生中的应用.pdf</t>
        </is>
      </c>
    </row>
    <row r="133" ht="48" customHeight="1" s="176">
      <c r="A133" s="250" t="inlineStr">
        <is>
          <t>K271</t>
        </is>
      </c>
      <c r="B133" s="250" t="inlineStr">
        <is>
          <t>038-滚雪球</t>
        </is>
      </c>
      <c r="C133" s="250" t="inlineStr">
        <is>
          <t>Ben</t>
        </is>
      </c>
      <c r="D133" s="251" t="inlineStr">
        <is>
          <t>泛化</t>
        </is>
      </c>
      <c r="E133" s="251" t="inlineStr">
        <is>
          <t>已补入</t>
        </is>
      </c>
      <c r="F133" s="251" t="inlineStr">
        <is>
          <t>证据为b/038_new_sessions.json的逐会话符号记录；只纳入本技能干预期间的泛化，维持用对应训练基线。</t>
        </is>
      </c>
      <c r="G133" s="250" t="inlineStr">
        <is>
          <t>Figure1，PDF7/329，自上而下第1面板，空心方形</t>
        </is>
      </c>
      <c r="H133" s="251" t="inlineStr">
        <is>
          <t>全新渲染原PDF后，按会话坐标逐个记录训练实心圆与泛化空心方形。依据各面板虚线和BL/INT/MT文字分段，人工核查零值叠点。</t>
        </is>
      </c>
      <c r="I133" s="250" t="inlineStr">
        <is>
          <t>F:/元分析-效应量/Tau-u计算文献/038-滚雪球-《超级英雄社交技能》方案在初中年龄自闭症谱系障碍学生中的应用.pdf</t>
        </is>
      </c>
    </row>
    <row r="134" ht="48" customHeight="1" s="176">
      <c r="A134" s="250" t="inlineStr">
        <is>
          <t>K272</t>
        </is>
      </c>
      <c r="B134" s="250" t="inlineStr">
        <is>
          <t>038-滚雪球</t>
        </is>
      </c>
      <c r="C134" s="250" t="inlineStr">
        <is>
          <t>Ben</t>
        </is>
      </c>
      <c r="D134" s="251" t="inlineStr">
        <is>
          <t>干预</t>
        </is>
      </c>
      <c r="E134" s="251" t="inlineStr">
        <is>
          <t>已补入</t>
        </is>
      </c>
      <c r="F134" s="251" t="inlineStr">
        <is>
          <t>证据为b/038_new_sessions.json的逐会话符号记录；只纳入本技能干预期间的泛化，维持用对应训练基线。</t>
        </is>
      </c>
      <c r="G134" s="250" t="inlineStr">
        <is>
          <t>Figure1，PDF7/329，自上而下第2面板，实心圆</t>
        </is>
      </c>
      <c r="H134" s="251" t="inlineStr">
        <is>
          <t>全新渲染原PDF后，按会话坐标逐个记录训练实心圆与泛化空心方形。依据各面板虚线和BL/INT/MT文字分段，人工核查零值叠点。</t>
        </is>
      </c>
      <c r="I134" s="250" t="inlineStr">
        <is>
          <t>F:/元分析-效应量/Tau-u计算文献/038-滚雪球-《超级英雄社交技能》方案在初中年龄自闭症谱系障碍学生中的应用.pdf</t>
        </is>
      </c>
    </row>
    <row r="135" ht="48" customHeight="1" s="176">
      <c r="A135" s="250" t="inlineStr">
        <is>
          <t>K273</t>
        </is>
      </c>
      <c r="B135" s="250" t="inlineStr">
        <is>
          <t>038-滚雪球</t>
        </is>
      </c>
      <c r="C135" s="250" t="inlineStr">
        <is>
          <t>Ben</t>
        </is>
      </c>
      <c r="D135" s="251" t="inlineStr">
        <is>
          <t>维持</t>
        </is>
      </c>
      <c r="E135" s="251" t="inlineStr">
        <is>
          <t>已补入</t>
        </is>
      </c>
      <c r="F135" s="251" t="inlineStr">
        <is>
          <t>证据为b/038_new_sessions.json的逐会话符号记录；只纳入本技能干预期间的泛化，维持用对应训练基线。</t>
        </is>
      </c>
      <c r="G135" s="250" t="inlineStr">
        <is>
          <t>Figure1，PDF7/329，自上而下第2面板，实心圆</t>
        </is>
      </c>
      <c r="H135" s="251" t="inlineStr">
        <is>
          <t>全新渲染原PDF后，按会话坐标逐个记录训练实心圆与泛化空心方形。依据各面板虚线和BL/INT/MT文字分段，人工核查零值叠点。</t>
        </is>
      </c>
      <c r="I135" s="250" t="inlineStr">
        <is>
          <t>F:/元分析-效应量/Tau-u计算文献/038-滚雪球-《超级英雄社交技能》方案在初中年龄自闭症谱系障碍学生中的应用.pdf</t>
        </is>
      </c>
    </row>
    <row r="136" ht="48" customHeight="1" s="176">
      <c r="A136" s="250" t="inlineStr">
        <is>
          <t>K274</t>
        </is>
      </c>
      <c r="B136" s="250" t="inlineStr">
        <is>
          <t>038-滚雪球</t>
        </is>
      </c>
      <c r="C136" s="250" t="inlineStr">
        <is>
          <t>Ben</t>
        </is>
      </c>
      <c r="D136" s="251" t="inlineStr">
        <is>
          <t>泛化</t>
        </is>
      </c>
      <c r="E136" s="251" t="inlineStr">
        <is>
          <t>已补入</t>
        </is>
      </c>
      <c r="F136" s="251" t="inlineStr">
        <is>
          <t>证据为b/038_new_sessions.json的逐会话符号记录；只纳入本技能干预期间的泛化，维持用对应训练基线。</t>
        </is>
      </c>
      <c r="G136" s="250" t="inlineStr">
        <is>
          <t>Figure1，PDF7/329，自上而下第2面板，空心方形</t>
        </is>
      </c>
      <c r="H136" s="251" t="inlineStr">
        <is>
          <t>全新渲染原PDF后，按会话坐标逐个记录训练实心圆与泛化空心方形。依据各面板虚线和BL/INT/MT文字分段，人工核查零值叠点。</t>
        </is>
      </c>
      <c r="I136" s="250" t="inlineStr">
        <is>
          <t>F:/元分析-效应量/Tau-u计算文献/038-滚雪球-《超级英雄社交技能》方案在初中年龄自闭症谱系障碍学生中的应用.pdf</t>
        </is>
      </c>
    </row>
    <row r="137" ht="48" customHeight="1" s="176">
      <c r="A137" s="250" t="inlineStr">
        <is>
          <t>K275</t>
        </is>
      </c>
      <c r="B137" s="250" t="inlineStr">
        <is>
          <t>038-滚雪球</t>
        </is>
      </c>
      <c r="C137" s="250" t="inlineStr">
        <is>
          <t>Ben</t>
        </is>
      </c>
      <c r="D137" s="251" t="inlineStr">
        <is>
          <t>干预</t>
        </is>
      </c>
      <c r="E137" s="251" t="inlineStr">
        <is>
          <t>已补入</t>
        </is>
      </c>
      <c r="F137" s="251" t="inlineStr">
        <is>
          <t>证据为b/038_new_sessions.json的逐会话符号记录；只纳入本技能干预期间的泛化，维持用对应训练基线。</t>
        </is>
      </c>
      <c r="G137" s="250" t="inlineStr">
        <is>
          <t>Figure1，PDF7/329，自上而下第3面板，实心圆</t>
        </is>
      </c>
      <c r="H137" s="251" t="inlineStr">
        <is>
          <t>全新渲染原PDF后，按会话坐标逐个记录训练实心圆与泛化空心方形。依据各面板虚线和BL/INT/MT文字分段，人工核查零值叠点。</t>
        </is>
      </c>
      <c r="I137" s="250" t="inlineStr">
        <is>
          <t>F:/元分析-效应量/Tau-u计算文献/038-滚雪球-《超级英雄社交技能》方案在初中年龄自闭症谱系障碍学生中的应用.pdf</t>
        </is>
      </c>
    </row>
    <row r="138" ht="48" customHeight="1" s="176">
      <c r="A138" s="250" t="inlineStr">
        <is>
          <t>K276</t>
        </is>
      </c>
      <c r="B138" s="250" t="inlineStr">
        <is>
          <t>038-滚雪球</t>
        </is>
      </c>
      <c r="C138" s="250" t="inlineStr">
        <is>
          <t>Ben</t>
        </is>
      </c>
      <c r="D138" s="251" t="inlineStr">
        <is>
          <t>泛化</t>
        </is>
      </c>
      <c r="E138" s="251" t="inlineStr">
        <is>
          <t>已补入</t>
        </is>
      </c>
      <c r="F138" s="251" t="inlineStr">
        <is>
          <t>证据为b/038_new_sessions.json的逐会话符号记录；只纳入本技能干预期间的泛化，维持用对应训练基线。</t>
        </is>
      </c>
      <c r="G138" s="250" t="inlineStr">
        <is>
          <t>Figure1，PDF7/329，自上而下第3面板，空心方形</t>
        </is>
      </c>
      <c r="H138" s="251" t="inlineStr">
        <is>
          <t>全新渲染原PDF后，按会话坐标逐个记录训练实心圆与泛化空心方形。依据各面板虚线和BL/INT/MT文字分段，人工核查零值叠点。</t>
        </is>
      </c>
      <c r="I138" s="250" t="inlineStr">
        <is>
          <t>F:/元分析-效应量/Tau-u计算文献/038-滚雪球-《超级英雄社交技能》方案在初中年龄自闭症谱系障碍学生中的应用.pdf</t>
        </is>
      </c>
    </row>
    <row r="139" ht="48" customHeight="1" s="176">
      <c r="A139" s="250" t="inlineStr">
        <is>
          <t>K277</t>
        </is>
      </c>
      <c r="B139" s="250" t="inlineStr">
        <is>
          <t>038-滚雪球</t>
        </is>
      </c>
      <c r="C139" s="250" t="inlineStr">
        <is>
          <t>Nick</t>
        </is>
      </c>
      <c r="D139" s="251" t="inlineStr">
        <is>
          <t>干预</t>
        </is>
      </c>
      <c r="E139" s="251" t="inlineStr">
        <is>
          <t>已补入</t>
        </is>
      </c>
      <c r="F139" s="251" t="inlineStr">
        <is>
          <t>证据为b/038_new_sessions.json的逐会话符号记录；只纳入本技能干预期间的泛化，维持用对应训练基线。</t>
        </is>
      </c>
      <c r="G139" s="250" t="inlineStr">
        <is>
          <t>Figure2，PDF8/330，自上而下第1面板，实心圆</t>
        </is>
      </c>
      <c r="H139" s="251" t="inlineStr">
        <is>
          <t>全新渲染原PDF后，按会话坐标逐个记录训练实心圆与泛化空心方形。依据各面板虚线和BL/INT/MT文字分段，人工核查零值叠点。</t>
        </is>
      </c>
      <c r="I139" s="250" t="inlineStr">
        <is>
          <t>F:/元分析-效应量/Tau-u计算文献/038-滚雪球-《超级英雄社交技能》方案在初中年龄自闭症谱系障碍学生中的应用.pdf</t>
        </is>
      </c>
    </row>
    <row r="140" ht="48" customHeight="1" s="176">
      <c r="A140" s="250" t="inlineStr">
        <is>
          <t>K278</t>
        </is>
      </c>
      <c r="B140" s="250" t="inlineStr">
        <is>
          <t>038-滚雪球</t>
        </is>
      </c>
      <c r="C140" s="250" t="inlineStr">
        <is>
          <t>Nick</t>
        </is>
      </c>
      <c r="D140" s="251" t="inlineStr">
        <is>
          <t>维持</t>
        </is>
      </c>
      <c r="E140" s="251" t="inlineStr">
        <is>
          <t>已补入</t>
        </is>
      </c>
      <c r="F140" s="251" t="inlineStr">
        <is>
          <t>证据为b/038_new_sessions.json的逐会话符号记录；只纳入本技能干预期间的泛化，维持用对应训练基线。</t>
        </is>
      </c>
      <c r="G140" s="250" t="inlineStr">
        <is>
          <t>Figure2，PDF8/330，自上而下第1面板，实心圆</t>
        </is>
      </c>
      <c r="H140" s="251" t="inlineStr">
        <is>
          <t>全新渲染原PDF后，按会话坐标逐个记录训练实心圆与泛化空心方形。依据各面板虚线和BL/INT/MT文字分段，人工核查零值叠点。</t>
        </is>
      </c>
      <c r="I140" s="250" t="inlineStr">
        <is>
          <t>F:/元分析-效应量/Tau-u计算文献/038-滚雪球-《超级英雄社交技能》方案在初中年龄自闭症谱系障碍学生中的应用.pdf</t>
        </is>
      </c>
    </row>
    <row r="141" ht="48" customHeight="1" s="176">
      <c r="A141" s="250" t="inlineStr">
        <is>
          <t>K279</t>
        </is>
      </c>
      <c r="B141" s="250" t="inlineStr">
        <is>
          <t>038-滚雪球</t>
        </is>
      </c>
      <c r="C141" s="250" t="inlineStr">
        <is>
          <t>Nick</t>
        </is>
      </c>
      <c r="D141" s="251" t="inlineStr">
        <is>
          <t>泛化</t>
        </is>
      </c>
      <c r="E141" s="251" t="inlineStr">
        <is>
          <t>已补入</t>
        </is>
      </c>
      <c r="F141" s="251" t="inlineStr">
        <is>
          <t>证据为b/038_new_sessions.json的逐会话符号记录；只纳入本技能干预期间的泛化，维持用对应训练基线。</t>
        </is>
      </c>
      <c r="G141" s="250" t="inlineStr">
        <is>
          <t>Figure2，PDF8/330，自上而下第1面板，空心方形</t>
        </is>
      </c>
      <c r="H141" s="251" t="inlineStr">
        <is>
          <t>全新渲染原PDF后，按会话坐标逐个记录训练实心圆与泛化空心方形。依据各面板虚线和BL/INT/MT文字分段，人工核查零值叠点。</t>
        </is>
      </c>
      <c r="I141" s="250" t="inlineStr">
        <is>
          <t>F:/元分析-效应量/Tau-u计算文献/038-滚雪球-《超级英雄社交技能》方案在初中年龄自闭症谱系障碍学生中的应用.pdf</t>
        </is>
      </c>
    </row>
    <row r="142" ht="48" customHeight="1" s="176">
      <c r="A142" s="250" t="inlineStr">
        <is>
          <t>K280</t>
        </is>
      </c>
      <c r="B142" s="250" t="inlineStr">
        <is>
          <t>038-滚雪球</t>
        </is>
      </c>
      <c r="C142" s="250" t="inlineStr">
        <is>
          <t>Nick</t>
        </is>
      </c>
      <c r="D142" s="251" t="inlineStr">
        <is>
          <t>干预</t>
        </is>
      </c>
      <c r="E142" s="251" t="inlineStr">
        <is>
          <t>已补入</t>
        </is>
      </c>
      <c r="F142" s="251" t="inlineStr">
        <is>
          <t>证据为b/038_new_sessions.json的逐会话符号记录；只纳入本技能干预期间的泛化，维持用对应训练基线。</t>
        </is>
      </c>
      <c r="G142" s="250" t="inlineStr">
        <is>
          <t>Figure2，PDF8/330，自上而下第2面板，实心圆</t>
        </is>
      </c>
      <c r="H142" s="251" t="inlineStr">
        <is>
          <t>全新渲染原PDF后，按会话坐标逐个记录训练实心圆与泛化空心方形。依据各面板虚线和BL/INT/MT文字分段，人工核查零值叠点。</t>
        </is>
      </c>
      <c r="I142" s="250" t="inlineStr">
        <is>
          <t>F:/元分析-效应量/Tau-u计算文献/038-滚雪球-《超级英雄社交技能》方案在初中年龄自闭症谱系障碍学生中的应用.pdf</t>
        </is>
      </c>
    </row>
    <row r="143" ht="48" customHeight="1" s="176">
      <c r="A143" s="250" t="inlineStr">
        <is>
          <t>K281</t>
        </is>
      </c>
      <c r="B143" s="250" t="inlineStr">
        <is>
          <t>038-滚雪球</t>
        </is>
      </c>
      <c r="C143" s="250" t="inlineStr">
        <is>
          <t>Nick</t>
        </is>
      </c>
      <c r="D143" s="251" t="inlineStr">
        <is>
          <t>维持</t>
        </is>
      </c>
      <c r="E143" s="251" t="inlineStr">
        <is>
          <t>已补入</t>
        </is>
      </c>
      <c r="F143" s="251" t="inlineStr">
        <is>
          <t>证据为b/038_new_sessions.json的逐会话符号记录；只纳入本技能干预期间的泛化，维持用对应训练基线。</t>
        </is>
      </c>
      <c r="G143" s="250" t="inlineStr">
        <is>
          <t>Figure2，PDF8/330，自上而下第2面板，实心圆</t>
        </is>
      </c>
      <c r="H143" s="251" t="inlineStr">
        <is>
          <t>全新渲染原PDF后，按会话坐标逐个记录训练实心圆与泛化空心方形。依据各面板虚线和BL/INT/MT文字分段，人工核查零值叠点。</t>
        </is>
      </c>
      <c r="I143" s="250" t="inlineStr">
        <is>
          <t>F:/元分析-效应量/Tau-u计算文献/038-滚雪球-《超级英雄社交技能》方案在初中年龄自闭症谱系障碍学生中的应用.pdf</t>
        </is>
      </c>
    </row>
    <row r="144" ht="48" customHeight="1" s="176">
      <c r="A144" s="250" t="inlineStr">
        <is>
          <t>K282</t>
        </is>
      </c>
      <c r="B144" s="250" t="inlineStr">
        <is>
          <t>038-滚雪球</t>
        </is>
      </c>
      <c r="C144" s="250" t="inlineStr">
        <is>
          <t>Nick</t>
        </is>
      </c>
      <c r="D144" s="251" t="inlineStr">
        <is>
          <t>泛化</t>
        </is>
      </c>
      <c r="E144" s="251" t="inlineStr">
        <is>
          <t>已补入</t>
        </is>
      </c>
      <c r="F144" s="251" t="inlineStr">
        <is>
          <t>证据为b/038_new_sessions.json的逐会话符号记录；只纳入本技能干预期间的泛化，维持用对应训练基线。</t>
        </is>
      </c>
      <c r="G144" s="250" t="inlineStr">
        <is>
          <t>Figure2，PDF8/330，自上而下第2面板，空心方形</t>
        </is>
      </c>
      <c r="H144" s="251" t="inlineStr">
        <is>
          <t>全新渲染原PDF后，按会话坐标逐个记录训练实心圆与泛化空心方形。依据各面板虚线和BL/INT/MT文字分段，人工核查零值叠点。</t>
        </is>
      </c>
      <c r="I144" s="250" t="inlineStr">
        <is>
          <t>F:/元分析-效应量/Tau-u计算文献/038-滚雪球-《超级英雄社交技能》方案在初中年龄自闭症谱系障碍学生中的应用.pdf</t>
        </is>
      </c>
    </row>
    <row r="145" ht="48" customHeight="1" s="176">
      <c r="A145" s="250" t="inlineStr">
        <is>
          <t>K283</t>
        </is>
      </c>
      <c r="B145" s="250" t="inlineStr">
        <is>
          <t>038-滚雪球</t>
        </is>
      </c>
      <c r="C145" s="250" t="inlineStr">
        <is>
          <t>Nick</t>
        </is>
      </c>
      <c r="D145" s="251" t="inlineStr">
        <is>
          <t>干预</t>
        </is>
      </c>
      <c r="E145" s="251" t="inlineStr">
        <is>
          <t>已补入</t>
        </is>
      </c>
      <c r="F145" s="251" t="inlineStr">
        <is>
          <t>证据为b/038_new_sessions.json的逐会话符号记录；只纳入本技能干预期间的泛化，维持用对应训练基线。</t>
        </is>
      </c>
      <c r="G145" s="250" t="inlineStr">
        <is>
          <t>Figure2，PDF8/330，自上而下第3面板，实心圆</t>
        </is>
      </c>
      <c r="H145" s="251" t="inlineStr">
        <is>
          <t>全新渲染原PDF后，按会话坐标逐个记录训练实心圆与泛化空心方形。依据各面板虚线和BL/INT/MT文字分段，人工核查零值叠点。</t>
        </is>
      </c>
      <c r="I145" s="250" t="inlineStr">
        <is>
          <t>F:/元分析-效应量/Tau-u计算文献/038-滚雪球-《超级英雄社交技能》方案在初中年龄自闭症谱系障碍学生中的应用.pdf</t>
        </is>
      </c>
    </row>
    <row r="146" ht="48" customHeight="1" s="176">
      <c r="A146" s="250" t="inlineStr">
        <is>
          <t>K284</t>
        </is>
      </c>
      <c r="B146" s="250" t="inlineStr">
        <is>
          <t>038-滚雪球</t>
        </is>
      </c>
      <c r="C146" s="250" t="inlineStr">
        <is>
          <t>Nick</t>
        </is>
      </c>
      <c r="D146" s="251" t="inlineStr">
        <is>
          <t>泛化</t>
        </is>
      </c>
      <c r="E146" s="251" t="inlineStr">
        <is>
          <t>已补入</t>
        </is>
      </c>
      <c r="F146" s="251" t="inlineStr">
        <is>
          <t>证据为b/038_new_sessions.json的逐会话符号记录；只纳入本技能干预期间的泛化，维持用对应训练基线。</t>
        </is>
      </c>
      <c r="G146" s="250" t="inlineStr">
        <is>
          <t>Figure2，PDF8/330，自上而下第3面板，空心方形</t>
        </is>
      </c>
      <c r="H146" s="251" t="inlineStr">
        <is>
          <t>全新渲染原PDF后，按会话坐标逐个记录训练实心圆与泛化空心方形。依据各面板虚线和BL/INT/MT文字分段，人工核查零值叠点。</t>
        </is>
      </c>
      <c r="I146" s="250" t="inlineStr">
        <is>
          <t>F:/元分析-效应量/Tau-u计算文献/038-滚雪球-《超级英雄社交技能》方案在初中年龄自闭症谱系障碍学生中的应用.pdf</t>
        </is>
      </c>
    </row>
    <row r="147" ht="127.5" customHeight="1" s="176">
      <c r="A147" s="250" t="inlineStr">
        <is>
          <t>K285</t>
        </is>
      </c>
      <c r="B147" s="250" t="inlineStr">
        <is>
          <t>039-二次</t>
        </is>
      </c>
      <c r="C147" s="250" t="inlineStr">
        <is>
          <t>J.</t>
        </is>
      </c>
      <c r="D147" s="251" t="inlineStr">
        <is>
          <t>干预</t>
        </is>
      </c>
      <c r="E147" s="256" t="inlineStr">
        <is>
          <t>已补入</t>
        </is>
      </c>
      <c r="F147" s="251" t="inlineStr">
        <is>
          <t>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47" s="250" t="inlineStr">
        <is>
          <t>Fig2，PDF7／印刷684，第1面板，空心圆 SI–Ball；参与者 J.；Baseline A 与所有 Video 1–3 段，按图中时间顺序池化</t>
        </is>
      </c>
      <c r="H147"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47" s="250" t="inlineStr">
        <is>
          <t>F:/元分析-效应量/Tau-u计算文献/039-二次-E-使用视频建模教授孤独症儿童复杂社会行为序列.pdf</t>
        </is>
      </c>
    </row>
    <row r="148" ht="127.5" customHeight="1" s="176">
      <c r="A148" s="250" t="inlineStr">
        <is>
          <t>K286</t>
        </is>
      </c>
      <c r="B148" s="250" t="inlineStr">
        <is>
          <t>039-二次</t>
        </is>
      </c>
      <c r="C148" s="250" t="inlineStr">
        <is>
          <t>J.</t>
        </is>
      </c>
      <c r="D148" s="251" t="inlineStr">
        <is>
          <t>维持</t>
        </is>
      </c>
      <c r="E148" s="256" t="inlineStr">
        <is>
          <t>已补入</t>
        </is>
      </c>
      <c r="F148" s="251" t="inlineStr">
        <is>
          <t>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48" s="250" t="inlineStr">
        <is>
          <t>Fig2，PDF7／印刷684，第1面板，空心圆 SI–Ball；参与者 J.；Baseline A 与 1-month/2-month Follow-up，每月3点</t>
        </is>
      </c>
      <c r="H148"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48" s="250" t="inlineStr">
        <is>
          <t>F:/元分析-效应量/Tau-u计算文献/039-二次-E-使用视频建模教授孤独症儿童复杂社会行为序列.pdf</t>
        </is>
      </c>
    </row>
    <row r="149" ht="127.5" customHeight="1" s="176">
      <c r="A149" s="257" t="inlineStr">
        <is>
          <t>K287</t>
        </is>
      </c>
      <c r="B149" s="257" t="inlineStr">
        <is>
          <t>039-二次</t>
        </is>
      </c>
      <c r="C149" s="257" t="inlineStr">
        <is>
          <t>J.</t>
        </is>
      </c>
      <c r="D149" s="258" t="inlineStr">
        <is>
          <t>干预</t>
        </is>
      </c>
      <c r="E149" s="257" t="inlineStr">
        <is>
          <t>Claude修正</t>
        </is>
      </c>
      <c r="F149"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300；后段=300, 300, 300, 300, 300, 0, 0, 0, 0, 0。　〔GPT原记录：单位秒，图上近似读数，不是作者原始逐次测量表。A为6点；B为10点。Fig2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49" s="257" t="inlineStr">
        <is>
          <t>Fig2，PDF7／印刷684，第1面板，实心三角 SI–Table；参与者 J.；Baseline A 与所有 Video 1–3 段，按图中时间顺序池化</t>
        </is>
      </c>
      <c r="H149"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49" s="257" t="inlineStr">
        <is>
          <t>F:/元分析-效应量/Tau-u计算文献/039-二次-E-使用视频建模教授孤独症儿童复杂社会行为序列.pdf</t>
        </is>
      </c>
    </row>
    <row r="150" ht="127.5" customHeight="1" s="176">
      <c r="A150" s="257" t="inlineStr">
        <is>
          <t>K288</t>
        </is>
      </c>
      <c r="B150" s="257" t="inlineStr">
        <is>
          <t>039-二次</t>
        </is>
      </c>
      <c r="C150" s="257" t="inlineStr">
        <is>
          <t>J.</t>
        </is>
      </c>
      <c r="D150" s="258" t="inlineStr">
        <is>
          <t>维持</t>
        </is>
      </c>
      <c r="E150" s="257" t="inlineStr">
        <is>
          <t>Claude修正</t>
        </is>
      </c>
      <c r="F150"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300；后段=0, 0, 0, 0, 26, 0。　〔GPT原记录：单位秒，图上近似读数，不是作者原始逐次测量表。A为6点；B为1个月和2个月随访各3点，共6点。Fig2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50" s="257" t="inlineStr">
        <is>
          <t>Fig2，PDF7／印刷684，第1面板，实心三角 SI–Table；参与者 J.；Baseline A 与 1-month/2-month Follow-up，每月3点</t>
        </is>
      </c>
      <c r="H150"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0" s="257" t="inlineStr">
        <is>
          <t>F:/元分析-效应量/Tau-u计算文献/039-二次-E-使用视频建模教授孤独症儿童复杂社会行为序列.pdf</t>
        </is>
      </c>
    </row>
    <row r="151" ht="48" customHeight="1" s="176">
      <c r="A151" s="257" t="inlineStr">
        <is>
          <t>K289</t>
        </is>
      </c>
      <c r="B151" s="257" t="inlineStr">
        <is>
          <t>039-二次</t>
        </is>
      </c>
      <c r="C151" s="257" t="inlineStr">
        <is>
          <t>J.</t>
        </is>
      </c>
      <c r="D151" s="258" t="inlineStr">
        <is>
          <t>干预</t>
        </is>
      </c>
      <c r="E151" s="257" t="inlineStr">
        <is>
          <t>Claude修正</t>
        </is>
      </c>
      <c r="F151"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300；后段=300, 300, 300, 300, 300, 2, 2, 2, 2, 2。　〔GPT原记录：单位秒，图上近似读数，不是作者原始逐次测量表。A为6点；B为10点。Fig2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Table/Rags发起也保留300秒点。证据：resume_middle/039_7_J_crop.png；原始矢量坐标和标定见039_digitization_audit.json。J的Rags干预和随访均为相同近零水平，跨区绘制位移约0.10 PDF点，统一记2秒，不将独立四舍五入产生的1/2秒差当作真实差异。〕</t>
        </is>
      </c>
      <c r="G151" s="257" t="inlineStr">
        <is>
          <t>Fig2，PDF7／印刷684，第1面板，实心圆 SI–Rags；参与者 J.；Baseline A 与所有 Video 1–3 段，按图中时间顺序池化</t>
        </is>
      </c>
      <c r="H151"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1" s="257" t="inlineStr">
        <is>
          <t>F:/元分析-效应量/Tau-u计算文献/039-二次-E-使用视频建模教授孤独症儿童复杂社会行为序列.pdf</t>
        </is>
      </c>
    </row>
    <row r="152" ht="48" customHeight="1" s="176">
      <c r="A152" s="257" t="inlineStr">
        <is>
          <t>K290</t>
        </is>
      </c>
      <c r="B152" s="257" t="inlineStr">
        <is>
          <t>039-二次</t>
        </is>
      </c>
      <c r="C152" s="257" t="inlineStr">
        <is>
          <t>J.</t>
        </is>
      </c>
      <c r="D152" s="258" t="inlineStr">
        <is>
          <t>维持</t>
        </is>
      </c>
      <c r="E152" s="257" t="inlineStr">
        <is>
          <t>Claude修正</t>
        </is>
      </c>
      <c r="F152"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300；后段=2, 2, 2, 2, 2, 2。　〔GPT原记录：单位秒，图上近似读数，不是作者原始逐次测量表。A为6点；B为1个月和2个月随访各3点，共6点。Fig2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Table/Rags发起也保留300秒点。证据：resume_middle/039_7_J_crop.png；原始矢量坐标和标定见039_digitization_audit.json。J的Rags干预和随访均为相同近零水平，跨区绘制位移约0.10 PDF点，统一记2秒，不将独立四舍五入产生的1/2秒差当作真实差异。〕</t>
        </is>
      </c>
      <c r="G152" s="257" t="inlineStr">
        <is>
          <t>Fig2，PDF7／印刷684，第1面板，实心圆 SI–Rags；参与者 J.；Baseline A 与 1-month/2-month Follow-up，每月3点</t>
        </is>
      </c>
      <c r="H152"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2" s="257" t="inlineStr">
        <is>
          <t>F:/元分析-效应量/Tau-u计算文献/039-二次-E-使用视频建模教授孤独症儿童复杂社会行为序列.pdf</t>
        </is>
      </c>
    </row>
    <row r="153" ht="48" customHeight="1" s="176">
      <c r="A153" s="250" t="inlineStr">
        <is>
          <t>K291</t>
        </is>
      </c>
      <c r="B153" s="250" t="inlineStr">
        <is>
          <t>039-二次</t>
        </is>
      </c>
      <c r="C153" s="250" t="inlineStr">
        <is>
          <t>J.</t>
        </is>
      </c>
      <c r="D153" s="251" t="inlineStr">
        <is>
          <t>干预</t>
        </is>
      </c>
      <c r="E153" s="256" t="inlineStr">
        <is>
          <t>已补入</t>
        </is>
      </c>
      <c r="F153" s="251" t="inlineStr">
        <is>
          <t>单位秒，图上近似读数，不是作者原始逐次测量表。A为6点；B为10点。Fig2 含 Video4，Fig3省略 Video4，两个图分别依据各自阶段线取点；GP及Video4均未纳入。正文确认基线没有互惠游戏，基线和图中同高的零点均记0。证据：resume_middle/039_8_J_crop.png；原始矢量坐标和标定见039_digitization_audit.json。J末次Video3与2个月随访中间方形位于同一水平（中心差约0.17 PDF点），统一为136秒。</t>
        </is>
      </c>
      <c r="G153" s="250" t="inlineStr">
        <is>
          <t>Fig3，PDF8／印刷685，第1面板，空心方形主系列；参与者 J.；Baseline A 与所有 Video 1–3 段，按图中时间顺序池化</t>
        </is>
      </c>
      <c r="H153"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3" s="250" t="inlineStr">
        <is>
          <t>F:/元分析-效应量/Tau-u计算文献/039-二次-E-使用视频建模教授孤独症儿童复杂社会行为序列.pdf</t>
        </is>
      </c>
    </row>
    <row r="154" ht="48" customHeight="1" s="176">
      <c r="A154" s="250" t="inlineStr">
        <is>
          <t>K292</t>
        </is>
      </c>
      <c r="B154" s="250" t="inlineStr">
        <is>
          <t>039-二次</t>
        </is>
      </c>
      <c r="C154" s="250" t="inlineStr">
        <is>
          <t>J.</t>
        </is>
      </c>
      <c r="D154" s="251" t="inlineStr">
        <is>
          <t>维持</t>
        </is>
      </c>
      <c r="E154" s="256" t="inlineStr">
        <is>
          <t>已补入</t>
        </is>
      </c>
      <c r="F154" s="251" t="inlineStr">
        <is>
          <t>单位秒，图上近似读数，不是作者原始逐次测量表。A为6点；B为1个月和2个月随访各3点，共6点。Fig2 含 Video4，Fig3省略 Video4，两个图分别依据各自阶段线取点；GP及Video4均未纳入。正文确认基线没有互惠游戏，基线和图中同高的零点均记0。证据：resume_middle/039_8_J_crop.png；原始矢量坐标和标定见039_digitization_audit.json。J末次Video3与2个月随访中间方形位于同一水平（中心差约0.17 PDF点），统一为136秒。</t>
        </is>
      </c>
      <c r="G154" s="250" t="inlineStr">
        <is>
          <t>Fig3，PDF8／印刷685，第1面板，空心方形主系列；参与者 J.；Baseline A 与 1-month/2-month Follow-up，每月3点</t>
        </is>
      </c>
      <c r="H154"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4" s="250" t="inlineStr">
        <is>
          <t>F:/元分析-效应量/Tau-u计算文献/039-二次-E-使用视频建模教授孤独症儿童复杂社会行为序列.pdf</t>
        </is>
      </c>
    </row>
    <row r="155" ht="48" customHeight="1" s="176">
      <c r="A155" s="252" t="inlineStr">
        <is>
          <t>K293</t>
        </is>
      </c>
      <c r="B155" s="252" t="inlineStr">
        <is>
          <t>039-二次</t>
        </is>
      </c>
      <c r="C155" s="252" t="inlineStr">
        <is>
          <t>P.</t>
        </is>
      </c>
      <c r="D155" s="253" t="inlineStr">
        <is>
          <t>干预</t>
        </is>
      </c>
      <c r="E155" s="252" t="inlineStr">
        <is>
          <t>Claude补入</t>
        </is>
      </c>
      <c r="F155" s="253"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　〔GPT原记录：原文内部会话次数冲突：PDF5（印刷682）称 P. 在21次 video modeling 后进行GP；图2按阶段线可见 Video1–3共19点、Video4共3点，合计22；图3也显示19个Video1–3点。不能自行删点或判定笔误，待核实。〕</t>
        </is>
      </c>
      <c r="G155" s="252" t="inlineStr">
        <is>
          <t>Fig2，PDF7／印刷684，第2面板，空心圆 SI–Ball；参与者 P.；Baseline A 与所有 Video 1–3 段，按图中时间顺序池化</t>
        </is>
      </c>
      <c r="H155" s="25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55" s="252" t="inlineStr">
        <is>
          <t>F:/元分析-效应量/Tau-u计算文献/039-二次-E-使用视频建模教授孤独症儿童复杂社会行为序列.pdf</t>
        </is>
      </c>
    </row>
    <row r="156" ht="48" customHeight="1" s="176">
      <c r="A156" s="250" t="inlineStr">
        <is>
          <t>K294</t>
        </is>
      </c>
      <c r="B156" s="250" t="inlineStr">
        <is>
          <t>039-二次</t>
        </is>
      </c>
      <c r="C156" s="250" t="inlineStr">
        <is>
          <t>P.</t>
        </is>
      </c>
      <c r="D156" s="251" t="inlineStr">
        <is>
          <t>维持</t>
        </is>
      </c>
      <c r="E156" s="256" t="inlineStr">
        <is>
          <t>已补入</t>
        </is>
      </c>
      <c r="F156" s="251" t="inlineStr">
        <is>
          <t>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56" s="250" t="inlineStr">
        <is>
          <t>Fig2，PDF7／印刷684，第2面板，空心圆 SI–Ball；参与者 P.；Baseline A 与 1-month/2-month Follow-up，每月3点</t>
        </is>
      </c>
      <c r="H156"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6" s="250" t="inlineStr">
        <is>
          <t>F:/元分析-效应量/Tau-u计算文献/039-二次-E-使用视频建模教授孤独症儿童复杂社会行为序列.pdf</t>
        </is>
      </c>
    </row>
    <row r="157" ht="48" customHeight="1" s="176">
      <c r="A157" s="252" t="inlineStr">
        <is>
          <t>K295</t>
        </is>
      </c>
      <c r="B157" s="252" t="inlineStr">
        <is>
          <t>039-二次</t>
        </is>
      </c>
      <c r="C157" s="252" t="inlineStr">
        <is>
          <t>P.</t>
        </is>
      </c>
      <c r="D157" s="253" t="inlineStr">
        <is>
          <t>干预</t>
        </is>
      </c>
      <c r="E157" s="252" t="inlineStr">
        <is>
          <t>Claude补入</t>
        </is>
      </c>
      <c r="F157" s="253"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　〔GPT原记录：原文内部会话次数冲突：PDF5（印刷682）称 P. 在21次 video modeling 后进行GP；图2按阶段线可见 Video1–3共19点、Video4共3点，合计22；图3也显示19个Video1–3点。不能自行删点或判定笔误，待核实。〕</t>
        </is>
      </c>
      <c r="G157" s="252" t="inlineStr">
        <is>
          <t>Fig2，PDF7／印刷684，第2面板，实心三角 SI–Table；参与者 P.；Baseline A 与所有 Video 1–3 段，按图中时间顺序池化</t>
        </is>
      </c>
      <c r="H157" s="25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57" s="252" t="inlineStr">
        <is>
          <t>F:/元分析-效应量/Tau-u计算文献/039-二次-E-使用视频建模教授孤独症儿童复杂社会行为序列.pdf</t>
        </is>
      </c>
    </row>
    <row r="158" ht="48" customHeight="1" s="176">
      <c r="A158" s="257" t="inlineStr">
        <is>
          <t>K296</t>
        </is>
      </c>
      <c r="B158" s="257" t="inlineStr">
        <is>
          <t>039-二次</t>
        </is>
      </c>
      <c r="C158" s="257" t="inlineStr">
        <is>
          <t>P.</t>
        </is>
      </c>
      <c r="D158" s="258" t="inlineStr">
        <is>
          <t>维持</t>
        </is>
      </c>
      <c r="E158" s="257" t="inlineStr">
        <is>
          <t>Claude修正</t>
        </is>
      </c>
      <c r="F158"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300；后段=0, 0, 0, 8, 3, 3。　〔GPT原记录：单位秒，图上近似读数，不是作者原始逐次测量表。A为11点；B为1个月和2个月随访各3点，共6点。Fig2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58" s="257" t="inlineStr">
        <is>
          <t>Fig2，PDF7／印刷684，第2面板，实心三角 SI–Table；参与者 P.；Baseline A 与 1-month/2-month Follow-up，每月3点</t>
        </is>
      </c>
      <c r="H158"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58" s="257" t="inlineStr">
        <is>
          <t>F:/元分析-效应量/Tau-u计算文献/039-二次-E-使用视频建模教授孤独症儿童复杂社会行为序列.pdf</t>
        </is>
      </c>
    </row>
    <row r="159" ht="48" customHeight="1" s="176">
      <c r="A159" s="252" t="inlineStr">
        <is>
          <t>K297</t>
        </is>
      </c>
      <c r="B159" s="252" t="inlineStr">
        <is>
          <t>039-二次</t>
        </is>
      </c>
      <c r="C159" s="252" t="inlineStr">
        <is>
          <t>P.</t>
        </is>
      </c>
      <c r="D159" s="253" t="inlineStr">
        <is>
          <t>干预</t>
        </is>
      </c>
      <c r="E159" s="252" t="inlineStr">
        <is>
          <t>Claude补入</t>
        </is>
      </c>
      <c r="F159" s="253"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　〔GPT原记录：原文内部会话次数冲突：PDF5（印刷682）称 P. 在21次 video modeling 后进行GP；图2按阶段线可见 Video1–3共19点、Video4共3点，合计22；图3也显示19个Video1–3点。不能自行删点或判定笔误，待核实。〕</t>
        </is>
      </c>
      <c r="G159" s="252" t="inlineStr">
        <is>
          <t>Fig2，PDF7／印刷684，第2面板，实心圆 SI–Rags；参与者 P.；Baseline A 与所有 Video 1–3 段，按图中时间顺序池化</t>
        </is>
      </c>
      <c r="H159" s="25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59" s="252" t="inlineStr">
        <is>
          <t>F:/元分析-效应量/Tau-u计算文献/039-二次-E-使用视频建模教授孤独症儿童复杂社会行为序列.pdf</t>
        </is>
      </c>
    </row>
    <row r="160" ht="48" customHeight="1" s="176">
      <c r="A160" s="257" t="inlineStr">
        <is>
          <t>K298</t>
        </is>
      </c>
      <c r="B160" s="257" t="inlineStr">
        <is>
          <t>039-二次</t>
        </is>
      </c>
      <c r="C160" s="257" t="inlineStr">
        <is>
          <t>P.</t>
        </is>
      </c>
      <c r="D160" s="258" t="inlineStr">
        <is>
          <t>维持</t>
        </is>
      </c>
      <c r="E160" s="257" t="inlineStr">
        <is>
          <t>Claude修正</t>
        </is>
      </c>
      <c r="F160"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300；后段=2, 5, 2, 0, 0, 0。　〔GPT原记录：单位秒，图上近似读数，不是作者原始逐次测量表。A为11点；B为1个月和2个月随访各3点，共6点。Fig2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60" s="257" t="inlineStr">
        <is>
          <t>Fig2，PDF7／印刷684，第2面板，实心圆 SI–Rags；参与者 P.；Baseline A 与 1-month/2-month Follow-up，每月3点</t>
        </is>
      </c>
      <c r="H160"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0" s="257" t="inlineStr">
        <is>
          <t>F:/元分析-效应量/Tau-u计算文献/039-二次-E-使用视频建模教授孤独症儿童复杂社会行为序列.pdf</t>
        </is>
      </c>
    </row>
    <row r="161" ht="48" customHeight="1" s="176">
      <c r="A161" s="252" t="inlineStr">
        <is>
          <t>K299</t>
        </is>
      </c>
      <c r="B161" s="252" t="inlineStr">
        <is>
          <t>039-二次</t>
        </is>
      </c>
      <c r="C161" s="252" t="inlineStr">
        <is>
          <t>P.</t>
        </is>
      </c>
      <c r="D161" s="253" t="inlineStr">
        <is>
          <t>干预</t>
        </is>
      </c>
      <c r="E161" s="252" t="inlineStr">
        <is>
          <t>Claude补入</t>
        </is>
      </c>
      <c r="F161" s="253"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Fig3省略Video 4，后段为第12–30次。　〔GPT原记录：原文内部会话次数冲突：PDF5（印刷682）称 P. 在21次 video modeling 后进行GP；图2按阶段线可见 Video1–3共19点、Video4共3点，合计22；图3也显示19个Video1–3点。不能自行删点或判定笔误，待核实。〕</t>
        </is>
      </c>
      <c r="G161" s="252" t="inlineStr">
        <is>
          <t>Fig3，PDF8／印刷685，第2面板，空心方形主系列；参与者 P.；Baseline A 与所有 Video 1–3 段，按图中时间顺序池化</t>
        </is>
      </c>
      <c r="H161" s="25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正文确认基线没有互惠游戏，基线和图中同高的零点均记0。证据：resume_middle/039_8_P_crop.png；原始矢量坐标和标定见039_digitization_audit.json。不将候选数列填入主表；坐标候选仅保留在审计文件。</t>
        </is>
      </c>
      <c r="I161" s="252" t="inlineStr">
        <is>
          <t>F:/元分析-效应量/Tau-u计算文献/039-二次-E-使用视频建模教授孤独症儿童复杂社会行为序列.pdf</t>
        </is>
      </c>
    </row>
    <row r="162" ht="48" customHeight="1" s="176">
      <c r="A162" s="250" t="inlineStr">
        <is>
          <t>K300</t>
        </is>
      </c>
      <c r="B162" s="250" t="inlineStr">
        <is>
          <t>039-二次</t>
        </is>
      </c>
      <c r="C162" s="250" t="inlineStr">
        <is>
          <t>P.</t>
        </is>
      </c>
      <c r="D162" s="251" t="inlineStr">
        <is>
          <t>维持</t>
        </is>
      </c>
      <c r="E162" s="256" t="inlineStr">
        <is>
          <t>已补入</t>
        </is>
      </c>
      <c r="F162" s="251" t="inlineStr">
        <is>
          <t>单位秒，图上近似读数，不是作者原始逐次测量表。A为11点；B为1个月和2个月随访各3点，共6点。Fig2 含 Video4，Fig3省略 Video4，两个图分别依据各自阶段线取点；GP及Video4均未纳入。正文确认基线没有互惠游戏，基线和图中同高的零点均记0。证据：resume_middle/039_8_P_crop.png；原始矢量坐标和标定见039_digitization_audit.json。</t>
        </is>
      </c>
      <c r="G162" s="250" t="inlineStr">
        <is>
          <t>Fig3，PDF8／印刷685，第2面板，空心方形主系列；参与者 P.；Baseline A 与 1-month/2-month Follow-up，每月3点</t>
        </is>
      </c>
      <c r="H162"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2" s="250" t="inlineStr">
        <is>
          <t>F:/元分析-效应量/Tau-u计算文献/039-二次-E-使用视频建模教授孤独症儿童复杂社会行为序列.pdf</t>
        </is>
      </c>
    </row>
    <row r="163" ht="48" customHeight="1" s="176">
      <c r="A163" s="250" t="inlineStr">
        <is>
          <t>K301</t>
        </is>
      </c>
      <c r="B163" s="250" t="inlineStr">
        <is>
          <t>039-二次</t>
        </is>
      </c>
      <c r="C163" s="250" t="inlineStr">
        <is>
          <t>S.</t>
        </is>
      </c>
      <c r="D163" s="251" t="inlineStr">
        <is>
          <t>干预</t>
        </is>
      </c>
      <c r="E163" s="256" t="inlineStr">
        <is>
          <t>已补入</t>
        </is>
      </c>
      <c r="F163" s="251" t="inlineStr">
        <is>
          <t>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63" s="250" t="inlineStr">
        <is>
          <t>Fig2，PDF7／印刷684，第3面板，空心圆 SI–Ball；参与者 S.；Baseline A 与所有 Video 1–3 段，按图中时间顺序池化</t>
        </is>
      </c>
      <c r="H163"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3" s="250" t="inlineStr">
        <is>
          <t>F:/元分析-效应量/Tau-u计算文献/039-二次-E-使用视频建模教授孤独症儿童复杂社会行为序列.pdf</t>
        </is>
      </c>
    </row>
    <row r="164" ht="48" customHeight="1" s="176">
      <c r="A164" s="250" t="inlineStr">
        <is>
          <t>K302</t>
        </is>
      </c>
      <c r="B164" s="250" t="inlineStr">
        <is>
          <t>039-二次</t>
        </is>
      </c>
      <c r="C164" s="250" t="inlineStr">
        <is>
          <t>S.</t>
        </is>
      </c>
      <c r="D164" s="251" t="inlineStr">
        <is>
          <t>维持</t>
        </is>
      </c>
      <c r="E164" s="256" t="inlineStr">
        <is>
          <t>已补入</t>
        </is>
      </c>
      <c r="F164" s="251" t="inlineStr">
        <is>
          <t>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64" s="250" t="inlineStr">
        <is>
          <t>Fig2，PDF7／印刷684，第3面板，空心圆 SI–Ball；参与者 S.；Baseline A 与 1-month/2-month Follow-up，每月3点</t>
        </is>
      </c>
      <c r="H164"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4" s="250" t="inlineStr">
        <is>
          <t>F:/元分析-效应量/Tau-u计算文献/039-二次-E-使用视频建模教授孤独症儿童复杂社会行为序列.pdf</t>
        </is>
      </c>
    </row>
    <row r="165" ht="48" customHeight="1" s="176">
      <c r="A165" s="257" t="inlineStr">
        <is>
          <t>K303</t>
        </is>
      </c>
      <c r="B165" s="257" t="inlineStr">
        <is>
          <t>039-二次</t>
        </is>
      </c>
      <c r="C165" s="257" t="inlineStr">
        <is>
          <t>S.</t>
        </is>
      </c>
      <c r="D165" s="258" t="inlineStr">
        <is>
          <t>干预</t>
        </is>
      </c>
      <c r="E165" s="257" t="inlineStr">
        <is>
          <t>Claude修正</t>
        </is>
      </c>
      <c r="F165"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300；后段=300, 300, 300, 300, 300, 300, 300, 300, 300, 300, 300, 300, 300, 300, 300, 300, 300, 29, 6, 12, 2, 6, 6, 7。　〔GPT原记录：单位秒，图上近似读数，不是作者原始逐次测量表。A为16点；B为24点。Fig2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65" s="257" t="inlineStr">
        <is>
          <t>Fig2，PDF7／印刷684，第3面板，实心三角 SI–Table；参与者 S.；Baseline A 与所有 Video 1–3 段，按图中时间顺序池化</t>
        </is>
      </c>
      <c r="H165"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5" s="257" t="inlineStr">
        <is>
          <t>F:/元分析-效应量/Tau-u计算文献/039-二次-E-使用视频建模教授孤独症儿童复杂社会行为序列.pdf</t>
        </is>
      </c>
    </row>
    <row r="166" ht="48" customHeight="1" s="176">
      <c r="A166" s="257" t="inlineStr">
        <is>
          <t>K304</t>
        </is>
      </c>
      <c r="B166" s="257" t="inlineStr">
        <is>
          <t>039-二次</t>
        </is>
      </c>
      <c r="C166" s="257" t="inlineStr">
        <is>
          <t>S.</t>
        </is>
      </c>
      <c r="D166" s="258" t="inlineStr">
        <is>
          <t>维持</t>
        </is>
      </c>
      <c r="E166" s="257" t="inlineStr">
        <is>
          <t>Claude修正</t>
        </is>
      </c>
      <c r="F166"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300；后段=0, 0, 0, 10, 30, 5。　〔GPT原记录：单位秒，图上近似读数，不是作者原始逐次测量表。A为16点；B为1个月和2个月随访各3点，共6点。Fig2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66" s="257" t="inlineStr">
        <is>
          <t>Fig2，PDF7／印刷684，第3面板，实心三角 SI–Table；参与者 S.；Baseline A 与 1-month/2-month Follow-up，每月3点</t>
        </is>
      </c>
      <c r="H166"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6" s="257" t="inlineStr">
        <is>
          <t>F:/元分析-效应量/Tau-u计算文献/039-二次-E-使用视频建模教授孤独症儿童复杂社会行为序列.pdf</t>
        </is>
      </c>
    </row>
    <row r="167" ht="127.5" customHeight="1" s="176">
      <c r="A167" s="252" t="inlineStr">
        <is>
          <t>K305</t>
        </is>
      </c>
      <c r="B167" s="252" t="inlineStr">
        <is>
          <t>039-二次</t>
        </is>
      </c>
      <c r="C167" s="252" t="inlineStr">
        <is>
          <t>S.</t>
        </is>
      </c>
      <c r="D167" s="253" t="inlineStr">
        <is>
          <t>干预</t>
        </is>
      </c>
      <c r="E167" s="252" t="inlineStr">
        <is>
          <t>Claude补入</t>
        </is>
      </c>
      <c r="F167" s="253"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3为第17次（正文同），S.为第22次，J.为第12次。GPT担心的Video 3两点（约14秒）同高与否不影响Tau-U（基线全为300），统一记14。　〔GPT原记录：S. Figure2 最后Video3阶段前两枚实心圆近同高：圆心y约554.883与554.755（差约0.33秒），但连接线锚点的坡度与圆心差不一致，无法可靠判定两个原始反应潜伏期相等或不同。不能用取整强行并列，也不保留伪精度，故本K留空。〕</t>
        </is>
      </c>
      <c r="G167" s="252" t="inlineStr">
        <is>
          <t>Fig2，PDF7／印刷684，第3面板，实心圆 SI–Rags；参与者 S.；Baseline A 与所有 Video 1–3 段，按图中时间顺序池化</t>
        </is>
      </c>
      <c r="H167" s="25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Table/Rags发起也保留300秒点。证据：resume_middle/039_7_S_crop.png；原始矢量坐标和标定见039_digitization_audit.json。近邻点的矢量证据另见039_symbol_checks.json；候选数列仅留审计文件。</t>
        </is>
      </c>
      <c r="I167" s="252" t="inlineStr">
        <is>
          <t>F:/元分析-效应量/Tau-u计算文献/039-二次-E-使用视频建模教授孤独症儿童复杂社会行为序列.pdf</t>
        </is>
      </c>
    </row>
    <row r="168" ht="127.5" customHeight="1" s="176">
      <c r="A168" s="257" t="inlineStr">
        <is>
          <t>K306</t>
        </is>
      </c>
      <c r="B168" s="257" t="inlineStr">
        <is>
          <t>039-二次</t>
        </is>
      </c>
      <c r="C168" s="257" t="inlineStr">
        <is>
          <t>S.</t>
        </is>
      </c>
      <c r="D168" s="258" t="inlineStr">
        <is>
          <t>维持</t>
        </is>
      </c>
      <c r="E168" s="257" t="inlineStr">
        <is>
          <t>Claude修正</t>
        </is>
      </c>
      <c r="F168" s="258"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300；后段=12, 5, 12, 6, 24, 0。　〔GPT原记录：单位秒，图上近似读数，不是作者原始逐次测量表。A为16点；B为1个月和2个月随访各3点，共6点。Fig2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68" s="257" t="inlineStr">
        <is>
          <t>Fig2，PDF7／印刷684，第3面板，实心圆 SI–Rags；参与者 S.；Baseline A 与 1-month/2-month Follow-up，每月3点</t>
        </is>
      </c>
      <c r="H168" s="258"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8" s="257" t="inlineStr">
        <is>
          <t>F:/元分析-效应量/Tau-u计算文献/039-二次-E-使用视频建模教授孤独症儿童复杂社会行为序列.pdf</t>
        </is>
      </c>
    </row>
    <row r="169" ht="127.5" customHeight="1" s="176">
      <c r="A169" s="250" t="inlineStr">
        <is>
          <t>K307</t>
        </is>
      </c>
      <c r="B169" s="250" t="inlineStr">
        <is>
          <t>039-二次</t>
        </is>
      </c>
      <c r="C169" s="250" t="inlineStr">
        <is>
          <t>S.</t>
        </is>
      </c>
      <c r="D169" s="251" t="inlineStr">
        <is>
          <t>干预</t>
        </is>
      </c>
      <c r="E169" s="256" t="inlineStr">
        <is>
          <t>已补入</t>
        </is>
      </c>
      <c r="F169" s="251" t="inlineStr">
        <is>
          <t>单位秒，图上近似读数，不是作者原始逐次测量表。A为16点；B为24点。Fig2 含 Video4，Fig3省略 Video4，两个图分别依据各自阶段线取点；GP及Video4均未纳入。正文确认基线没有互惠游戏，基线和图中同高的零点均记0。证据：resume_middle/039_8_S_crop.png；原始矢量坐标和标定见039_digitization_audit.json。</t>
        </is>
      </c>
      <c r="G169" s="250" t="inlineStr">
        <is>
          <t>Fig3，PDF8／印刷685，第3面板，空心方形主系列；参与者 S.；Baseline A 与所有 Video 1–3 段，按图中时间顺序池化</t>
        </is>
      </c>
      <c r="H169"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9" s="250" t="inlineStr">
        <is>
          <t>F:/元分析-效应量/Tau-u计算文献/039-二次-E-使用视频建模教授孤独症儿童复杂社会行为序列.pdf</t>
        </is>
      </c>
    </row>
    <row r="170" ht="127.5" customHeight="1" s="176">
      <c r="A170" s="250" t="inlineStr">
        <is>
          <t>K308</t>
        </is>
      </c>
      <c r="B170" s="250" t="inlineStr">
        <is>
          <t>039-二次</t>
        </is>
      </c>
      <c r="C170" s="250" t="inlineStr">
        <is>
          <t>S.</t>
        </is>
      </c>
      <c r="D170" s="251" t="inlineStr">
        <is>
          <t>维持</t>
        </is>
      </c>
      <c r="E170" s="256" t="inlineStr">
        <is>
          <t>已补入</t>
        </is>
      </c>
      <c r="F170" s="251" t="inlineStr">
        <is>
          <t>单位秒，图上近似读数，不是作者原始逐次测量表。A为16点；B为1个月和2个月随访各3点，共6点。Fig2 含 Video4，Fig3省略 Video4，两个图分别依据各自阶段线取点；GP及Video4均未纳入。正文确认基线没有互惠游戏，基线和图中同高的零点均记0。证据：resume_middle/039_8_S_crop.png；原始矢量坐标和标定见039_digitization_audit.json。</t>
        </is>
      </c>
      <c r="G170" s="250" t="inlineStr">
        <is>
          <t>Fig3，PDF8／印刷685，第3面板，空心方形主系列；参与者 S.；Baseline A 与 1-month/2-month Follow-up，每月3点</t>
        </is>
      </c>
      <c r="H170" s="251"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0" s="250" t="inlineStr">
        <is>
          <t>F:/元分析-效应量/Tau-u计算文献/039-二次-E-使用视频建模教授孤独症儿童复杂社会行为序列.pdf</t>
        </is>
      </c>
    </row>
    <row r="171" ht="159.75" customHeight="1" s="176">
      <c r="A171" s="254" t="inlineStr">
        <is>
          <t>K341</t>
        </is>
      </c>
      <c r="B171" s="254" t="inlineStr">
        <is>
          <t>043-二次</t>
        </is>
      </c>
      <c r="C171" s="254" t="inlineStr">
        <is>
          <t>Daniel</t>
        </is>
      </c>
      <c r="D171" s="255" t="inlineStr">
        <is>
          <t>干预</t>
        </is>
      </c>
      <c r="E171" s="255" t="inlineStr">
        <is>
          <t>Claude补入（第二轮）</t>
        </is>
      </c>
      <c r="F171"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基线6点（K清单记7），后段＝B1第7–9次＋C第10–12次。　〔GPT原记录：Daniel 社会发起潜伏期在0–10秒附近密集，实心圆与空三角及连接线挨近；原图为栅格，纵轴30秒一格，不能可靠区分这些点哪些同高相等、哪些有1–2秒差异。正文只有范围/概括，未给逐点值。〕</t>
        </is>
      </c>
      <c r="G171" s="254" t="inlineStr">
        <is>
          <t>Figure1，PDF3/页95，第1面板Daniel；B1-C1图例系列</t>
        </is>
      </c>
      <c r="H171" s="255" t="inlineStr">
        <is>
          <t>从原文方法及原图重新核查</t>
        </is>
      </c>
      <c r="I171" s="254" t="inlineStr">
        <is>
          <t>F:/元分析-效应量/Tau-u计算文献/043-二次-E-视频建模对孤独症儿童社会发起行为的影响.pdf</t>
        </is>
      </c>
    </row>
    <row r="172" ht="159.75" customHeight="1" s="176">
      <c r="A172" s="254" t="inlineStr">
        <is>
          <t>K342</t>
        </is>
      </c>
      <c r="B172" s="254" t="inlineStr">
        <is>
          <t>043-二次</t>
        </is>
      </c>
      <c r="C172" s="254" t="inlineStr">
        <is>
          <t>Daniel</t>
        </is>
      </c>
      <c r="D172" s="255" t="inlineStr">
        <is>
          <t>维持</t>
        </is>
      </c>
      <c r="E172" s="255" t="inlineStr">
        <is>
          <t>Claude补入（第二轮）</t>
        </is>
      </c>
      <c r="F172"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随访4点。　〔GPT原记录：Daniel 社会发起潜伏期在0–10秒附近密集，实心圆与空三角及连接线挨近；原图为栅格，纵轴30秒一格，不能可靠区分这些点哪些同高相等、哪些有1–2秒差异。正文只有范围/概括，未给逐点值。〕</t>
        </is>
      </c>
      <c r="G172" s="254" t="inlineStr">
        <is>
          <t>Figure1，PDF3/页95，第1面板Daniel；B1-C1图例系列</t>
        </is>
      </c>
      <c r="H172" s="255" t="inlineStr">
        <is>
          <t>从原文方法及原图重新核查</t>
        </is>
      </c>
      <c r="I172" s="254" t="inlineStr">
        <is>
          <t>F:/元分析-效应量/Tau-u计算文献/043-二次-E-视频建模对孤独症儿童社会发起行为的影响.pdf</t>
        </is>
      </c>
    </row>
    <row r="173" ht="111.75" customHeight="1" s="176">
      <c r="A173" s="254" t="inlineStr">
        <is>
          <t>K343</t>
        </is>
      </c>
      <c r="B173" s="254" t="inlineStr">
        <is>
          <t>043-二次</t>
        </is>
      </c>
      <c r="C173" s="254" t="inlineStr">
        <is>
          <t>Daniel</t>
        </is>
      </c>
      <c r="D173" s="255" t="inlineStr">
        <is>
          <t>干预</t>
        </is>
      </c>
      <c r="E173" s="255" t="inlineStr">
        <is>
          <t>Claude补入（第二轮）</t>
        </is>
      </c>
      <c r="F173"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互惠游戏，后段同K341。　〔GPT原记录：Daniel 互惠游戏为空方连续秒数，原图为栅格，30秒一格；若干后段点在非刻度位置且接近，同值/小差异无法从当前图确定，正文没有逐点数据，留空避免凭坐标噪声造差异。〕</t>
        </is>
      </c>
      <c r="G173" s="254" t="inlineStr">
        <is>
          <t>Figure1，PDF3/页95，第1面板Daniel；B2-C3图例系列</t>
        </is>
      </c>
      <c r="H173" s="255" t="inlineStr">
        <is>
          <t>从原文方法及原图重新核查</t>
        </is>
      </c>
      <c r="I173" s="254" t="inlineStr">
        <is>
          <t>F:/元分析-效应量/Tau-u计算文献/043-二次-E-视频建模对孤独症儿童社会发起行为的影响.pdf</t>
        </is>
      </c>
    </row>
    <row r="174" ht="111.75" customHeight="1" s="176">
      <c r="A174" s="254" t="inlineStr">
        <is>
          <t>K344</t>
        </is>
      </c>
      <c r="B174" s="254" t="inlineStr">
        <is>
          <t>043-二次</t>
        </is>
      </c>
      <c r="C174" s="254" t="inlineStr">
        <is>
          <t>Daniel</t>
        </is>
      </c>
      <c r="D174" s="255" t="inlineStr">
        <is>
          <t>维持</t>
        </is>
      </c>
      <c r="E174" s="255" t="inlineStr">
        <is>
          <t>Claude补入（第二轮）</t>
        </is>
      </c>
      <c r="F174"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互惠游戏随访4点（3个月第1次为300秒）。　〔GPT原记录：Daniel 互惠游戏为空方连续秒数，原图为栅格，30秒一格；若干后段点在非刻度位置且接近，同值/小差异无法从当前图确定，正文没有逐点数据，留空避免凭坐标噪声造差异。〕</t>
        </is>
      </c>
      <c r="G174" s="254" t="inlineStr">
        <is>
          <t>Figure1，PDF3/页95，第1面板Daniel；B2-C3图例系列</t>
        </is>
      </c>
      <c r="H174" s="255" t="inlineStr">
        <is>
          <t>从原文方法及原图重新核查</t>
        </is>
      </c>
      <c r="I174" s="254" t="inlineStr">
        <is>
          <t>F:/元分析-效应量/Tau-u计算文献/043-二次-E-视频建模对孤独症儿童社会发起行为的影响.pdf</t>
        </is>
      </c>
    </row>
    <row r="175" ht="192" customHeight="1" s="176">
      <c r="A175" s="254" t="inlineStr">
        <is>
          <t>K345</t>
        </is>
      </c>
      <c r="B175" s="254" t="inlineStr">
        <is>
          <t>043-二次</t>
        </is>
      </c>
      <c r="C175" s="254" t="inlineStr">
        <is>
          <t>Christopher</t>
        </is>
      </c>
      <c r="D175" s="255" t="inlineStr">
        <is>
          <t>干预</t>
        </is>
      </c>
      <c r="E175" s="255" t="inlineStr">
        <is>
          <t>Claude补入（第二轮）</t>
        </is>
      </c>
      <c r="F175"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基线9点（第1–9次；K清单记12，可能把B1算进了基线），后段12点＝B1第10–12次（仍为300）＋B2第13–17次（第14次为300）＋C第18–21次。　〔GPT原记录：Christopher 社会发起潜伏期在0–10秒附近密集，实心圆与空三角及连接线挨近；原图为栅格，纵轴30秒一格，不能可靠区分这些点哪些同高相等、哪些有1–2秒差异。正文只有范围/概括，未给逐点值。〕</t>
        </is>
      </c>
      <c r="G175" s="254" t="inlineStr">
        <is>
          <t>Figure1，PDF3/页95，第2面板Christopher；B1-C1图例系列</t>
        </is>
      </c>
      <c r="H175" s="255" t="inlineStr">
        <is>
          <t>从原文方法及原图重新核查</t>
        </is>
      </c>
      <c r="I175" s="254" t="inlineStr">
        <is>
          <t>F:/元分析-效应量/Tau-u计算文献/043-二次-E-视频建模对孤独症儿童社会发起行为的影响.pdf</t>
        </is>
      </c>
    </row>
    <row r="176" ht="127.5" customHeight="1" s="176">
      <c r="A176" s="254" t="inlineStr">
        <is>
          <t>K346</t>
        </is>
      </c>
      <c r="B176" s="254" t="inlineStr">
        <is>
          <t>043-二次</t>
        </is>
      </c>
      <c r="C176" s="254" t="inlineStr">
        <is>
          <t>Christopher</t>
        </is>
      </c>
      <c r="D176" s="255" t="inlineStr">
        <is>
          <t>维持</t>
        </is>
      </c>
      <c r="E176" s="255" t="inlineStr">
        <is>
          <t>Claude补入（第二轮）</t>
        </is>
      </c>
      <c r="F176"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随访4点。　〔GPT原记录：Christopher 社会发起潜伏期在0–10秒附近密集，实心圆与空三角及连接线挨近；原图为栅格，纵轴30秒一格，不能可靠区分这些点哪些同高相等、哪些有1–2秒差异。正文只有范围/概括，未给逐点值。〕</t>
        </is>
      </c>
      <c r="G176" s="254" t="inlineStr">
        <is>
          <t>Figure1，PDF3/页95，第2面板Christopher；B1-C1图例系列</t>
        </is>
      </c>
      <c r="H176" s="255" t="inlineStr">
        <is>
          <t>从原文方法及原图重新核查</t>
        </is>
      </c>
      <c r="I176" s="254" t="inlineStr">
        <is>
          <t>F:/元分析-效应量/Tau-u计算文献/043-二次-E-视频建模对孤独症儿童社会发起行为的影响.pdf</t>
        </is>
      </c>
    </row>
    <row r="177" ht="192" customHeight="1" s="176">
      <c r="A177" s="254" t="inlineStr">
        <is>
          <t>K347</t>
        </is>
      </c>
      <c r="B177" s="254" t="inlineStr">
        <is>
          <t>043-二次</t>
        </is>
      </c>
      <c r="C177" s="254" t="inlineStr">
        <is>
          <t>Christopher</t>
        </is>
      </c>
      <c r="D177" s="255" t="inlineStr">
        <is>
          <t>干预</t>
        </is>
      </c>
      <c r="E177" s="255" t="inlineStr">
        <is>
          <t>Claude补入（第二轮）</t>
        </is>
      </c>
      <c r="F177"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互惠游戏，后段同K345。　〔GPT原记录：Christopher 互惠游戏为空方连续秒数，原图为栅格，30秒一格；若干后段点在非刻度位置且接近，同值/小差异无法从当前图确定，正文没有逐点数据，留空避免凭坐标噪声造差异。〕</t>
        </is>
      </c>
      <c r="G177" s="254" t="inlineStr">
        <is>
          <t>Figure1，PDF3/页95，第2面板Christopher；B2-C3图例系列</t>
        </is>
      </c>
      <c r="H177" s="255" t="inlineStr">
        <is>
          <t>从原文方法及原图重新核查</t>
        </is>
      </c>
      <c r="I177" s="254" t="inlineStr">
        <is>
          <t>F:/元分析-效应量/Tau-u计算文献/043-二次-E-视频建模对孤独症儿童社会发起行为的影响.pdf</t>
        </is>
      </c>
    </row>
    <row r="178" ht="127.5" customHeight="1" s="176">
      <c r="A178" s="254" t="inlineStr">
        <is>
          <t>K348</t>
        </is>
      </c>
      <c r="B178" s="254" t="inlineStr">
        <is>
          <t>043-二次</t>
        </is>
      </c>
      <c r="C178" s="254" t="inlineStr">
        <is>
          <t>Christopher</t>
        </is>
      </c>
      <c r="D178" s="255" t="inlineStr">
        <is>
          <t>维持</t>
        </is>
      </c>
      <c r="E178" s="255" t="inlineStr">
        <is>
          <t>Claude补入（第二轮）</t>
        </is>
      </c>
      <c r="F178"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互惠游戏随访4点。　〔GPT原记录：Christopher 互惠游戏为空方连续秒数，原图为栅格，30秒一格；若干后段点在非刻度位置且接近，同值/小差异无法从当前图确定，正文没有逐点数据，留空避免凭坐标噪声造差异。〕</t>
        </is>
      </c>
      <c r="G178" s="254" t="inlineStr">
        <is>
          <t>Figure1，PDF3/页95，第2面板Christopher；B2-C3图例系列</t>
        </is>
      </c>
      <c r="H178" s="255" t="inlineStr">
        <is>
          <t>从原文方法及原图重新核查</t>
        </is>
      </c>
      <c r="I178" s="254" t="inlineStr">
        <is>
          <t>F:/元分析-效应量/Tau-u计算文献/043-二次-E-视频建模对孤独症儿童社会发起行为的影响.pdf</t>
        </is>
      </c>
    </row>
    <row r="179" ht="192" customHeight="1" s="176">
      <c r="A179" s="254" t="inlineStr">
        <is>
          <t>K349</t>
        </is>
      </c>
      <c r="B179" s="254" t="inlineStr">
        <is>
          <t>043-二次</t>
        </is>
      </c>
      <c r="C179" s="254" t="inlineStr">
        <is>
          <t>Andrew</t>
        </is>
      </c>
      <c r="D179" s="255" t="inlineStr">
        <is>
          <t>干预</t>
        </is>
      </c>
      <c r="E179" s="255" t="inlineStr">
        <is>
          <t>Claude补入（第二轮）</t>
        </is>
      </c>
      <c r="F179"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基线17点（K清单记20，可能把B1算进了基线），后段11点＝B1第18–20次（300）＋B2第21–24次（第21次为300）＋C第25–28次。　〔GPT原记录：Andrew 社会发起潜伏期在0–10秒附近密集，实心圆与空三角及连接线挨近；原图为栅格，纵轴30秒一格，不能可靠区分这些点哪些同高相等、哪些有1–2秒差异。正文只有范围/概括，未给逐点值。〕</t>
        </is>
      </c>
      <c r="G179" s="254" t="inlineStr">
        <is>
          <t>Figure1，PDF3/页95，第3面板Andrew；B1-C1图例系列</t>
        </is>
      </c>
      <c r="H179" s="255" t="inlineStr">
        <is>
          <t>从原文方法及原图重新核查</t>
        </is>
      </c>
      <c r="I179" s="254" t="inlineStr">
        <is>
          <t>F:/元分析-效应量/Tau-u计算文献/043-二次-E-视频建模对孤独症儿童社会发起行为的影响.pdf</t>
        </is>
      </c>
    </row>
    <row r="180" ht="127.5" customHeight="1" s="176">
      <c r="A180" s="254" t="inlineStr">
        <is>
          <t>K350</t>
        </is>
      </c>
      <c r="B180" s="254" t="inlineStr">
        <is>
          <t>043-二次</t>
        </is>
      </c>
      <c r="C180" s="254" t="inlineStr">
        <is>
          <t>Andrew</t>
        </is>
      </c>
      <c r="D180" s="255" t="inlineStr">
        <is>
          <t>维持</t>
        </is>
      </c>
      <c r="E180" s="255" t="inlineStr">
        <is>
          <t>Claude补入（第二轮）</t>
        </is>
      </c>
      <c r="F180"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随访4点。　〔GPT原记录：Andrew 社会发起潜伏期在0–10秒附近密集，实心圆与空三角及连接线挨近；原图为栅格，纵轴30秒一格，不能可靠区分这些点哪些同高相等、哪些有1–2秒差异。正文只有范围/概括，未给逐点值。〕</t>
        </is>
      </c>
      <c r="G180" s="254" t="inlineStr">
        <is>
          <t>Figure1，PDF3/页95，第3面板Andrew；B1-C1图例系列</t>
        </is>
      </c>
      <c r="H180" s="255" t="inlineStr">
        <is>
          <t>从原文方法及原图重新核查</t>
        </is>
      </c>
      <c r="I180" s="254" t="inlineStr">
        <is>
          <t>F:/元分析-效应量/Tau-u计算文献/043-二次-E-视频建模对孤独症儿童社会发起行为的影响.pdf</t>
        </is>
      </c>
    </row>
    <row r="181" ht="159.75" customHeight="1" s="176">
      <c r="A181" s="254" t="inlineStr">
        <is>
          <t>K351</t>
        </is>
      </c>
      <c r="B181" s="254" t="inlineStr">
        <is>
          <t>043-二次</t>
        </is>
      </c>
      <c r="C181" s="254" t="inlineStr">
        <is>
          <t>Andrew</t>
        </is>
      </c>
      <c r="D181" s="255" t="inlineStr">
        <is>
          <t>干预</t>
        </is>
      </c>
      <c r="E181" s="255" t="inlineStr">
        <is>
          <t>Claude补入（第二轮）</t>
        </is>
      </c>
      <c r="F181"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互惠游戏，后段同K349。　〔GPT原记录：Andrew 互惠游戏为空方连续秒数，原图为栅格，30秒一格；若干后段点在非刻度位置且接近，同值/小差异无法从当前图确定，正文没有逐点数据，留空避免凭坐标噪声造差异。〕</t>
        </is>
      </c>
      <c r="G181" s="254" t="inlineStr">
        <is>
          <t>Figure1，PDF3/页95，第3面板Andrew；B2-C3图例系列</t>
        </is>
      </c>
      <c r="H181" s="255" t="inlineStr">
        <is>
          <t>从原文方法及原图重新核查</t>
        </is>
      </c>
      <c r="I181" s="254" t="inlineStr">
        <is>
          <t>F:/元分析-效应量/Tau-u计算文献/043-二次-E-视频建模对孤独症儿童社会发起行为的影响.pdf</t>
        </is>
      </c>
    </row>
    <row r="182" ht="96" customHeight="1" s="176">
      <c r="A182" s="254" t="inlineStr">
        <is>
          <t>K352</t>
        </is>
      </c>
      <c r="B182" s="254" t="inlineStr">
        <is>
          <t>043-二次</t>
        </is>
      </c>
      <c r="C182" s="254" t="inlineStr">
        <is>
          <t>Andrew</t>
        </is>
      </c>
      <c r="D182" s="255" t="inlineStr">
        <is>
          <t>维持</t>
        </is>
      </c>
      <c r="E182" s="255" t="inlineStr">
        <is>
          <t>Claude补入（第二轮）</t>
        </is>
      </c>
      <c r="F182" s="255"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互惠游戏随访4点。　〔GPT原记录：Andrew 互惠游戏为空方连续秒数，原图为栅格，30秒一格；若干后段点在非刻度位置且接近，同值/小差异无法从当前图确定，正文没有逐点数据，留空避免凭坐标噪声造差异。〕</t>
        </is>
      </c>
      <c r="G182" s="254" t="inlineStr">
        <is>
          <t>Figure1，PDF3/页95，第3面板Andrew；B2-C3图例系列</t>
        </is>
      </c>
      <c r="H182" s="255" t="inlineStr">
        <is>
          <t>从原文方法及原图重新核查</t>
        </is>
      </c>
      <c r="I182" s="254" t="inlineStr">
        <is>
          <t>F:/元分析-效应量/Tau-u计算文献/043-二次-E-视频建模对孤独症儿童社会发起行为的影响.pdf</t>
        </is>
      </c>
    </row>
    <row r="183" ht="127.5" customHeight="1" s="176">
      <c r="A183" s="254" t="inlineStr">
        <is>
          <t>K353</t>
        </is>
      </c>
      <c r="B183" s="254" t="inlineStr">
        <is>
          <t>044-二次</t>
        </is>
      </c>
      <c r="C183" s="254" t="inlineStr">
        <is>
          <t>Kirsty</t>
        </is>
      </c>
      <c r="D183" s="255" t="inlineStr">
        <is>
          <t>干预</t>
        </is>
      </c>
      <c r="E183" s="255" t="inlineStr">
        <is>
          <t>Claude补入（第二轮）</t>
        </is>
      </c>
      <c r="F183"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183" s="255" t="inlineStr">
        <is>
          <t>图1，PDF第9页/手稿第9页，Kirsty面板，左纵轴黑圆</t>
        </is>
      </c>
      <c r="H183" s="255" t="inlineStr">
        <is>
          <t>从原文方法及原图重新核查</t>
        </is>
      </c>
      <c r="I183" s="254" t="inlineStr">
        <is>
          <t>F:/元分析-效应量/Tau-u计算文献/044-二次-E-视频建模对孤独症儿童社会发起与互惠游戏训练及泛化的影响.pdf</t>
        </is>
      </c>
    </row>
    <row r="184" ht="127.5" customHeight="1" s="176">
      <c r="A184" s="254" t="inlineStr">
        <is>
          <t>K354</t>
        </is>
      </c>
      <c r="B184" s="254" t="inlineStr">
        <is>
          <t>044-二次</t>
        </is>
      </c>
      <c r="C184" s="254" t="inlineStr">
        <is>
          <t>Kirsty</t>
        </is>
      </c>
      <c r="D184" s="255" t="inlineStr">
        <is>
          <t>维持</t>
        </is>
      </c>
      <c r="E184" s="255" t="inlineStr">
        <is>
          <t>Claude补入（第二轮）</t>
        </is>
      </c>
      <c r="F184"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184" s="255" t="inlineStr">
        <is>
          <t>图1，PDF第9页/手稿第9页，Kirsty面板，左纵轴黑圆</t>
        </is>
      </c>
      <c r="H184" s="255" t="inlineStr">
        <is>
          <t>从原文方法及原图重新核查</t>
        </is>
      </c>
      <c r="I184" s="254" t="inlineStr">
        <is>
          <t>F:/元分析-效应量/Tau-u计算文献/044-二次-E-视频建模对孤独症儿童社会发起与互惠游戏训练及泛化的影响.pdf</t>
        </is>
      </c>
    </row>
    <row r="185" ht="127.5" customHeight="1" s="176">
      <c r="A185" s="254" t="inlineStr">
        <is>
          <t>K355</t>
        </is>
      </c>
      <c r="B185" s="254" t="inlineStr">
        <is>
          <t>044-二次</t>
        </is>
      </c>
      <c r="C185" s="254" t="inlineStr">
        <is>
          <t>Kirsty</t>
        </is>
      </c>
      <c r="D185" s="255" t="inlineStr">
        <is>
          <t>泛化</t>
        </is>
      </c>
      <c r="E185" s="255" t="inlineStr">
        <is>
          <t>Claude补入（第二轮）</t>
        </is>
      </c>
      <c r="F185" s="255" t="inlineStr">
        <is>
          <t>【2026-10-24合并】条件 A 基线 vs 条件 C–F（球、手鼓、蹦床、火车；换玩具、不看视频）合并；后段按条件顺序拼接（K355、K356、K357、K358）。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且原图含C→D→C→D返转，目标映射未明确泛化取首次还是合并重复条件。〕</t>
        </is>
      </c>
      <c r="G185" s="255" t="inlineStr">
        <is>
          <t>图1，PDF第9页/手稿第9页，Kirsty面板，左纵轴黑圆</t>
        </is>
      </c>
      <c r="H185" s="255" t="inlineStr">
        <is>
          <t>从原文方法及原图重新核查</t>
        </is>
      </c>
      <c r="I185" s="254" t="inlineStr">
        <is>
          <t>F:/元分析-效应量/Tau-u计算文献/044-二次-E-视频建模对孤独症儿童社会发起与互惠游戏训练及泛化的影响.pdf</t>
        </is>
      </c>
    </row>
    <row r="186" ht="127.5" customHeight="1" s="176">
      <c r="A186" s="254" t="inlineStr">
        <is>
          <t>K359</t>
        </is>
      </c>
      <c r="B186" s="254" t="inlineStr">
        <is>
          <t>044-二次</t>
        </is>
      </c>
      <c r="C186" s="254" t="inlineStr">
        <is>
          <t>Kirsty</t>
        </is>
      </c>
      <c r="D186" s="255" t="inlineStr">
        <is>
          <t>干预</t>
        </is>
      </c>
      <c r="E186" s="255" t="inlineStr">
        <is>
          <t>Claude补入（第二轮）</t>
        </is>
      </c>
      <c r="F186"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186" s="255" t="inlineStr">
        <is>
          <t>图1，PDF第9页/手稿第9页，Kirsty面板，右纵轴空方</t>
        </is>
      </c>
      <c r="H186" s="255" t="inlineStr">
        <is>
          <t>从原文方法及原图重新核查</t>
        </is>
      </c>
      <c r="I186" s="254" t="inlineStr">
        <is>
          <t>F:/元分析-效应量/Tau-u计算文献/044-二次-E-视频建模对孤独症儿童社会发起与互惠游戏训练及泛化的影响.pdf</t>
        </is>
      </c>
    </row>
    <row r="187" ht="192" customHeight="1" s="176">
      <c r="A187" s="254" t="inlineStr">
        <is>
          <t>K360</t>
        </is>
      </c>
      <c r="B187" s="254" t="inlineStr">
        <is>
          <t>044-二次</t>
        </is>
      </c>
      <c r="C187" s="254" t="inlineStr">
        <is>
          <t>Kirsty</t>
        </is>
      </c>
      <c r="D187" s="255" t="inlineStr">
        <is>
          <t>维持</t>
        </is>
      </c>
      <c r="E187" s="255" t="inlineStr">
        <is>
          <t>Claude补入（第二轮）</t>
        </is>
      </c>
      <c r="F187"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187" s="255" t="inlineStr">
        <is>
          <t>图1，PDF第9页/手稿第9页，Kirsty面板，右纵轴空方</t>
        </is>
      </c>
      <c r="H187" s="255" t="inlineStr">
        <is>
          <t>从原文方法及原图重新核查</t>
        </is>
      </c>
      <c r="I187" s="254" t="inlineStr">
        <is>
          <t>F:/元分析-效应量/Tau-u计算文献/044-二次-E-视频建模对孤独症儿童社会发起与互惠游戏训练及泛化的影响.pdf</t>
        </is>
      </c>
    </row>
    <row r="188" ht="127.5" customHeight="1" s="176">
      <c r="A188" s="254" t="inlineStr">
        <is>
          <t>K361</t>
        </is>
      </c>
      <c r="B188" s="254" t="inlineStr">
        <is>
          <t>044-二次</t>
        </is>
      </c>
      <c r="C188" s="254" t="inlineStr">
        <is>
          <t>Kirsty</t>
        </is>
      </c>
      <c r="D188" s="255" t="inlineStr">
        <is>
          <t>泛化</t>
        </is>
      </c>
      <c r="E188" s="255" t="inlineStr">
        <is>
          <t>Claude补入（第二轮）</t>
        </is>
      </c>
      <c r="F188" s="255" t="inlineStr">
        <is>
          <t>【2026-10-24合并】条件 A 基线 vs 条件 C–F（球、手鼓、蹦床、火车；换玩具、不看视频）合并；后段按条件顺序拼接（K361、K362、K363、K364）。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互惠游戏后段大量点密集于约285–300秒，30秒一格的分块栅格图无法确认相近点实际相等或不同；不能以估读替代确定数据。且原图含C→D→C→D返转，目标映射未明确泛化取首次还是合并重复条件。〕</t>
        </is>
      </c>
      <c r="G188" s="255" t="inlineStr">
        <is>
          <t>图1，PDF第9页/手稿第9页，Kirsty面板，右纵轴空方</t>
        </is>
      </c>
      <c r="H188" s="255" t="inlineStr">
        <is>
          <t>从原文方法及原图重新核查</t>
        </is>
      </c>
      <c r="I188" s="254" t="inlineStr">
        <is>
          <t>F:/元分析-效应量/Tau-u计算文献/044-二次-E-视频建模对孤独症儿童社会发起与互惠游戏训练及泛化的影响.pdf</t>
        </is>
      </c>
    </row>
    <row r="189" ht="96" customHeight="1" s="176">
      <c r="A189" s="254" t="inlineStr">
        <is>
          <t>K365</t>
        </is>
      </c>
      <c r="B189" s="254" t="inlineStr">
        <is>
          <t>044-二次</t>
        </is>
      </c>
      <c r="C189" s="254" t="inlineStr">
        <is>
          <t>Niko</t>
        </is>
      </c>
      <c r="D189" s="255" t="inlineStr">
        <is>
          <t>干预</t>
        </is>
      </c>
      <c r="E189" s="255" t="inlineStr">
        <is>
          <t>Claude补入（第二轮）</t>
        </is>
      </c>
      <c r="F189"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189" s="255" t="inlineStr">
        <is>
          <t>图1，PDF第9页/手稿第9页，Niko面板，左纵轴黑圆</t>
        </is>
      </c>
      <c r="H189" s="255" t="inlineStr">
        <is>
          <t>从原文方法及原图重新核查</t>
        </is>
      </c>
      <c r="I189" s="254" t="inlineStr">
        <is>
          <t>F:/元分析-效应量/Tau-u计算文献/044-二次-E-视频建模对孤独症儿童社会发起与互惠游戏训练及泛化的影响.pdf</t>
        </is>
      </c>
    </row>
    <row r="190" ht="96" customHeight="1" s="176">
      <c r="A190" s="254" t="inlineStr">
        <is>
          <t>K366</t>
        </is>
      </c>
      <c r="B190" s="254" t="inlineStr">
        <is>
          <t>044-二次</t>
        </is>
      </c>
      <c r="C190" s="254" t="inlineStr">
        <is>
          <t>Niko</t>
        </is>
      </c>
      <c r="D190" s="255" t="inlineStr">
        <is>
          <t>维持</t>
        </is>
      </c>
      <c r="E190" s="255" t="inlineStr">
        <is>
          <t>Claude补入（第二轮）</t>
        </is>
      </c>
      <c r="F190"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190" s="255" t="inlineStr">
        <is>
          <t>图1，PDF第9页/手稿第9页，Niko面板，左纵轴黑圆</t>
        </is>
      </c>
      <c r="H190" s="255" t="inlineStr">
        <is>
          <t>从原文方法及原图重新核查</t>
        </is>
      </c>
      <c r="I190" s="254" t="inlineStr">
        <is>
          <t>F:/元分析-效应量/Tau-u计算文献/044-二次-E-视频建模对孤独症儿童社会发起与互惠游戏训练及泛化的影响.pdf</t>
        </is>
      </c>
    </row>
    <row r="191" ht="48" customHeight="1" s="176">
      <c r="A191" s="254" t="inlineStr">
        <is>
          <t>K367</t>
        </is>
      </c>
      <c r="B191" s="254" t="inlineStr">
        <is>
          <t>044-二次</t>
        </is>
      </c>
      <c r="C191" s="254" t="inlineStr">
        <is>
          <t>Niko</t>
        </is>
      </c>
      <c r="D191" s="255" t="inlineStr">
        <is>
          <t>泛化</t>
        </is>
      </c>
      <c r="E191" s="255" t="inlineStr">
        <is>
          <t>Claude补入（第二轮）</t>
        </is>
      </c>
      <c r="F191" s="255" t="inlineStr">
        <is>
          <t>【2026-10-24合并】条件 A 基线 vs 条件 C–F（球、手鼓、蹦床、火车；换玩具、不看视频）合并；后段按条件顺序拼接（K367、K368、K369、K370）。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191" s="255" t="inlineStr">
        <is>
          <t>图1，PDF第9页/手稿第9页，Niko面板，左纵轴黑圆</t>
        </is>
      </c>
      <c r="H191" s="255" t="inlineStr">
        <is>
          <t>从原文方法及原图重新核查</t>
        </is>
      </c>
      <c r="I191" s="254" t="inlineStr">
        <is>
          <t>F:/元分析-效应量/Tau-u计算文献/044-二次-E-视频建模对孤独症儿童社会发起与互惠游戏训练及泛化的影响.pdf</t>
        </is>
      </c>
    </row>
    <row r="192" ht="48" customHeight="1" s="176">
      <c r="A192" s="254" t="inlineStr">
        <is>
          <t>K371</t>
        </is>
      </c>
      <c r="B192" s="254" t="inlineStr">
        <is>
          <t>044-二次</t>
        </is>
      </c>
      <c r="C192" s="254" t="inlineStr">
        <is>
          <t>Niko</t>
        </is>
      </c>
      <c r="D192" s="255" t="inlineStr">
        <is>
          <t>干预</t>
        </is>
      </c>
      <c r="E192" s="255" t="inlineStr">
        <is>
          <t>Claude补入（第二轮）</t>
        </is>
      </c>
      <c r="F192"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192" s="255" t="inlineStr">
        <is>
          <t>图1，PDF第9页/手稿第9页，Niko面板，右纵轴空方</t>
        </is>
      </c>
      <c r="H192" s="255" t="inlineStr">
        <is>
          <t>从原文方法及原图重新核查</t>
        </is>
      </c>
      <c r="I192" s="254" t="inlineStr">
        <is>
          <t>F:/元分析-效应量/Tau-u计算文献/044-二次-E-视频建模对孤独症儿童社会发起与互惠游戏训练及泛化的影响.pdf</t>
        </is>
      </c>
    </row>
    <row r="193" ht="48" customHeight="1" s="176">
      <c r="A193" s="254" t="inlineStr">
        <is>
          <t>K372</t>
        </is>
      </c>
      <c r="B193" s="254" t="inlineStr">
        <is>
          <t>044-二次</t>
        </is>
      </c>
      <c r="C193" s="254" t="inlineStr">
        <is>
          <t>Niko</t>
        </is>
      </c>
      <c r="D193" s="255" t="inlineStr">
        <is>
          <t>维持</t>
        </is>
      </c>
      <c r="E193" s="255" t="inlineStr">
        <is>
          <t>Claude补入（第二轮）</t>
        </is>
      </c>
      <c r="F193"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193" s="255" t="inlineStr">
        <is>
          <t>图1，PDF第9页/手稿第9页，Niko面板，右纵轴空方</t>
        </is>
      </c>
      <c r="H193" s="255" t="inlineStr">
        <is>
          <t>从原文方法及原图重新核查</t>
        </is>
      </c>
      <c r="I193" s="254" t="inlineStr">
        <is>
          <t>F:/元分析-效应量/Tau-u计算文献/044-二次-E-视频建模对孤独症儿童社会发起与互惠游戏训练及泛化的影响.pdf</t>
        </is>
      </c>
    </row>
    <row r="194" ht="48" customHeight="1" s="176">
      <c r="A194" s="254" t="inlineStr">
        <is>
          <t>K373</t>
        </is>
      </c>
      <c r="B194" s="254" t="inlineStr">
        <is>
          <t>044-二次</t>
        </is>
      </c>
      <c r="C194" s="254" t="inlineStr">
        <is>
          <t>Niko</t>
        </is>
      </c>
      <c r="D194" s="255" t="inlineStr">
        <is>
          <t>泛化</t>
        </is>
      </c>
      <c r="E194" s="255" t="inlineStr">
        <is>
          <t>Claude补入（第二轮）</t>
        </is>
      </c>
      <c r="F194" s="255" t="inlineStr">
        <is>
          <t>【2026-10-24合并】条件 A 基线 vs 条件 C–F（球、手鼓、蹦床、火车；换玩具、不看视频）合并；后段按条件顺序拼接（K373、K374、K375、K376）。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194" s="255" t="inlineStr">
        <is>
          <t>图1，PDF第9页/手稿第9页，Niko面板，右纵轴空方</t>
        </is>
      </c>
      <c r="H194" s="255" t="inlineStr">
        <is>
          <t>从原文方法及原图重新核查</t>
        </is>
      </c>
      <c r="I194" s="254" t="inlineStr">
        <is>
          <t>F:/元分析-效应量/Tau-u计算文献/044-二次-E-视频建模对孤独症儿童社会发起与互惠游戏训练及泛化的影响.pdf</t>
        </is>
      </c>
    </row>
    <row r="195" ht="48" customHeight="1" s="176">
      <c r="A195" s="254" t="inlineStr">
        <is>
          <t>K377</t>
        </is>
      </c>
      <c r="B195" s="254" t="inlineStr">
        <is>
          <t>044-二次</t>
        </is>
      </c>
      <c r="C195" s="254" t="inlineStr">
        <is>
          <t>Jamie</t>
        </is>
      </c>
      <c r="D195" s="255" t="inlineStr">
        <is>
          <t>干预</t>
        </is>
      </c>
      <c r="E195" s="255" t="inlineStr">
        <is>
          <t>Claude补入（第二轮）</t>
        </is>
      </c>
      <c r="F195"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195" s="255" t="inlineStr">
        <is>
          <t>图1，PDF第9页/手稿第9页，Jamie面板，左纵轴黑圆</t>
        </is>
      </c>
      <c r="H195" s="255" t="inlineStr">
        <is>
          <t>从原文方法及原图重新核查</t>
        </is>
      </c>
      <c r="I195" s="254" t="inlineStr">
        <is>
          <t>F:/元分析-效应量/Tau-u计算文献/044-二次-E-视频建模对孤独症儿童社会发起与互惠游戏训练及泛化的影响.pdf</t>
        </is>
      </c>
    </row>
    <row r="196" ht="48" customHeight="1" s="176">
      <c r="A196" s="254" t="inlineStr">
        <is>
          <t>K378</t>
        </is>
      </c>
      <c r="B196" s="254" t="inlineStr">
        <is>
          <t>044-二次</t>
        </is>
      </c>
      <c r="C196" s="254" t="inlineStr">
        <is>
          <t>Jamie</t>
        </is>
      </c>
      <c r="D196" s="255" t="inlineStr">
        <is>
          <t>维持</t>
        </is>
      </c>
      <c r="E196" s="255" t="inlineStr">
        <is>
          <t>Claude补入（第二轮）</t>
        </is>
      </c>
      <c r="F196"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196" s="255" t="inlineStr">
        <is>
          <t>图1，PDF第9页/手稿第9页，Jamie面板，左纵轴黑圆</t>
        </is>
      </c>
      <c r="H196" s="255" t="inlineStr">
        <is>
          <t>从原文方法及原图重新核查</t>
        </is>
      </c>
      <c r="I196" s="254" t="inlineStr">
        <is>
          <t>F:/元分析-效应量/Tau-u计算文献/044-二次-E-视频建模对孤独症儿童社会发起与互惠游戏训练及泛化的影响.pdf</t>
        </is>
      </c>
    </row>
    <row r="197" ht="48" customHeight="1" s="176">
      <c r="A197" s="254" t="inlineStr">
        <is>
          <t>K380</t>
        </is>
      </c>
      <c r="B197" s="254" t="inlineStr">
        <is>
          <t>044-二次</t>
        </is>
      </c>
      <c r="C197" s="254" t="inlineStr">
        <is>
          <t>Jamie</t>
        </is>
      </c>
      <c r="D197" s="255" t="inlineStr">
        <is>
          <t>泛化</t>
        </is>
      </c>
      <c r="E197" s="255" t="inlineStr">
        <is>
          <t>Claude补入（第二轮）</t>
        </is>
      </c>
      <c r="F197" s="255" t="inlineStr">
        <is>
          <t>【2026-10-24合并】条件 A 基线 vs 条件 D–F（换玩具、不看视频）合并；Jamie条件C无法与视频示范期分开，未取；后段按条件顺序拼接（K380、K381、K382）。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197" s="255" t="inlineStr">
        <is>
          <t>图1，PDF第9页/手稿第9页，Jamie面板，左纵轴黑圆</t>
        </is>
      </c>
      <c r="H197" s="255" t="inlineStr">
        <is>
          <t>从原文方法及原图重新核查</t>
        </is>
      </c>
      <c r="I197" s="254" t="inlineStr">
        <is>
          <t>F:/元分析-效应量/Tau-u计算文献/044-二次-E-视频建模对孤独症儿童社会发起与互惠游戏训练及泛化的影响.pdf</t>
        </is>
      </c>
    </row>
    <row r="198" ht="48" customHeight="1" s="176">
      <c r="A198" s="254" t="inlineStr">
        <is>
          <t>K383</t>
        </is>
      </c>
      <c r="B198" s="254" t="inlineStr">
        <is>
          <t>044-二次</t>
        </is>
      </c>
      <c r="C198" s="254" t="inlineStr">
        <is>
          <t>Jamie</t>
        </is>
      </c>
      <c r="D198" s="255" t="inlineStr">
        <is>
          <t>干预</t>
        </is>
      </c>
      <c r="E198" s="255" t="inlineStr">
        <is>
          <t>Claude补入（第二轮）</t>
        </is>
      </c>
      <c r="F198"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198" s="255" t="inlineStr">
        <is>
          <t>图1，PDF第9页/手稿第9页，Jamie面板，右纵轴空方</t>
        </is>
      </c>
      <c r="H198" s="255" t="inlineStr">
        <is>
          <t>从原文方法及原图重新核查</t>
        </is>
      </c>
      <c r="I198" s="254" t="inlineStr">
        <is>
          <t>F:/元分析-效应量/Tau-u计算文献/044-二次-E-视频建模对孤独症儿童社会发起与互惠游戏训练及泛化的影响.pdf</t>
        </is>
      </c>
    </row>
    <row r="199" ht="48" customHeight="1" s="176">
      <c r="A199" s="254" t="inlineStr">
        <is>
          <t>K384</t>
        </is>
      </c>
      <c r="B199" s="254" t="inlineStr">
        <is>
          <t>044-二次</t>
        </is>
      </c>
      <c r="C199" s="254" t="inlineStr">
        <is>
          <t>Jamie</t>
        </is>
      </c>
      <c r="D199" s="255" t="inlineStr">
        <is>
          <t>维持</t>
        </is>
      </c>
      <c r="E199" s="255" t="inlineStr">
        <is>
          <t>Claude补入（第二轮）</t>
        </is>
      </c>
      <c r="F199" s="255"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199" s="255" t="inlineStr">
        <is>
          <t>图1，PDF第9页/手稿第9页，Jamie面板，右纵轴空方</t>
        </is>
      </c>
      <c r="H199" s="255" t="inlineStr">
        <is>
          <t>从原文方法及原图重新核查</t>
        </is>
      </c>
      <c r="I199" s="254" t="inlineStr">
        <is>
          <t>F:/元分析-效应量/Tau-u计算文献/044-二次-E-视频建模对孤独症儿童社会发起与互惠游戏训练及泛化的影响.pdf</t>
        </is>
      </c>
    </row>
    <row r="200" ht="48" customHeight="1" s="176">
      <c r="A200" s="254" t="inlineStr">
        <is>
          <t>K386</t>
        </is>
      </c>
      <c r="B200" s="254" t="inlineStr">
        <is>
          <t>044-二次</t>
        </is>
      </c>
      <c r="C200" s="254" t="inlineStr">
        <is>
          <t>Jamie</t>
        </is>
      </c>
      <c r="D200" s="255" t="inlineStr">
        <is>
          <t>泛化</t>
        </is>
      </c>
      <c r="E200" s="255" t="inlineStr">
        <is>
          <t>Claude补入（第二轮）</t>
        </is>
      </c>
      <c r="F200" s="255" t="inlineStr">
        <is>
          <t>【2026-10-24合并】条件 A 基线 vs 条件 D–F（换玩具、不看视频）合并；Jamie条件C无法与视频示范期分开，未取；后段按条件顺序拼接（K386、K387、K388）。 【Claude第二轮补入】Claude按原图取点（图1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00" s="255" t="inlineStr">
        <is>
          <t>图1，PDF第9页/手稿第9页，Jamie面板，右纵轴空方</t>
        </is>
      </c>
      <c r="H200" s="255" t="inlineStr">
        <is>
          <t>从原文方法及原图重新核查</t>
        </is>
      </c>
      <c r="I200" s="254" t="inlineStr">
        <is>
          <t>F:/元分析-效应量/Tau-u计算文献/044-二次-E-视频建模对孤独症儿童社会发起与互惠游戏训练及泛化的影响.pdf</t>
        </is>
      </c>
    </row>
    <row r="201" ht="48" customHeight="1" s="176">
      <c r="A201" s="250" t="inlineStr">
        <is>
          <t>K395</t>
        </is>
      </c>
      <c r="B201" s="250" t="inlineStr">
        <is>
          <t>048-二次</t>
        </is>
      </c>
      <c r="C201" s="250" t="inlineStr">
        <is>
          <t>Jack</t>
        </is>
      </c>
      <c r="D201" s="251" t="inlineStr">
        <is>
          <t>干预</t>
        </is>
      </c>
      <c r="E201" s="251" t="inlineStr">
        <is>
          <t>已补入</t>
        </is>
      </c>
      <c r="F201" s="250" t="inlineStr">
        <is>
          <t>Jack记录每日无视频探测；Manuel记录完成VM顺向链后保留探测；原始正向值。</t>
        </is>
      </c>
      <c r="G201" s="251" t="inlineStr">
        <is>
          <t>图1，PDF第7页/期刊第259页，Airplanes面板，黑圆</t>
        </is>
      </c>
      <c r="H201" s="251" t="inlineStr">
        <is>
          <t>重新读取原PDF栅格图黑圆，依据逐会话位置和阶段虚线分段；整数频次/清晰的百分比刻度；Manuel三面板用结果段均值交叉验证。</t>
        </is>
      </c>
      <c r="I201" s="250" t="inlineStr">
        <is>
          <t>F:/元分析-效应量/Tau-u计算文献/048-二次-E-视频示范对增加孤独症儿童面向手足的游戏相关陈述的效果.pdf</t>
        </is>
      </c>
    </row>
    <row r="202" ht="48" customHeight="1" s="176">
      <c r="A202" s="254" t="inlineStr">
        <is>
          <t>K396</t>
        </is>
      </c>
      <c r="B202" s="254" t="inlineStr">
        <is>
          <t>048-二次</t>
        </is>
      </c>
      <c r="C202" s="254" t="inlineStr">
        <is>
          <t>Jack</t>
        </is>
      </c>
      <c r="D202" s="255" t="inlineStr">
        <is>
          <t>干预</t>
        </is>
      </c>
      <c r="E202" s="255" t="inlineStr">
        <is>
          <t>Claude补入（第二轮）</t>
        </is>
      </c>
      <c r="F202" s="255" t="inlineStr">
        <is>
          <t>【Claude第二轮补入】Claude按原图取点（图1 PDF7，Picnic面板黑圆）。基线9点全0；干预13点按纵轴刻度读整数（15、30、65、45、80等水平）。GPT担心的“1/6等比例还是整数百分比”只影响数值写法，不影响Tau-U：基线全为0，干预点全部大于0。　〔GPT原记录：Picnic百分比栅格点约落在15、30、65、45、80等水平，原文仅说平均六句而未给该活动确切分母；不能确认是图上整数百分比还是1/6等比例，精度和相等关系尚无可靠依据。〕</t>
        </is>
      </c>
      <c r="G202" s="255" t="inlineStr">
        <is>
          <t>图1，PDF第7页/期刊第259页，Picnic面板，黑圆</t>
        </is>
      </c>
      <c r="H202" s="255" t="inlineStr">
        <is>
          <t>从原文方法及原图重新核查</t>
        </is>
      </c>
      <c r="I202" s="254" t="inlineStr">
        <is>
          <t>F:/元分析-效应量/Tau-u计算文献/048-二次-E-视频示范对增加孤独症儿童面向手足的游戏相关陈述的效果.pdf</t>
        </is>
      </c>
    </row>
    <row r="203" ht="48" customHeight="1" s="176">
      <c r="A203" s="250" t="inlineStr">
        <is>
          <t>K397</t>
        </is>
      </c>
      <c r="B203" s="250" t="inlineStr">
        <is>
          <t>048-二次</t>
        </is>
      </c>
      <c r="C203" s="250" t="inlineStr">
        <is>
          <t>Jack</t>
        </is>
      </c>
      <c r="D203" s="251" t="inlineStr">
        <is>
          <t>干预</t>
        </is>
      </c>
      <c r="E203" s="251" t="inlineStr">
        <is>
          <t>已补入</t>
        </is>
      </c>
      <c r="F203" s="250" t="inlineStr">
        <is>
          <t>Jack记录每日无视频探测；Manuel记录完成VM顺向链后保留探测；原始正向值。</t>
        </is>
      </c>
      <c r="G203" s="251" t="inlineStr">
        <is>
          <t>图1，PDF第7页/期刊第259页，Dinosaur Cars面板，黑圆</t>
        </is>
      </c>
      <c r="H203" s="251" t="inlineStr">
        <is>
          <t>重新读取原PDF栅格图黑圆，依据逐会话位置和阶段虚线分段；整数频次/清晰的百分比刻度；Manuel三面板用结果段均值交叉验证。</t>
        </is>
      </c>
      <c r="I203" s="250" t="inlineStr">
        <is>
          <t>F:/元分析-效应量/Tau-u计算文献/048-二次-E-视频示范对增加孤独症儿童面向手足的游戏相关陈述的效果.pdf</t>
        </is>
      </c>
    </row>
    <row r="204" ht="48" customHeight="1" s="176">
      <c r="A204" s="250" t="inlineStr">
        <is>
          <t>K398</t>
        </is>
      </c>
      <c r="B204" s="250" t="inlineStr">
        <is>
          <t>048-二次</t>
        </is>
      </c>
      <c r="C204" s="250" t="inlineStr">
        <is>
          <t>Manuel</t>
        </is>
      </c>
      <c r="D204" s="251" t="inlineStr">
        <is>
          <t>干预</t>
        </is>
      </c>
      <c r="E204" s="251" t="inlineStr">
        <is>
          <t>已补入</t>
        </is>
      </c>
      <c r="F204" s="250" t="inlineStr">
        <is>
          <t>Jack记录每日无视频探测；Manuel记录完成VM顺向链后保留探测；原始正向值。</t>
        </is>
      </c>
      <c r="G204" s="251" t="inlineStr">
        <is>
          <t>图2，PDF第10页/期刊第262页，Batman Colorforms面板，黑圆</t>
        </is>
      </c>
      <c r="H204" s="251" t="inlineStr">
        <is>
          <t>重新读取原PDF栅格图黑圆，依据逐会话位置和阶段虚线分段；整数频次/清晰的百分比刻度；Manuel三面板用结果段均值交叉验证。</t>
        </is>
      </c>
      <c r="I204" s="250" t="inlineStr">
        <is>
          <t>F:/元分析-效应量/Tau-u计算文献/048-二次-E-视频示范对增加孤独症儿童面向手足的游戏相关陈述的效果.pdf</t>
        </is>
      </c>
    </row>
    <row r="205" ht="63.75" customHeight="1" s="176">
      <c r="A205" s="250" t="inlineStr">
        <is>
          <t>K399</t>
        </is>
      </c>
      <c r="B205" s="250" t="inlineStr">
        <is>
          <t>048-二次</t>
        </is>
      </c>
      <c r="C205" s="250" t="inlineStr">
        <is>
          <t>Manuel</t>
        </is>
      </c>
      <c r="D205" s="251" t="inlineStr">
        <is>
          <t>干预</t>
        </is>
      </c>
      <c r="E205" s="251" t="inlineStr">
        <is>
          <t>已补入</t>
        </is>
      </c>
      <c r="F205" s="250" t="inlineStr">
        <is>
          <t>Jack记录每日无视频探测；Manuel记录完成VM顺向链后保留探测；原始正向值。</t>
        </is>
      </c>
      <c r="G205" s="251" t="inlineStr">
        <is>
          <t>图2，PDF第10页/期刊第262页，Cars and Loops Track面板，黑圆</t>
        </is>
      </c>
      <c r="H205" s="251" t="inlineStr">
        <is>
          <t>重新读取原PDF栅格图黑圆，依据逐会话位置和阶段虚线分段；整数频次/清晰的百分比刻度；Manuel三面板用结果段均值交叉验证。</t>
        </is>
      </c>
      <c r="I205" s="250" t="inlineStr">
        <is>
          <t>F:/元分析-效应量/Tau-u计算文献/048-二次-E-视频示范对增加孤独症儿童面向手足的游戏相关陈述的效果.pdf</t>
        </is>
      </c>
    </row>
    <row r="206" ht="63.75" customHeight="1" s="176">
      <c r="A206" s="250" t="inlineStr">
        <is>
          <t>K400</t>
        </is>
      </c>
      <c r="B206" s="250" t="inlineStr">
        <is>
          <t>048-二次</t>
        </is>
      </c>
      <c r="C206" s="250" t="inlineStr">
        <is>
          <t>Manuel</t>
        </is>
      </c>
      <c r="D206" s="251" t="inlineStr">
        <is>
          <t>干预</t>
        </is>
      </c>
      <c r="E206" s="251" t="inlineStr">
        <is>
          <t>已补入</t>
        </is>
      </c>
      <c r="F206" s="250" t="inlineStr">
        <is>
          <t>Jack记录每日无视频探测；Manuel记录完成VM顺向链后保留探测；原始正向值。</t>
        </is>
      </c>
      <c r="G206" s="251" t="inlineStr">
        <is>
          <t>图2，PDF第10页/期刊第262页，Marines面板，黑圆</t>
        </is>
      </c>
      <c r="H206" s="251" t="inlineStr">
        <is>
          <t>重新读取原PDF栅格图黑圆，依据逐会话位置和阶段虚线分段；整数频次/清晰的百分比刻度；Manuel三面板用结果段均值交叉验证。</t>
        </is>
      </c>
      <c r="I206" s="250" t="inlineStr">
        <is>
          <t>F:/元分析-效应量/Tau-u计算文献/048-二次-E-视频示范对增加孤独症儿童面向手足的游戏相关陈述的效果.pdf</t>
        </is>
      </c>
    </row>
    <row r="207" ht="48" customHeight="1" s="176">
      <c r="A207" s="252" t="inlineStr">
        <is>
          <t>K401</t>
        </is>
      </c>
      <c r="B207" s="252" t="inlineStr">
        <is>
          <t>051-二次</t>
        </is>
      </c>
      <c r="C207" s="252" t="inlineStr">
        <is>
          <t>Bob</t>
        </is>
      </c>
      <c r="D207" s="253" t="inlineStr">
        <is>
          <t>干预</t>
        </is>
      </c>
      <c r="E207" s="252" t="inlineStr">
        <is>
          <t>Claude补入</t>
        </is>
      </c>
      <c r="F207" s="253" t="inlineStr">
        <is>
          <t>【Claude补入】Claude按PDF矢量坐标取点（Fig1 Stage1、Fig2 Stage2，PDF7）。前段沿用GPT已填同一儿童维持/干预K的两轮合并基线。Stage1 VSM 8点均值0.375、表2写0.67，按规则8以图为准；Stage2 VSM 5点全0。　〔GPT原记录：原图 Fig.1 的 Bob 干预段有 8 个观测点 [0,2,0,0,0,0,0,1]，均值 0.375；同页 Table 2 的 Intervention M 为 0.67。原文内部冲突，不能自行选择，合并两轮的干预 K 留空。〕</t>
        </is>
      </c>
      <c r="G207" s="252" t="inlineStr">
        <is>
          <t>PDF7/印刷108页；Bob
Figure1：第1面板；Figure2：第2面板；符号见原图图例</t>
        </is>
      </c>
      <c r="H207" s="253" t="inlineStr">
        <is>
          <t>从原文方法及原图重新核查</t>
        </is>
      </c>
      <c r="I207" s="252" t="inlineStr">
        <is>
          <t>F:/元分析-效应量/Tau-u计算文献/051-二次-E-视频自我示范促进3岁孤独症谱系障碍儿童社会发起行为的效果.pdf</t>
        </is>
      </c>
    </row>
    <row r="208" ht="48" customHeight="1" s="176">
      <c r="A208" s="250" t="inlineStr">
        <is>
          <t>K402</t>
        </is>
      </c>
      <c r="B208" s="250" t="inlineStr">
        <is>
          <t>051-二次</t>
        </is>
      </c>
      <c r="C208" s="250" t="inlineStr">
        <is>
          <t>Bob</t>
        </is>
      </c>
      <c r="D208" s="251" t="inlineStr">
        <is>
          <t>维持</t>
        </is>
      </c>
      <c r="E208" s="251" t="inlineStr">
        <is>
          <t>已补入</t>
        </is>
      </c>
      <c r="F208" s="251" t="inlineStr">
        <is>
          <t>图中的缺测横向间隔不补点；所用阶段各自均值与原文 Table 2、Table 3 一致。两轮保留分段证据于 051-二次_independent_points.json。</t>
        </is>
      </c>
      <c r="G208" s="250" t="inlineStr">
        <is>
          <t>PDF7/印刷108页；Bob
Figure1：第1面板；Figure2：第2面板；符号见原图图例</t>
        </is>
      </c>
      <c r="H208" s="251" t="inlineStr">
        <is>
          <t>重新读取方法及 Fig.1、Fig.2；提取每个实心圆的矢量中心，按各面板纵轴还原整数频次，以虚线阶段界分段。按目标定义先 Stage 1 后 Stage 2 合并相应 A、B。</t>
        </is>
      </c>
      <c r="I208" s="250" t="inlineStr">
        <is>
          <t>F:/元分析-效应量/Tau-u计算文献/051-二次-E-视频自我示范促进3岁孤独症谱系障碍儿童社会发起行为的效果.pdf</t>
        </is>
      </c>
    </row>
    <row r="209" ht="48" customHeight="1" s="176">
      <c r="A209" s="250" t="inlineStr">
        <is>
          <t>K403</t>
        </is>
      </c>
      <c r="B209" s="250" t="inlineStr">
        <is>
          <t>051-二次</t>
        </is>
      </c>
      <c r="C209" s="250" t="inlineStr">
        <is>
          <t>Tevon</t>
        </is>
      </c>
      <c r="D209" s="251" t="inlineStr">
        <is>
          <t>干预</t>
        </is>
      </c>
      <c r="E209" s="251" t="inlineStr">
        <is>
          <t>已补入</t>
        </is>
      </c>
      <c r="F209" s="251" t="inlineStr">
        <is>
          <t>图中的缺测横向间隔不补点；所用阶段各自均值与原文 Table 2、Table 3 一致。两轮保留分段证据于 051-二次_independent_points.json。</t>
        </is>
      </c>
      <c r="G209" s="250" t="inlineStr">
        <is>
          <t>PDF7/印刷108页；Tevon
Figure1：第2面板；Figure2：第3面板；符号见原图图例</t>
        </is>
      </c>
      <c r="H209" s="251" t="inlineStr">
        <is>
          <t>重新读取方法及 Fig.1、Fig.2；提取每个实心圆的矢量中心，按各面板纵轴还原整数频次，以虚线阶段界分段。按目标定义先 Stage 1 后 Stage 2 合并相应 A、B。</t>
        </is>
      </c>
      <c r="I209" s="250" t="inlineStr">
        <is>
          <t>F:/元分析-效应量/Tau-u计算文献/051-二次-E-视频自我示范促进3岁孤独症谱系障碍儿童社会发起行为的效果.pdf</t>
        </is>
      </c>
    </row>
    <row r="210" ht="48" customHeight="1" s="176">
      <c r="A210" s="252" t="inlineStr">
        <is>
          <t>K404</t>
        </is>
      </c>
      <c r="B210" s="252" t="inlineStr">
        <is>
          <t>051-二次</t>
        </is>
      </c>
      <c r="C210" s="252" t="inlineStr">
        <is>
          <t>Tevon</t>
        </is>
      </c>
      <c r="D210" s="253" t="inlineStr">
        <is>
          <t>维持</t>
        </is>
      </c>
      <c r="E210" s="252" t="inlineStr">
        <is>
          <t>Claude补入</t>
        </is>
      </c>
      <c r="F210" s="253" t="inlineStr">
        <is>
          <t>【Claude补入】Claude按PDF矢量坐标取点（Fig1 Stage1、Fig2 Stage2，PDF7）。前段沿用GPT已填同一儿童维持/干预K的两轮合并基线。Stage1维持12点均值3.00、表2写3.08（图中有一处缺测间隔，不补点），以图为准；Stage2维持4点均值2.50与表3一致。　〔GPT原记录：原图 Fig.1 的 Tevon 维持段 12 个实际圆点均值 3.00；同页 Table 2 的 Maintenance M 为 3.08。图中有缺测间隔，不能补出未画的点以匹配均值。合并两轮的维持 K 留空。〕</t>
        </is>
      </c>
      <c r="G210" s="252" t="inlineStr">
        <is>
          <t>PDF7/印刷108页；Tevon
Figure1：第2面板；Figure2：第3面板；符号见原图图例</t>
        </is>
      </c>
      <c r="H210" s="253" t="inlineStr">
        <is>
          <t>从原文方法及原图重新核查</t>
        </is>
      </c>
      <c r="I210" s="252" t="inlineStr">
        <is>
          <t>F:/元分析-效应量/Tau-u计算文献/051-二次-E-视频自我示范促进3岁孤独症谱系障碍儿童社会发起行为的效果.pdf</t>
        </is>
      </c>
    </row>
    <row r="211" ht="48" customHeight="1" s="176">
      <c r="A211" s="252" t="inlineStr">
        <is>
          <t>K405</t>
        </is>
      </c>
      <c r="B211" s="252" t="inlineStr">
        <is>
          <t>051-二次</t>
        </is>
      </c>
      <c r="C211" s="252" t="inlineStr">
        <is>
          <t>Josh</t>
        </is>
      </c>
      <c r="D211" s="253" t="inlineStr">
        <is>
          <t>干预</t>
        </is>
      </c>
      <c r="E211" s="252" t="inlineStr">
        <is>
          <t>Claude补入</t>
        </is>
      </c>
      <c r="F211" s="253" t="inlineStr">
        <is>
          <t>【Claude补入】Claude按PDF矢量坐标取点（Fig1 Stage1、Fig2 Stage2，PDF7）。前段沿用GPT已填同一儿童维持/干预K的两轮合并基线。Stage1 VSM 8点全0、表2写0.20，以图为准；Stage2 VSM 5点均值0.20与表3一致。　〔GPT原记录：原图 Fig.1 的 Josh 干预段 8 个观测点均为 0；同页 Table 2 的 Intervention M 为 0.20。原文内部冲突，合并两轮的干预 K 留空。〕</t>
        </is>
      </c>
      <c r="G211" s="252" t="inlineStr">
        <is>
          <t>PDF7/印刷108页；Josh
Figure1：第3面板；Figure2：第1面板；符号见原图图例</t>
        </is>
      </c>
      <c r="H211" s="253" t="inlineStr">
        <is>
          <t>从原文方法及原图重新核查</t>
        </is>
      </c>
      <c r="I211" s="252" t="inlineStr">
        <is>
          <t>F:/元分析-效应量/Tau-u计算文献/051-二次-E-视频自我示范促进3岁孤独症谱系障碍儿童社会发起行为的效果.pdf</t>
        </is>
      </c>
    </row>
    <row r="212" ht="48" customHeight="1" s="176">
      <c r="A212" s="250" t="inlineStr">
        <is>
          <t>K406</t>
        </is>
      </c>
      <c r="B212" s="250" t="inlineStr">
        <is>
          <t>051-二次</t>
        </is>
      </c>
      <c r="C212" s="250" t="inlineStr">
        <is>
          <t>Josh</t>
        </is>
      </c>
      <c r="D212" s="251" t="inlineStr">
        <is>
          <t>维持</t>
        </is>
      </c>
      <c r="E212" s="251" t="inlineStr">
        <is>
          <t>已补入</t>
        </is>
      </c>
      <c r="F212" s="251" t="inlineStr">
        <is>
          <t>图中的缺测横向间隔不补点；所用阶段各自均值与原文 Table 2、Table 3 一致。两轮保留分段证据于 051-二次_independent_points.json。</t>
        </is>
      </c>
      <c r="G212" s="250" t="inlineStr">
        <is>
          <t>PDF7/印刷108页；Josh
Figure1：第3面板；Figure2：第1面板；符号见原图图例</t>
        </is>
      </c>
      <c r="H212" s="251" t="inlineStr">
        <is>
          <t>重新读取方法及 Fig.1、Fig.2；提取每个实心圆的矢量中心，按各面板纵轴还原整数频次，以虚线阶段界分段。按目标定义先 Stage 1 后 Stage 2 合并相应 A、B。</t>
        </is>
      </c>
      <c r="I212" s="250" t="inlineStr">
        <is>
          <t>F:/元分析-效应量/Tau-u计算文献/051-二次-E-视频自我示范促进3岁孤独症谱系障碍儿童社会发起行为的效果.pdf</t>
        </is>
      </c>
    </row>
    <row r="213" ht="48" customHeight="1" s="176">
      <c r="A213" s="250" t="inlineStr">
        <is>
          <t>K407</t>
        </is>
      </c>
      <c r="B213" s="250" t="inlineStr">
        <is>
          <t>051-滚雪球</t>
        </is>
      </c>
      <c r="C213" s="250" t="inlineStr">
        <is>
          <t>Ned</t>
        </is>
      </c>
      <c r="D213" s="251" t="inlineStr">
        <is>
          <t>干预</t>
        </is>
      </c>
      <c r="E213" s="251" t="inlineStr">
        <is>
          <t>已补入</t>
        </is>
      </c>
      <c r="F213" s="251" t="inlineStr">
        <is>
          <t>基线6，干预6；完整图及方法核查。</t>
        </is>
      </c>
      <c r="G213" s="250" t="inlineStr">
        <is>
          <t>Figure1，PDF12（无正式印刷页码），自上而下第1面板，实心圆，左轴</t>
        </is>
      </c>
      <c r="H213" s="251" t="inlineStr">
        <is>
          <t>重新从原PDF实心圆圆心提取整数反应数；用图中Baseline/Intervention/Maintenance实线界限分段，L1–L5在Intervention范围内合并。</t>
        </is>
      </c>
      <c r="I213" s="250" t="inlineStr">
        <is>
          <t>F:/元分析-效应量/Tau-u计算文献/051-滚雪球-提高自闭症谱系障碍儿童的行为多样性与社交技能准确性.pdf</t>
        </is>
      </c>
    </row>
    <row r="214" ht="48" customHeight="1" s="176">
      <c r="A214" s="250" t="inlineStr">
        <is>
          <t>K408</t>
        </is>
      </c>
      <c r="B214" s="250" t="inlineStr">
        <is>
          <t>051-滚雪球</t>
        </is>
      </c>
      <c r="C214" s="250" t="inlineStr">
        <is>
          <t>Ned</t>
        </is>
      </c>
      <c r="D214" s="251" t="inlineStr">
        <is>
          <t>维持</t>
        </is>
      </c>
      <c r="E214" s="251" t="inlineStr">
        <is>
          <t>已补入</t>
        </is>
      </c>
      <c r="F214" s="251" t="inlineStr">
        <is>
          <t>基线6，维持18。</t>
        </is>
      </c>
      <c r="G214" s="250" t="inlineStr">
        <is>
          <t>Figure1，PDF12（无正式印刷页码），自上而下第1面板，实心圆，左轴</t>
        </is>
      </c>
      <c r="H214" s="251" t="inlineStr">
        <is>
          <t>原PDF圆心独立提取，Maintenance按实线右侧并结合正文停止直接教学的定义；基线沿用本图实线左侧。</t>
        </is>
      </c>
      <c r="I214" s="250" t="inlineStr">
        <is>
          <t>F:/元分析-效应量/Tau-u计算文献/051-滚雪球-提高自闭症谱系障碍儿童的行为多样性与社交技能准确性.pdf</t>
        </is>
      </c>
    </row>
    <row r="215" ht="48" customHeight="1" s="176">
      <c r="A215" s="250" t="inlineStr">
        <is>
          <t>K409</t>
        </is>
      </c>
      <c r="B215" s="250" t="inlineStr">
        <is>
          <t>051-滚雪球</t>
        </is>
      </c>
      <c r="C215" s="250" t="inlineStr">
        <is>
          <t>Ned</t>
        </is>
      </c>
      <c r="D215" s="251" t="inlineStr">
        <is>
          <t>干预</t>
        </is>
      </c>
      <c r="E215" s="251" t="inlineStr">
        <is>
          <t>已补入</t>
        </is>
      </c>
      <c r="F215" s="251" t="inlineStr">
        <is>
          <t>基线12，干预6；完整图及方法核查。</t>
        </is>
      </c>
      <c r="G215" s="250" t="inlineStr">
        <is>
          <t>Figure1，PDF12（无正式印刷页码），自上而下第2面板，实心圆，左轴</t>
        </is>
      </c>
      <c r="H215" s="251" t="inlineStr">
        <is>
          <t>重新从原PDF实心圆圆心提取整数反应数；用图中Baseline/Intervention/Maintenance实线界限分段，L1–L5在Intervention范围内合并。</t>
        </is>
      </c>
      <c r="I215" s="250" t="inlineStr">
        <is>
          <t>F:/元分析-效应量/Tau-u计算文献/051-滚雪球-提高自闭症谱系障碍儿童的行为多样性与社交技能准确性.pdf</t>
        </is>
      </c>
    </row>
    <row r="216" ht="48" customHeight="1" s="176">
      <c r="A216" s="250" t="inlineStr">
        <is>
          <t>K410</t>
        </is>
      </c>
      <c r="B216" s="250" t="inlineStr">
        <is>
          <t>051-滚雪球</t>
        </is>
      </c>
      <c r="C216" s="250" t="inlineStr">
        <is>
          <t>Ned</t>
        </is>
      </c>
      <c r="D216" s="251" t="inlineStr">
        <is>
          <t>维持</t>
        </is>
      </c>
      <c r="E216" s="251" t="inlineStr">
        <is>
          <t>已补入</t>
        </is>
      </c>
      <c r="F216" s="251" t="inlineStr">
        <is>
          <t>基线12，维持12。</t>
        </is>
      </c>
      <c r="G216" s="250" t="inlineStr">
        <is>
          <t>Figure1，PDF12（无正式印刷页码），自上而下第2面板，实心圆，左轴</t>
        </is>
      </c>
      <c r="H216" s="251" t="inlineStr">
        <is>
          <t>原PDF圆心独立提取，Maintenance按实线右侧并结合正文停止直接教学的定义；基线沿用本图实线左侧。</t>
        </is>
      </c>
      <c r="I216" s="250" t="inlineStr">
        <is>
          <t>F:/元分析-效应量/Tau-u计算文献/051-滚雪球-提高自闭症谱系障碍儿童的行为多样性与社交技能准确性.pdf</t>
        </is>
      </c>
    </row>
    <row r="217" ht="48" customHeight="1" s="176">
      <c r="A217" s="250" t="inlineStr">
        <is>
          <t>K411</t>
        </is>
      </c>
      <c r="B217" s="250" t="inlineStr">
        <is>
          <t>051-滚雪球</t>
        </is>
      </c>
      <c r="C217" s="250" t="inlineStr">
        <is>
          <t>Ned</t>
        </is>
      </c>
      <c r="D217" s="251" t="inlineStr">
        <is>
          <t>干预</t>
        </is>
      </c>
      <c r="E217" s="251" t="inlineStr">
        <is>
          <t>已补入</t>
        </is>
      </c>
      <c r="F217" s="251" t="inlineStr">
        <is>
          <t>基线18，干预8；完整图及方法核查。</t>
        </is>
      </c>
      <c r="G217" s="250" t="inlineStr">
        <is>
          <t>Figure1，PDF12（无正式印刷页码），自上而下第3面板，实心圆，左轴</t>
        </is>
      </c>
      <c r="H217" s="251" t="inlineStr">
        <is>
          <t>重新从原PDF实心圆圆心提取整数反应数；用图中Baseline/Intervention/Maintenance实线界限分段，L1–L5在Intervention范围内合并。</t>
        </is>
      </c>
      <c r="I217" s="250" t="inlineStr">
        <is>
          <t>F:/元分析-效应量/Tau-u计算文献/051-滚雪球-提高自闭症谱系障碍儿童的行为多样性与社交技能准确性.pdf</t>
        </is>
      </c>
    </row>
    <row r="218" ht="48" customHeight="1" s="176">
      <c r="A218" s="250" t="inlineStr">
        <is>
          <t>K412</t>
        </is>
      </c>
      <c r="B218" s="250" t="inlineStr">
        <is>
          <t>051-滚雪球</t>
        </is>
      </c>
      <c r="C218" s="250" t="inlineStr">
        <is>
          <t>Ned</t>
        </is>
      </c>
      <c r="D218" s="251" t="inlineStr">
        <is>
          <t>维持</t>
        </is>
      </c>
      <c r="E218" s="251" t="inlineStr">
        <is>
          <t>已补入</t>
        </is>
      </c>
      <c r="F218" s="251" t="inlineStr">
        <is>
          <t>基线18，维持4。</t>
        </is>
      </c>
      <c r="G218" s="250" t="inlineStr">
        <is>
          <t>Figure1，PDF12（无正式印刷页码），自上而下第3面板，实心圆，左轴</t>
        </is>
      </c>
      <c r="H218" s="251" t="inlineStr">
        <is>
          <t>原PDF圆心独立提取，Maintenance按实线右侧并结合正文停止直接教学的定义；基线沿用本图实线左侧。</t>
        </is>
      </c>
      <c r="I218" s="250" t="inlineStr">
        <is>
          <t>F:/元分析-效应量/Tau-u计算文献/051-滚雪球-提高自闭症谱系障碍儿童的行为多样性与社交技能准确性.pdf</t>
        </is>
      </c>
    </row>
    <row r="219" ht="48" customHeight="1" s="176">
      <c r="A219" s="250" t="inlineStr">
        <is>
          <t>K413</t>
        </is>
      </c>
      <c r="B219" s="250" t="inlineStr">
        <is>
          <t>051-滚雪球</t>
        </is>
      </c>
      <c r="C219" s="250" t="inlineStr">
        <is>
          <t>Suzy</t>
        </is>
      </c>
      <c r="D219" s="251" t="inlineStr">
        <is>
          <t>干预</t>
        </is>
      </c>
      <c r="E219" s="251" t="inlineStr">
        <is>
          <t>已补入</t>
        </is>
      </c>
      <c r="F219" s="251" t="inlineStr">
        <is>
          <t>基线9，干预9；完整图及方法核查。</t>
        </is>
      </c>
      <c r="G219" s="250" t="inlineStr">
        <is>
          <t>Figure2，PDF13（无正式印刷页码），自上而下第1面板，实心圆，左轴</t>
        </is>
      </c>
      <c r="H219" s="251" t="inlineStr">
        <is>
          <t>重新从原PDF实心圆圆心提取整数反应数；用图中Baseline/Intervention/Maintenance实线界限分段，L1–L5在Intervention范围内合并。</t>
        </is>
      </c>
      <c r="I219" s="250" t="inlineStr">
        <is>
          <t>F:/元分析-效应量/Tau-u计算文献/051-滚雪球-提高自闭症谱系障碍儿童的行为多样性与社交技能准确性.pdf</t>
        </is>
      </c>
    </row>
    <row r="220" ht="48" customHeight="1" s="176">
      <c r="A220" s="250" t="inlineStr">
        <is>
          <t>K414</t>
        </is>
      </c>
      <c r="B220" s="250" t="inlineStr">
        <is>
          <t>051-滚雪球</t>
        </is>
      </c>
      <c r="C220" s="250" t="inlineStr">
        <is>
          <t>Suzy</t>
        </is>
      </c>
      <c r="D220" s="251" t="inlineStr">
        <is>
          <t>维持</t>
        </is>
      </c>
      <c r="E220" s="251" t="inlineStr">
        <is>
          <t>已补入</t>
        </is>
      </c>
      <c r="F220" s="251" t="inlineStr">
        <is>
          <t>基线9，维持10。</t>
        </is>
      </c>
      <c r="G220" s="250" t="inlineStr">
        <is>
          <t>Figure2，PDF13（无正式印刷页码），自上而下第1面板，实心圆，左轴</t>
        </is>
      </c>
      <c r="H220" s="251" t="inlineStr">
        <is>
          <t>原PDF圆心独立提取，Maintenance按实线右侧并结合正文停止直接教学的定义；基线沿用本图实线左侧。</t>
        </is>
      </c>
      <c r="I220" s="250" t="inlineStr">
        <is>
          <t>F:/元分析-效应量/Tau-u计算文献/051-滚雪球-提高自闭症谱系障碍儿童的行为多样性与社交技能准确性.pdf</t>
        </is>
      </c>
    </row>
    <row r="221" ht="48" customHeight="1" s="176">
      <c r="A221" s="250" t="inlineStr">
        <is>
          <t>K415</t>
        </is>
      </c>
      <c r="B221" s="250" t="inlineStr">
        <is>
          <t>051-滚雪球</t>
        </is>
      </c>
      <c r="C221" s="250" t="inlineStr">
        <is>
          <t>Suzy</t>
        </is>
      </c>
      <c r="D221" s="251" t="inlineStr">
        <is>
          <t>干预</t>
        </is>
      </c>
      <c r="E221" s="251" t="inlineStr">
        <is>
          <t>已补入</t>
        </is>
      </c>
      <c r="F221" s="251" t="inlineStr">
        <is>
          <t>基线18，干预5；完整图及方法核查。</t>
        </is>
      </c>
      <c r="G221" s="250" t="inlineStr">
        <is>
          <t>Figure2，PDF13（无正式印刷页码），自上而下第2面板，实心圆，左轴</t>
        </is>
      </c>
      <c r="H221" s="251" t="inlineStr">
        <is>
          <t>重新从原PDF实心圆圆心提取整数反应数；用图中Baseline/Intervention/Maintenance实线界限分段，L1–L5在Intervention范围内合并。</t>
        </is>
      </c>
      <c r="I221" s="250" t="inlineStr">
        <is>
          <t>F:/元分析-效应量/Tau-u计算文献/051-滚雪球-提高自闭症谱系障碍儿童的行为多样性与社交技能准确性.pdf</t>
        </is>
      </c>
    </row>
    <row r="222" ht="48" customHeight="1" s="176">
      <c r="A222" s="250" t="inlineStr">
        <is>
          <t>K416</t>
        </is>
      </c>
      <c r="B222" s="250" t="inlineStr">
        <is>
          <t>051-滚雪球</t>
        </is>
      </c>
      <c r="C222" s="250" t="inlineStr">
        <is>
          <t>Suzy</t>
        </is>
      </c>
      <c r="D222" s="251" t="inlineStr">
        <is>
          <t>维持</t>
        </is>
      </c>
      <c r="E222" s="251" t="inlineStr">
        <is>
          <t>已补入</t>
        </is>
      </c>
      <c r="F222" s="251" t="inlineStr">
        <is>
          <t>基线18，维持5。</t>
        </is>
      </c>
      <c r="G222" s="250" t="inlineStr">
        <is>
          <t>Figure2，PDF13（无正式印刷页码），自上而下第2面板，实心圆，左轴</t>
        </is>
      </c>
      <c r="H222" s="251" t="inlineStr">
        <is>
          <t>原PDF圆心独立提取，Maintenance按实线右侧并结合正文停止直接教学的定义；基线沿用本图实线左侧。</t>
        </is>
      </c>
      <c r="I222" s="250" t="inlineStr">
        <is>
          <t>F:/元分析-效应量/Tau-u计算文献/051-滚雪球-提高自闭症谱系障碍儿童的行为多样性与社交技能准确性.pdf</t>
        </is>
      </c>
    </row>
    <row r="223" ht="48" customHeight="1" s="176">
      <c r="A223" s="250" t="inlineStr">
        <is>
          <t>K417</t>
        </is>
      </c>
      <c r="B223" s="250" t="inlineStr">
        <is>
          <t>051-滚雪球</t>
        </is>
      </c>
      <c r="C223" s="250" t="inlineStr">
        <is>
          <t>Suzy</t>
        </is>
      </c>
      <c r="D223" s="251" t="inlineStr">
        <is>
          <t>干预</t>
        </is>
      </c>
      <c r="E223" s="251" t="inlineStr">
        <is>
          <t>已补入</t>
        </is>
      </c>
      <c r="F223" s="251" t="inlineStr">
        <is>
          <t>基线23，干预5；完整图及方法核查。</t>
        </is>
      </c>
      <c r="G223" s="250" t="inlineStr">
        <is>
          <t>Figure2，PDF13（无正式印刷页码），自上而下第3面板，实心圆，左轴</t>
        </is>
      </c>
      <c r="H223" s="251" t="inlineStr">
        <is>
          <t>重新从原PDF实心圆圆心提取整数反应数；用图中Baseline/Intervention/Maintenance实线界限分段，L1–L5在Intervention范围内合并。</t>
        </is>
      </c>
      <c r="I223" s="250" t="inlineStr">
        <is>
          <t>F:/元分析-效应量/Tau-u计算文献/051-滚雪球-提高自闭症谱系障碍儿童的行为多样性与社交技能准确性.pdf</t>
        </is>
      </c>
    </row>
    <row r="224" ht="48" customHeight="1" s="176">
      <c r="A224" s="250" t="inlineStr">
        <is>
          <t>K418</t>
        </is>
      </c>
      <c r="B224" s="250" t="inlineStr">
        <is>
          <t>051-滚雪球</t>
        </is>
      </c>
      <c r="C224" s="250" t="inlineStr">
        <is>
          <t>Ward</t>
        </is>
      </c>
      <c r="D224" s="251" t="inlineStr">
        <is>
          <t>干预</t>
        </is>
      </c>
      <c r="E224" s="251" t="inlineStr">
        <is>
          <t>已补入</t>
        </is>
      </c>
      <c r="F224" s="251" t="inlineStr">
        <is>
          <t>基线6，干预10；完整图及方法核查。</t>
        </is>
      </c>
      <c r="G224" s="250" t="inlineStr">
        <is>
          <t>Figure3，PDF14（无正式印刷页码），自上而下第1面板，实心圆，左轴</t>
        </is>
      </c>
      <c r="H224" s="251" t="inlineStr">
        <is>
          <t>重新从原PDF实心圆圆心提取整数反应数；用图中Baseline/Intervention/Maintenance实线界限分段，L1–L5在Intervention范围内合并。</t>
        </is>
      </c>
      <c r="I224" s="250" t="inlineStr">
        <is>
          <t>F:/元分析-效应量/Tau-u计算文献/051-滚雪球-提高自闭症谱系障碍儿童的行为多样性与社交技能准确性.pdf</t>
        </is>
      </c>
    </row>
    <row r="225" ht="48" customHeight="1" s="176">
      <c r="A225" s="250" t="inlineStr">
        <is>
          <t>K419</t>
        </is>
      </c>
      <c r="B225" s="250" t="inlineStr">
        <is>
          <t>051-滚雪球</t>
        </is>
      </c>
      <c r="C225" s="250" t="inlineStr">
        <is>
          <t>Ward</t>
        </is>
      </c>
      <c r="D225" s="251" t="inlineStr">
        <is>
          <t>维持</t>
        </is>
      </c>
      <c r="E225" s="251" t="inlineStr">
        <is>
          <t>已补入</t>
        </is>
      </c>
      <c r="F225" s="251" t="inlineStr">
        <is>
          <t>基线6，维持20。</t>
        </is>
      </c>
      <c r="G225" s="250" t="inlineStr">
        <is>
          <t>Figure3，PDF14（无正式印刷页码），自上而下第1面板，实心圆，左轴</t>
        </is>
      </c>
      <c r="H225" s="251" t="inlineStr">
        <is>
          <t>原PDF圆心独立提取，Maintenance按实线右侧并结合正文停止直接教学的定义；基线沿用本图实线左侧。</t>
        </is>
      </c>
      <c r="I225" s="250" t="inlineStr">
        <is>
          <t>F:/元分析-效应量/Tau-u计算文献/051-滚雪球-提高自闭症谱系障碍儿童的行为多样性与社交技能准确性.pdf</t>
        </is>
      </c>
    </row>
    <row r="226" ht="48" customHeight="1" s="176">
      <c r="A226" s="250" t="inlineStr">
        <is>
          <t>K420</t>
        </is>
      </c>
      <c r="B226" s="250" t="inlineStr">
        <is>
          <t>051-滚雪球</t>
        </is>
      </c>
      <c r="C226" s="250" t="inlineStr">
        <is>
          <t>Ward</t>
        </is>
      </c>
      <c r="D226" s="251" t="inlineStr">
        <is>
          <t>干预</t>
        </is>
      </c>
      <c r="E226" s="251" t="inlineStr">
        <is>
          <t>已补入</t>
        </is>
      </c>
      <c r="F226" s="251" t="inlineStr">
        <is>
          <t>基线16，干预7；完整图及方法核查。</t>
        </is>
      </c>
      <c r="G226" s="250" t="inlineStr">
        <is>
          <t>Figure3，PDF14（无正式印刷页码），自上而下第2面板，实心圆，左轴</t>
        </is>
      </c>
      <c r="H226" s="251" t="inlineStr">
        <is>
          <t>重新从原PDF实心圆圆心提取整数反应数；用图中Baseline/Intervention/Maintenance实线界限分段，L1–L5在Intervention范围内合并。</t>
        </is>
      </c>
      <c r="I226" s="250" t="inlineStr">
        <is>
          <t>F:/元分析-效应量/Tau-u计算文献/051-滚雪球-提高自闭症谱系障碍儿童的行为多样性与社交技能准确性.pdf</t>
        </is>
      </c>
    </row>
    <row r="227" ht="48" customHeight="1" s="176">
      <c r="A227" s="250" t="inlineStr">
        <is>
          <t>K421</t>
        </is>
      </c>
      <c r="B227" s="250" t="inlineStr">
        <is>
          <t>051-滚雪球</t>
        </is>
      </c>
      <c r="C227" s="250" t="inlineStr">
        <is>
          <t>Ward</t>
        </is>
      </c>
      <c r="D227" s="251" t="inlineStr">
        <is>
          <t>维持</t>
        </is>
      </c>
      <c r="E227" s="251" t="inlineStr">
        <is>
          <t>已补入</t>
        </is>
      </c>
      <c r="F227" s="251" t="inlineStr">
        <is>
          <t>基线16，维持13。</t>
        </is>
      </c>
      <c r="G227" s="250" t="inlineStr">
        <is>
          <t>Figure3，PDF14（无正式印刷页码），自上而下第2面板，实心圆，左轴</t>
        </is>
      </c>
      <c r="H227" s="251" t="inlineStr">
        <is>
          <t>原PDF圆心独立提取，Maintenance按实线右侧并结合正文停止直接教学的定义；基线沿用本图实线左侧。</t>
        </is>
      </c>
      <c r="I227" s="250" t="inlineStr">
        <is>
          <t>F:/元分析-效应量/Tau-u计算文献/051-滚雪球-提高自闭症谱系障碍儿童的行为多样性与社交技能准确性.pdf</t>
        </is>
      </c>
    </row>
    <row r="228" ht="48" customHeight="1" s="176">
      <c r="A228" s="250" t="inlineStr">
        <is>
          <t>K422</t>
        </is>
      </c>
      <c r="B228" s="250" t="inlineStr">
        <is>
          <t>051-滚雪球</t>
        </is>
      </c>
      <c r="C228" s="250" t="inlineStr">
        <is>
          <t>Ward</t>
        </is>
      </c>
      <c r="D228" s="251" t="inlineStr">
        <is>
          <t>干预</t>
        </is>
      </c>
      <c r="E228" s="251" t="inlineStr">
        <is>
          <t>已补入</t>
        </is>
      </c>
      <c r="F228" s="251" t="inlineStr">
        <is>
          <t>基线23，干预12；完整图及方法核查。</t>
        </is>
      </c>
      <c r="G228" s="250" t="inlineStr">
        <is>
          <t>Figure3，PDF14（无正式印刷页码），自上而下第3面板，实心圆，左轴</t>
        </is>
      </c>
      <c r="H228" s="251" t="inlineStr">
        <is>
          <t>重新从原PDF实心圆圆心提取整数反应数；用图中Baseline/Intervention/Maintenance实线界限分段，L1–L5在Intervention范围内合并。</t>
        </is>
      </c>
      <c r="I228" s="250" t="inlineStr">
        <is>
          <t>F:/元分析-效应量/Tau-u计算文献/051-滚雪球-提高自闭症谱系障碍儿童的行为多样性与社交技能准确性.pdf</t>
        </is>
      </c>
    </row>
    <row r="229" ht="48" customHeight="1" s="176">
      <c r="A229" s="252" t="inlineStr">
        <is>
          <t>K423</t>
        </is>
      </c>
      <c r="B229" s="252" t="inlineStr">
        <is>
          <t>052-二次</t>
        </is>
      </c>
      <c r="C229" s="252" t="inlineStr">
        <is>
          <t>P1 Participant 1</t>
        </is>
      </c>
      <c r="D229" s="253" t="inlineStr">
        <is>
          <t>干预</t>
        </is>
      </c>
      <c r="E229" s="252" t="inlineStr">
        <is>
          <t>Claude补入</t>
        </is>
      </c>
      <c r="F229" s="253" t="inlineStr">
        <is>
          <t>【Claude补入】Claude从PDF内嵌1132ppi原图取点（Fig1 PDF4），按各面板刻度标定，扫描倾斜&lt;0.5次已校正。正文均值/范围与图有出入处按规则8以图为准。VSM 14点均值10.2与正文一致；正文范围5–19，图上为4–20。　〔GPT原记录：原图 Fig.1 Participant 1 的 VSM 曲线第二点落在 4 次，最后一点约 20 次；p.3 结果文字却写干预范围 5–19。图文范围冲突，不自行改点以配合文字。〕</t>
        </is>
      </c>
      <c r="G229" s="252" t="inlineStr">
        <is>
          <t>Figure1，PDF4/页33，自上而下第1面板Participant 1；符号见原图图例</t>
        </is>
      </c>
      <c r="H229" s="253" t="inlineStr">
        <is>
          <t>从原文方法及原图重新核查</t>
        </is>
      </c>
      <c r="I229" s="252" t="inlineStr">
        <is>
          <t>F:/元分析-效应量/Tau-u计算文献/052-二次-E-视频自我示范对孤独症儿童自发请求行为的影响.pdf</t>
        </is>
      </c>
    </row>
    <row r="230" ht="48" customHeight="1" s="176">
      <c r="A230" s="252" t="inlineStr">
        <is>
          <t>K424</t>
        </is>
      </c>
      <c r="B230" s="252" t="inlineStr">
        <is>
          <t>052-二次</t>
        </is>
      </c>
      <c r="C230" s="252" t="inlineStr">
        <is>
          <t>P1 Participant 1</t>
        </is>
      </c>
      <c r="D230" s="253" t="inlineStr">
        <is>
          <t>维持</t>
        </is>
      </c>
      <c r="E230" s="252" t="inlineStr">
        <is>
          <t>Claude补入</t>
        </is>
      </c>
      <c r="F230" s="253" t="inlineStr">
        <is>
          <t>【Claude补入】Claude从PDF内嵌1132ppi原图取点（Fig1 PDF4），按各面板刻度标定，扫描倾斜&lt;0.5次已校正。正文均值/范围与图有出入处按规则8以图为准。维持图上为24、24、25（正文写23–25、均值23.6）；对Tau-U无影响。　〔GPT原记录：原图 Fig.1 Participant 1 的维持期前两个点位于 24 次水平，第三点约 25 次；p.3 文字写范围 23–25、均值 23.6（对应 23、23、25）。图文冲突，留空。〕</t>
        </is>
      </c>
      <c r="G230" s="252" t="inlineStr">
        <is>
          <t>Figure1，PDF4/页33，自上而下第1面板Participant 1；符号见原图图例</t>
        </is>
      </c>
      <c r="H230" s="253" t="inlineStr">
        <is>
          <t>从原文方法及原图重新核查</t>
        </is>
      </c>
      <c r="I230" s="252" t="inlineStr">
        <is>
          <t>F:/元分析-效应量/Tau-u计算文献/052-二次-E-视频自我示范对孤独症儿童自发请求行为的影响.pdf</t>
        </is>
      </c>
    </row>
    <row r="231" ht="48" customHeight="1" s="176">
      <c r="A231" s="252" t="inlineStr">
        <is>
          <t>K425</t>
        </is>
      </c>
      <c r="B231" s="252" t="inlineStr">
        <is>
          <t>052-二次</t>
        </is>
      </c>
      <c r="C231" s="252" t="inlineStr">
        <is>
          <t>P2 Participant 2</t>
        </is>
      </c>
      <c r="D231" s="253" t="inlineStr">
        <is>
          <t>干预</t>
        </is>
      </c>
      <c r="E231" s="252" t="inlineStr">
        <is>
          <t>Claude补入</t>
        </is>
      </c>
      <c r="F231" s="253" t="inlineStr">
        <is>
          <t>【Claude补入】Claude从PDF内嵌1132ppi原图取点（Fig1 PDF4），按各面板刻度标定，扫描倾斜&lt;0.5次已校正。正文均值/范围与图有出入处按规则8以图为准。基线19点，均值2.74与正文2.7一致（K清单记16点）；VSM 7点均值16.3、正文写17.5。　〔GPT原记录：原图 Fig.1 Participant 2 的 VSM 7 个菱形依次约为 11、11、20、26、13、12、21，均值约 16.29；p.3 结果文字报告 17.5。无法根据原文判断应以哪项为准，留空。〕</t>
        </is>
      </c>
      <c r="G231" s="252" t="inlineStr">
        <is>
          <t>Figure1，PDF4/页33，自上而下第2面板Participant 2；符号见原图图例</t>
        </is>
      </c>
      <c r="H231" s="253" t="inlineStr">
        <is>
          <t>从原文方法及原图重新核查</t>
        </is>
      </c>
      <c r="I231" s="252" t="inlineStr">
        <is>
          <t>F:/元分析-效应量/Tau-u计算文献/052-二次-E-视频自我示范对孤独症儿童自发请求行为的影响.pdf</t>
        </is>
      </c>
    </row>
    <row r="232" ht="48" customHeight="1" s="176">
      <c r="A232" s="252" t="inlineStr">
        <is>
          <t>K426</t>
        </is>
      </c>
      <c r="B232" s="252" t="inlineStr">
        <is>
          <t>052-二次</t>
        </is>
      </c>
      <c r="C232" s="252" t="inlineStr">
        <is>
          <t>P3 Participant 3</t>
        </is>
      </c>
      <c r="D232" s="253" t="inlineStr">
        <is>
          <t>干预</t>
        </is>
      </c>
      <c r="E232" s="252" t="inlineStr">
        <is>
          <t>Claude补入</t>
        </is>
      </c>
      <c r="F232" s="253" t="inlineStr">
        <is>
          <t>【Claude补入】Claude从PDF内嵌1132ppi原图取点（Fig1 PDF4），按各面板刻度标定，扫描倾斜&lt;0.5次已校正。正文均值/范围与图有出入处按规则8以图为准。基线26点，均值1.0与正文一致（K清单记21点）；VSM 15点。　〔GPT原记录：原图 Fig.1 Participant 3 的 VSM 15 个菱形约为 7、7、8、11、11、17、7、9、8、8、14、16、23、20、18，均值约 12.13；p.3 结果文字报告 12.6。原图刻度重标定及放大后仍不能消除此冲突，留空。〕</t>
        </is>
      </c>
      <c r="G232" s="252" t="inlineStr">
        <is>
          <t>Figure1，PDF4/页33，自上而下第3面板Participant 3；符号见原图图例</t>
        </is>
      </c>
      <c r="H232" s="253" t="inlineStr">
        <is>
          <t>从原文方法及原图重新核查</t>
        </is>
      </c>
      <c r="I232" s="252" t="inlineStr">
        <is>
          <t>F:/元分析-效应量/Tau-u计算文献/052-二次-E-视频自我示范对孤独症儿童自发请求行为的影响.pdf</t>
        </is>
      </c>
    </row>
    <row r="233" ht="48" customHeight="1" s="176">
      <c r="A233" s="252" t="inlineStr">
        <is>
          <t>K427</t>
        </is>
      </c>
      <c r="B233" s="252" t="inlineStr">
        <is>
          <t>052-二次</t>
        </is>
      </c>
      <c r="C233" s="252" t="inlineStr">
        <is>
          <t>P4 Participant 4</t>
        </is>
      </c>
      <c r="D233" s="253" t="inlineStr">
        <is>
          <t>干预</t>
        </is>
      </c>
      <c r="E233" s="252" t="inlineStr">
        <is>
          <t>Claude补入</t>
        </is>
      </c>
      <c r="F233" s="253" t="inlineStr">
        <is>
          <t>【Claude补入】Claude从PDF内嵌1132ppi原图取点（Fig1 PDF4），按各面板刻度标定，扫描倾斜&lt;0.5次已校正。正文均值/范围与图有出入处按规则8以图为准。VSM最高点图上为28（正文范围写到27）。　〔GPT原记录：原图 Fig.1 Participant 4 的 VSM 最高点接近 29 次刻度，明显高于 27 次；p.3 结果文字写干预范围 2–27。图文冲突，留空。〕</t>
        </is>
      </c>
      <c r="G233" s="252" t="inlineStr">
        <is>
          <t>Figure1，PDF4/页33，自上而下第4面板Participant 4；符号见原图图例</t>
        </is>
      </c>
      <c r="H233" s="253" t="inlineStr">
        <is>
          <t>从原文方法及原图重新核查</t>
        </is>
      </c>
      <c r="I233" s="252" t="inlineStr">
        <is>
          <t>F:/元分析-效应量/Tau-u计算文献/052-二次-E-视频自我示范对孤独症儿童自发请求行为的影响.pdf</t>
        </is>
      </c>
    </row>
    <row r="234" ht="48" customHeight="1" s="176">
      <c r="A234" s="250" t="inlineStr">
        <is>
          <t>K428</t>
        </is>
      </c>
      <c r="B234" s="250" t="inlineStr">
        <is>
          <t>055-二次</t>
        </is>
      </c>
      <c r="C234" s="250" t="inlineStr">
        <is>
          <t>Eddie</t>
        </is>
      </c>
      <c r="D234" s="251" t="inlineStr">
        <is>
          <t>干预</t>
        </is>
      </c>
      <c r="E234" s="251" t="inlineStr">
        <is>
          <t>已补入</t>
        </is>
      </c>
      <c r="F234" s="251" t="inlineStr">
        <is>
          <t>原图标记与方法一致。</t>
        </is>
      </c>
      <c r="G234" s="250" t="inlineStr">
        <is>
          <t>Figure 1；PDF第13页/印刷382页；Eddie面板；实心圆</t>
        </is>
      </c>
      <c r="H234" s="251" t="inlineStr">
        <is>
          <t>从原PDF实心圆矢量圆心取点并按图中Baseline/Video Modeling分界；方法确认每次9个机会，图示1/9层级百分比取整数；空心方及三角为泛化探测，排除。</t>
        </is>
      </c>
      <c r="I234" s="250" t="inlineStr">
        <is>
          <t>F:/元分析-效应量/Tau-u计算文献/055-二次-E-通过视频示范教授孤独症儿童社会表达行为.pdf</t>
        </is>
      </c>
    </row>
    <row r="235" ht="48" customHeight="1" s="176">
      <c r="A235" s="250" t="inlineStr">
        <is>
          <t>K429</t>
        </is>
      </c>
      <c r="B235" s="250" t="inlineStr">
        <is>
          <t>055-二次</t>
        </is>
      </c>
      <c r="C235" s="250" t="inlineStr">
        <is>
          <t>Eddie</t>
        </is>
      </c>
      <c r="D235" s="251" t="inlineStr">
        <is>
          <t>干预</t>
        </is>
      </c>
      <c r="E235" s="251" t="inlineStr">
        <is>
          <t>已补入</t>
        </is>
      </c>
      <c r="F235" s="251" t="inlineStr">
        <is>
          <t>原图标记与方法一致。</t>
        </is>
      </c>
      <c r="G235" s="250" t="inlineStr">
        <is>
          <t>Figure 2；PDF第14页/印刷383页；Eddie面板；实心圆</t>
        </is>
      </c>
      <c r="H235" s="251" t="inlineStr">
        <is>
          <t>从原PDF实心圆矢量圆心取点并按图中Baseline/Video Modeling分界；方法确认每次9个机会，图示1/9层级百分比取整数；空心方及三角为泛化探测，排除。</t>
        </is>
      </c>
      <c r="I235" s="250" t="inlineStr">
        <is>
          <t>F:/元分析-效应量/Tau-u计算文献/055-二次-E-通过视频示范教授孤独症儿童社会表达行为.pdf</t>
        </is>
      </c>
    </row>
    <row r="236" ht="48" customHeight="1" s="176">
      <c r="A236" s="250" t="inlineStr">
        <is>
          <t>K430</t>
        </is>
      </c>
      <c r="B236" s="250" t="inlineStr">
        <is>
          <t>055-二次</t>
        </is>
      </c>
      <c r="C236" s="250" t="inlineStr">
        <is>
          <t>Eddie</t>
        </is>
      </c>
      <c r="D236" s="251" t="inlineStr">
        <is>
          <t>干预</t>
        </is>
      </c>
      <c r="E236" s="251" t="inlineStr">
        <is>
          <t>已补入</t>
        </is>
      </c>
      <c r="F236" s="251" t="inlineStr">
        <is>
          <t>原图标记与方法一致。</t>
        </is>
      </c>
      <c r="G236" s="250" t="inlineStr">
        <is>
          <t>Figure 3；PDF第14页/印刷383页；Eddie面板；实心圆</t>
        </is>
      </c>
      <c r="H236" s="251" t="inlineStr">
        <is>
          <t>从原PDF实心圆矢量圆心取点并按图中Baseline/Video Modeling分界；方法确认每次9个机会，图示1/9层级百分比取整数；空心方及三角为泛化探测，排除。</t>
        </is>
      </c>
      <c r="I236" s="250" t="inlineStr">
        <is>
          <t>F:/元分析-效应量/Tau-u计算文献/055-二次-E-通过视频示范教授孤独症儿童社会表达行为.pdf</t>
        </is>
      </c>
    </row>
    <row r="237" ht="48" customHeight="1" s="176">
      <c r="A237" s="250" t="inlineStr">
        <is>
          <t>K431</t>
        </is>
      </c>
      <c r="B237" s="250" t="inlineStr">
        <is>
          <t>055-二次</t>
        </is>
      </c>
      <c r="C237" s="250" t="inlineStr">
        <is>
          <t>Eddie</t>
        </is>
      </c>
      <c r="D237" s="251" t="inlineStr">
        <is>
          <t>干预</t>
        </is>
      </c>
      <c r="E237" s="251" t="inlineStr">
        <is>
          <t>已补入</t>
        </is>
      </c>
      <c r="F237" s="251" t="inlineStr">
        <is>
          <t>原图标记与方法一致。</t>
        </is>
      </c>
      <c r="G237" s="250" t="inlineStr">
        <is>
          <t>Figure 4；PDF第15页/印刷384页；Eddie面板；实心圆</t>
        </is>
      </c>
      <c r="H237" s="251" t="inlineStr">
        <is>
          <t>从原PDF实心圆矢量圆心取点并按图中Baseline/Video Modeling分界；方法确认每次9个机会，图示1/9层级百分比取整数；空心方及三角为泛化探测，排除。</t>
        </is>
      </c>
      <c r="I237" s="250" t="inlineStr">
        <is>
          <t>F:/元分析-效应量/Tau-u计算文献/055-二次-E-通过视频示范教授孤独症儿童社会表达行为.pdf</t>
        </is>
      </c>
    </row>
    <row r="238" ht="48" customHeight="1" s="176">
      <c r="A238" s="250" t="inlineStr">
        <is>
          <t>K432</t>
        </is>
      </c>
      <c r="B238" s="250" t="inlineStr">
        <is>
          <t>055-二次</t>
        </is>
      </c>
      <c r="C238" s="250" t="inlineStr">
        <is>
          <t>Mark</t>
        </is>
      </c>
      <c r="D238" s="251" t="inlineStr">
        <is>
          <t>干预</t>
        </is>
      </c>
      <c r="E238" s="251" t="inlineStr">
        <is>
          <t>已补入</t>
        </is>
      </c>
      <c r="F238" s="251" t="inlineStr">
        <is>
          <t>原图标记与方法一致。</t>
        </is>
      </c>
      <c r="G238" s="250" t="inlineStr">
        <is>
          <t>Figure 1；PDF第13页/印刷382页；Mark面板；实心圆</t>
        </is>
      </c>
      <c r="H238" s="251" t="inlineStr">
        <is>
          <t>从原PDF实心圆矢量圆心取点并按图中Baseline/Video Modeling分界；方法确认每次9个机会，图示1/9层级百分比取整数；空心方及三角为泛化探测，排除。</t>
        </is>
      </c>
      <c r="I238" s="250" t="inlineStr">
        <is>
          <t>F:/元分析-效应量/Tau-u计算文献/055-二次-E-通过视频示范教授孤独症儿童社会表达行为.pdf</t>
        </is>
      </c>
    </row>
    <row r="239" ht="48" customHeight="1" s="176">
      <c r="A239" s="250" t="inlineStr">
        <is>
          <t>K433</t>
        </is>
      </c>
      <c r="B239" s="250" t="inlineStr">
        <is>
          <t>055-二次</t>
        </is>
      </c>
      <c r="C239" s="250" t="inlineStr">
        <is>
          <t>Mark</t>
        </is>
      </c>
      <c r="D239" s="251" t="inlineStr">
        <is>
          <t>干预</t>
        </is>
      </c>
      <c r="E239" s="251" t="inlineStr">
        <is>
          <t>已补入</t>
        </is>
      </c>
      <c r="F239" s="251" t="inlineStr">
        <is>
          <t>原图标记与方法一致。</t>
        </is>
      </c>
      <c r="G239" s="250" t="inlineStr">
        <is>
          <t>Figure 2；PDF第14页/印刷383页；Mark面板；实心圆</t>
        </is>
      </c>
      <c r="H239" s="251" t="inlineStr">
        <is>
          <t>从原PDF实心圆矢量圆心取点并按图中Baseline/Video Modeling分界；方法确认每次9个机会，图示1/9层级百分比取整数；空心方及三角为泛化探测，排除。</t>
        </is>
      </c>
      <c r="I239" s="250" t="inlineStr">
        <is>
          <t>F:/元分析-效应量/Tau-u计算文献/055-二次-E-通过视频示范教授孤独症儿童社会表达行为.pdf</t>
        </is>
      </c>
    </row>
    <row r="240" ht="48" customHeight="1" s="176">
      <c r="A240" s="250" t="inlineStr">
        <is>
          <t>K434</t>
        </is>
      </c>
      <c r="B240" s="250" t="inlineStr">
        <is>
          <t>055-二次</t>
        </is>
      </c>
      <c r="C240" s="250" t="inlineStr">
        <is>
          <t>Mark</t>
        </is>
      </c>
      <c r="D240" s="251" t="inlineStr">
        <is>
          <t>干预</t>
        </is>
      </c>
      <c r="E240" s="251" t="inlineStr">
        <is>
          <t>已补入</t>
        </is>
      </c>
      <c r="F240" s="251" t="inlineStr">
        <is>
          <t>原图标记与方法一致。</t>
        </is>
      </c>
      <c r="G240" s="250" t="inlineStr">
        <is>
          <t>Figure 3；PDF第14页/印刷383页；Mark面板；实心圆</t>
        </is>
      </c>
      <c r="H240" s="251" t="inlineStr">
        <is>
          <t>从原PDF实心圆矢量圆心取点并按图中Baseline/Video Modeling分界；方法确认每次9个机会，图示1/9层级百分比取整数；空心方及三角为泛化探测，排除。</t>
        </is>
      </c>
      <c r="I240" s="250" t="inlineStr">
        <is>
          <t>F:/元分析-效应量/Tau-u计算文献/055-二次-E-通过视频示范教授孤独症儿童社会表达行为.pdf</t>
        </is>
      </c>
    </row>
    <row r="241" ht="48" customHeight="1" s="176">
      <c r="A241" s="250" t="inlineStr">
        <is>
          <t>K435</t>
        </is>
      </c>
      <c r="B241" s="250" t="inlineStr">
        <is>
          <t>055-二次</t>
        </is>
      </c>
      <c r="C241" s="250" t="inlineStr">
        <is>
          <t>Mark</t>
        </is>
      </c>
      <c r="D241" s="251" t="inlineStr">
        <is>
          <t>干预</t>
        </is>
      </c>
      <c r="E241" s="251" t="inlineStr">
        <is>
          <t>已补入</t>
        </is>
      </c>
      <c r="F241" s="251" t="inlineStr">
        <is>
          <t>原图标记与方法一致。</t>
        </is>
      </c>
      <c r="G241" s="250" t="inlineStr">
        <is>
          <t>Figure 4；PDF第15页/印刷384页；Mark面板；实心圆</t>
        </is>
      </c>
      <c r="H241" s="251" t="inlineStr">
        <is>
          <t>从原PDF实心圆矢量圆心取点并按图中Baseline/Video Modeling分界；方法确认每次9个机会，图示1/9层级百分比取整数；空心方及三角为泛化探测，排除。</t>
        </is>
      </c>
      <c r="I241" s="250" t="inlineStr">
        <is>
          <t>F:/元分析-效应量/Tau-u计算文献/055-二次-E-通过视频示范教授孤独症儿童社会表达行为.pdf</t>
        </is>
      </c>
    </row>
    <row r="242" ht="48" customHeight="1" s="176">
      <c r="A242" s="252" t="inlineStr">
        <is>
          <t>K436</t>
        </is>
      </c>
      <c r="B242" s="252" t="inlineStr">
        <is>
          <t>055-二次</t>
        </is>
      </c>
      <c r="C242" s="252" t="inlineStr">
        <is>
          <t>Terry</t>
        </is>
      </c>
      <c r="D242" s="253" t="inlineStr">
        <is>
          <t>干预</t>
        </is>
      </c>
      <c r="E242" s="252" t="inlineStr">
        <is>
          <t>Claude补入</t>
        </is>
      </c>
      <c r="F242" s="253"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42" s="252" t="inlineStr">
        <is>
          <t>Figure 1；PDF第13页/印刷382页；Terry面板；实心圆</t>
        </is>
      </c>
      <c r="H242" s="253" t="inlineStr">
        <is>
          <t>从原文方法及原图重新核查</t>
        </is>
      </c>
      <c r="I242" s="252" t="inlineStr">
        <is>
          <t>F:/元分析-效应量/Tau-u计算文献/055-二次-E-通过视频示范教授孤独症儿童社会表达行为.pdf</t>
        </is>
      </c>
    </row>
    <row r="243" ht="63.75" customHeight="1" s="176">
      <c r="A243" s="252" t="inlineStr">
        <is>
          <t>K437</t>
        </is>
      </c>
      <c r="B243" s="252" t="inlineStr">
        <is>
          <t>055-二次</t>
        </is>
      </c>
      <c r="C243" s="252" t="inlineStr">
        <is>
          <t>Terry</t>
        </is>
      </c>
      <c r="D243" s="253" t="inlineStr">
        <is>
          <t>干预</t>
        </is>
      </c>
      <c r="E243" s="252" t="inlineStr">
        <is>
          <t>Claude补入</t>
        </is>
      </c>
      <c r="F243" s="253"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43" s="252" t="inlineStr">
        <is>
          <t>Figure 2；PDF第14页/印刷383页；Terry面板；实心圆</t>
        </is>
      </c>
      <c r="H243" s="253" t="inlineStr">
        <is>
          <t>从原文方法及原图重新核查</t>
        </is>
      </c>
      <c r="I243" s="252" t="inlineStr">
        <is>
          <t>F:/元分析-效应量/Tau-u计算文献/055-二次-E-通过视频示范教授孤独症儿童社会表达行为.pdf</t>
        </is>
      </c>
    </row>
    <row r="244" ht="48" customHeight="1" s="176">
      <c r="A244" s="252" t="inlineStr">
        <is>
          <t>K438</t>
        </is>
      </c>
      <c r="B244" s="252" t="inlineStr">
        <is>
          <t>055-二次</t>
        </is>
      </c>
      <c r="C244" s="252" t="inlineStr">
        <is>
          <t>Terry</t>
        </is>
      </c>
      <c r="D244" s="253" t="inlineStr">
        <is>
          <t>干预</t>
        </is>
      </c>
      <c r="E244" s="252" t="inlineStr">
        <is>
          <t>Claude补入</t>
        </is>
      </c>
      <c r="F244" s="253"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44" s="252" t="inlineStr">
        <is>
          <t>Figure 3；PDF第14页/印刷383页；Terry面板；实心圆</t>
        </is>
      </c>
      <c r="H244" s="253" t="inlineStr">
        <is>
          <t>从原文方法及原图重新核查</t>
        </is>
      </c>
      <c r="I244" s="252" t="inlineStr">
        <is>
          <t>F:/元分析-效应量/Tau-u计算文献/055-二次-E-通过视频示范教授孤独症儿童社会表达行为.pdf</t>
        </is>
      </c>
    </row>
    <row r="245" ht="48" customHeight="1" s="176">
      <c r="A245" s="252" t="inlineStr">
        <is>
          <t>K439</t>
        </is>
      </c>
      <c r="B245" s="252" t="inlineStr">
        <is>
          <t>055-二次</t>
        </is>
      </c>
      <c r="C245" s="252" t="inlineStr">
        <is>
          <t>Terry</t>
        </is>
      </c>
      <c r="D245" s="253" t="inlineStr">
        <is>
          <t>干预</t>
        </is>
      </c>
      <c r="E245" s="252" t="inlineStr">
        <is>
          <t>Claude补入</t>
        </is>
      </c>
      <c r="F245" s="253"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45" s="252" t="inlineStr">
        <is>
          <t>Figure 4；PDF第15页/印刷384页；Terry面板；实心圆</t>
        </is>
      </c>
      <c r="H245" s="253" t="inlineStr">
        <is>
          <t>从原文方法及原图重新核查</t>
        </is>
      </c>
      <c r="I245" s="252" t="inlineStr">
        <is>
          <t>F:/元分析-效应量/Tau-u计算文献/055-二次-E-通过视频示范教授孤独症儿童社会表达行为.pdf</t>
        </is>
      </c>
    </row>
    <row r="246" ht="48" customHeight="1" s="176">
      <c r="A246" s="250" t="inlineStr">
        <is>
          <t>K440</t>
        </is>
      </c>
      <c r="B246" s="250" t="inlineStr">
        <is>
          <t>056-滚雪球</t>
        </is>
      </c>
      <c r="C246" s="250" t="inlineStr">
        <is>
          <t>Mark</t>
        </is>
      </c>
      <c r="D246" s="251" t="inlineStr">
        <is>
          <t>干预</t>
        </is>
      </c>
      <c r="E246" s="251" t="inlineStr">
        <is>
          <t>已改取（准确率）</t>
        </is>
      </c>
      <c r="F246"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46" s="250" t="inlineStr">
        <is>
          <t>Figure1，PDF14（在线页码14），自上而下第1面板，Accuracy空心方形/右轴</t>
        </is>
      </c>
      <c r="H246" s="251" t="inlineStr">
        <is>
          <t>原始PDF矢量图：空心方形（1.5×1.5 rect）中心坐标按面板上下边界换算为0–100%；Variability圆点同x对齐核对，与原表Variability数值逐点一致</t>
        </is>
      </c>
      <c r="I246" s="250" t="inlineStr">
        <is>
          <t>F:/元分析-效应量/Tau-u计算文献/056-滚雪球-促进自闭症儿童社交技能表现的准确性与多样性.pdf</t>
        </is>
      </c>
    </row>
    <row r="247" ht="48" customHeight="1" s="176">
      <c r="A247" s="250" t="inlineStr">
        <is>
          <t>K441</t>
        </is>
      </c>
      <c r="B247" s="250" t="inlineStr">
        <is>
          <t>056-滚雪球</t>
        </is>
      </c>
      <c r="C247" s="250" t="inlineStr">
        <is>
          <t>Mark</t>
        </is>
      </c>
      <c r="D247" s="251" t="inlineStr">
        <is>
          <t>维持</t>
        </is>
      </c>
      <c r="E247" s="251" t="inlineStr">
        <is>
          <t>已改取（准确率）</t>
        </is>
      </c>
      <c r="F247" s="251" t="inlineStr">
        <is>
          <t>【2026-10-24改取准确率】改取Accuracy空心方形（右轴，任务分析步骤正确百分比），不再取Variability；前段BL，后段Maintenance；阶段按原图虚线划分。读数按该技能步数对齐到合法百分比。原图后段有57%不在步数网格上，按图保留。 〔原记录：只取Variability实心圆左轴；前段BL，后段Maintenance；不取Accuracy空心方形。〕</t>
        </is>
      </c>
      <c r="G247" s="250" t="inlineStr">
        <is>
          <t>Figure1，PDF14（在线页码14），自上而下第1面板，Accuracy空心方形/右轴</t>
        </is>
      </c>
      <c r="H247" s="251" t="inlineStr">
        <is>
          <t>原始PDF矢量图：空心方形（1.5×1.5 rect）中心坐标按面板上下边界换算为0–100%；Variability圆点同x对齐核对，与原表Variability数值逐点一致</t>
        </is>
      </c>
      <c r="I247" s="250" t="inlineStr">
        <is>
          <t>F:/元分析-效应量/Tau-u计算文献/056-滚雪球-促进自闭症儿童社交技能表现的准确性与多样性.pdf</t>
        </is>
      </c>
    </row>
    <row r="248" ht="48" customHeight="1" s="176">
      <c r="A248" s="250" t="inlineStr">
        <is>
          <t>K442</t>
        </is>
      </c>
      <c r="B248" s="250" t="inlineStr">
        <is>
          <t>056-滚雪球</t>
        </is>
      </c>
      <c r="C248" s="250" t="inlineStr">
        <is>
          <t>Mark</t>
        </is>
      </c>
      <c r="D248" s="251" t="inlineStr">
        <is>
          <t>干预</t>
        </is>
      </c>
      <c r="E248" s="251" t="inlineStr">
        <is>
          <t>已改取（准确率）</t>
        </is>
      </c>
      <c r="F248"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48" s="250" t="inlineStr">
        <is>
          <t>Figure1，PDF14（在线页码14），自上而下第2面板，Accuracy空心方形/右轴</t>
        </is>
      </c>
      <c r="H248" s="251" t="inlineStr">
        <is>
          <t>原始PDF矢量图：空心方形（1.5×1.5 rect）中心坐标按面板上下边界换算为0–100%；Variability圆点同x对齐核对，与原表Variability数值逐点一致</t>
        </is>
      </c>
      <c r="I248" s="250" t="inlineStr">
        <is>
          <t>F:/元分析-效应量/Tau-u计算文献/056-滚雪球-促进自闭症儿童社交技能表现的准确性与多样性.pdf</t>
        </is>
      </c>
    </row>
    <row r="249" ht="48" customHeight="1" s="176">
      <c r="A249" s="250" t="inlineStr">
        <is>
          <t>K443</t>
        </is>
      </c>
      <c r="B249" s="250" t="inlineStr">
        <is>
          <t>056-滚雪球</t>
        </is>
      </c>
      <c r="C249" s="250" t="inlineStr">
        <is>
          <t>Mark</t>
        </is>
      </c>
      <c r="D249" s="251" t="inlineStr">
        <is>
          <t>维持</t>
        </is>
      </c>
      <c r="E249" s="251" t="inlineStr">
        <is>
          <t>已改取（准确率）</t>
        </is>
      </c>
      <c r="F249"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49" s="250" t="inlineStr">
        <is>
          <t>Figure1，PDF14（在线页码14），自上而下第2面板，Accuracy空心方形/右轴</t>
        </is>
      </c>
      <c r="H249" s="251" t="inlineStr">
        <is>
          <t>原始PDF矢量图：空心方形（1.5×1.5 rect）中心坐标按面板上下边界换算为0–100%；Variability圆点同x对齐核对，与原表Variability数值逐点一致</t>
        </is>
      </c>
      <c r="I249" s="250" t="inlineStr">
        <is>
          <t>F:/元分析-效应量/Tau-u计算文献/056-滚雪球-促进自闭症儿童社交技能表现的准确性与多样性.pdf</t>
        </is>
      </c>
    </row>
    <row r="250" ht="48" customHeight="1" s="176">
      <c r="A250" s="250" t="inlineStr">
        <is>
          <t>K444</t>
        </is>
      </c>
      <c r="B250" s="250" t="inlineStr">
        <is>
          <t>056-滚雪球</t>
        </is>
      </c>
      <c r="C250" s="250" t="inlineStr">
        <is>
          <t>Mark</t>
        </is>
      </c>
      <c r="D250" s="251" t="inlineStr">
        <is>
          <t>干预</t>
        </is>
      </c>
      <c r="E250" s="251" t="inlineStr">
        <is>
          <t>已改取（准确率）</t>
        </is>
      </c>
      <c r="F250"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0" s="250" t="inlineStr">
        <is>
          <t>Figure1，PDF14（在线页码14），自上而下第3面板，Accuracy空心方形/右轴</t>
        </is>
      </c>
      <c r="H250" s="251" t="inlineStr">
        <is>
          <t>原始PDF矢量图：空心方形（1.5×1.5 rect）中心坐标按面板上下边界换算为0–100%；Variability圆点同x对齐核对，与原表Variability数值逐点一致</t>
        </is>
      </c>
      <c r="I250" s="250" t="inlineStr">
        <is>
          <t>F:/元分析-效应量/Tau-u计算文献/056-滚雪球-促进自闭症儿童社交技能表现的准确性与多样性.pdf</t>
        </is>
      </c>
    </row>
    <row r="251" ht="48" customHeight="1" s="176">
      <c r="A251" s="250" t="inlineStr">
        <is>
          <t>K445</t>
        </is>
      </c>
      <c r="B251" s="250" t="inlineStr">
        <is>
          <t>056-滚雪球</t>
        </is>
      </c>
      <c r="C251" s="250" t="inlineStr">
        <is>
          <t>Mark</t>
        </is>
      </c>
      <c r="D251" s="251" t="inlineStr">
        <is>
          <t>维持</t>
        </is>
      </c>
      <c r="E251" s="251" t="inlineStr">
        <is>
          <t>已改取（准确率）</t>
        </is>
      </c>
      <c r="F251"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51" s="250" t="inlineStr">
        <is>
          <t>Figure1，PDF14（在线页码14），自上而下第3面板，Accuracy空心方形/右轴</t>
        </is>
      </c>
      <c r="H251" s="251" t="inlineStr">
        <is>
          <t>原始PDF矢量图：空心方形（1.5×1.5 rect）中心坐标按面板上下边界换算为0–100%；Variability圆点同x对齐核对，与原表Variability数值逐点一致</t>
        </is>
      </c>
      <c r="I251" s="250" t="inlineStr">
        <is>
          <t>F:/元分析-效应量/Tau-u计算文献/056-滚雪球-促进自闭症儿童社交技能表现的准确性与多样性.pdf</t>
        </is>
      </c>
    </row>
    <row r="252" ht="48" customHeight="1" s="176">
      <c r="A252" s="250" t="inlineStr">
        <is>
          <t>K446</t>
        </is>
      </c>
      <c r="B252" s="250" t="inlineStr">
        <is>
          <t>056-滚雪球</t>
        </is>
      </c>
      <c r="C252" s="250" t="inlineStr">
        <is>
          <t>Mark</t>
        </is>
      </c>
      <c r="D252" s="251" t="inlineStr">
        <is>
          <t>干预</t>
        </is>
      </c>
      <c r="E252" s="251" t="inlineStr">
        <is>
          <t>已改取（准确率）</t>
        </is>
      </c>
      <c r="F252"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2" s="250" t="inlineStr">
        <is>
          <t>Figure1，PDF14（在线页码14），自上而下第4面板，Accuracy空心方形/右轴</t>
        </is>
      </c>
      <c r="H252" s="251" t="inlineStr">
        <is>
          <t>原始PDF矢量图：空心方形（1.5×1.5 rect）中心坐标按面板上下边界换算为0–100%；Variability圆点同x对齐核对，与原表Variability数值逐点一致</t>
        </is>
      </c>
      <c r="I252" s="250" t="inlineStr">
        <is>
          <t>F:/元分析-效应量/Tau-u计算文献/056-滚雪球-促进自闭症儿童社交技能表现的准确性与多样性.pdf</t>
        </is>
      </c>
    </row>
    <row r="253" ht="48" customHeight="1" s="176">
      <c r="A253" s="250" t="inlineStr">
        <is>
          <t>K447</t>
        </is>
      </c>
      <c r="B253" s="250" t="inlineStr">
        <is>
          <t>056-滚雪球</t>
        </is>
      </c>
      <c r="C253" s="250" t="inlineStr">
        <is>
          <t>Jarvis</t>
        </is>
      </c>
      <c r="D253" s="251" t="inlineStr">
        <is>
          <t>干预</t>
        </is>
      </c>
      <c r="E253" s="251" t="inlineStr">
        <is>
          <t>已改取（准确率）</t>
        </is>
      </c>
      <c r="F253"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3" s="250" t="inlineStr">
        <is>
          <t>Figure2，PDF16（在线页码16），自上而下第1面板，Accuracy空心方形/右轴</t>
        </is>
      </c>
      <c r="H253" s="251" t="inlineStr">
        <is>
          <t>原始PDF矢量图：空心方形（1.5×1.5 rect）中心坐标按面板上下边界换算为0–100%；Variability圆点同x对齐核对，与原表Variability数值逐点一致</t>
        </is>
      </c>
      <c r="I253" s="250" t="inlineStr">
        <is>
          <t>F:/元分析-效应量/Tau-u计算文献/056-滚雪球-促进自闭症儿童社交技能表现的准确性与多样性.pdf</t>
        </is>
      </c>
    </row>
    <row r="254" ht="48" customHeight="1" s="176">
      <c r="A254" s="250" t="inlineStr">
        <is>
          <t>K448</t>
        </is>
      </c>
      <c r="B254" s="250" t="inlineStr">
        <is>
          <t>056-滚雪球</t>
        </is>
      </c>
      <c r="C254" s="250" t="inlineStr">
        <is>
          <t>Jarvis</t>
        </is>
      </c>
      <c r="D254" s="251" t="inlineStr">
        <is>
          <t>维持</t>
        </is>
      </c>
      <c r="E254" s="251" t="inlineStr">
        <is>
          <t>已改取（准确率）</t>
        </is>
      </c>
      <c r="F254"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54" s="250" t="inlineStr">
        <is>
          <t>Figure2，PDF16（在线页码16），自上而下第1面板，Accuracy空心方形/右轴</t>
        </is>
      </c>
      <c r="H254" s="251" t="inlineStr">
        <is>
          <t>原始PDF矢量图：空心方形（1.5×1.5 rect）中心坐标按面板上下边界换算为0–100%；Variability圆点同x对齐核对，与原表Variability数值逐点一致</t>
        </is>
      </c>
      <c r="I254" s="250" t="inlineStr">
        <is>
          <t>F:/元分析-效应量/Tau-u计算文献/056-滚雪球-促进自闭症儿童社交技能表现的准确性与多样性.pdf</t>
        </is>
      </c>
    </row>
    <row r="255" ht="48" customHeight="1" s="176">
      <c r="A255" s="250" t="inlineStr">
        <is>
          <t>K449</t>
        </is>
      </c>
      <c r="B255" s="250" t="inlineStr">
        <is>
          <t>056-滚雪球</t>
        </is>
      </c>
      <c r="C255" s="250" t="inlineStr">
        <is>
          <t>Jarvis</t>
        </is>
      </c>
      <c r="D255" s="251" t="inlineStr">
        <is>
          <t>干预</t>
        </is>
      </c>
      <c r="E255" s="251" t="inlineStr">
        <is>
          <t>已改取（准确率）</t>
        </is>
      </c>
      <c r="F255"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5" s="250" t="inlineStr">
        <is>
          <t>Figure2，PDF16（在线页码16），自上而下第2面板，Accuracy空心方形/右轴</t>
        </is>
      </c>
      <c r="H255" s="251" t="inlineStr">
        <is>
          <t>原始PDF矢量图：空心方形（1.5×1.5 rect）中心坐标按面板上下边界换算为0–100%；Variability圆点同x对齐核对，与原表Variability数值逐点一致</t>
        </is>
      </c>
      <c r="I255" s="250" t="inlineStr">
        <is>
          <t>F:/元分析-效应量/Tau-u计算文献/056-滚雪球-促进自闭症儿童社交技能表现的准确性与多样性.pdf</t>
        </is>
      </c>
    </row>
    <row r="256" ht="48" customHeight="1" s="176">
      <c r="A256" s="250" t="inlineStr">
        <is>
          <t>K450</t>
        </is>
      </c>
      <c r="B256" s="250" t="inlineStr">
        <is>
          <t>056-滚雪球</t>
        </is>
      </c>
      <c r="C256" s="250" t="inlineStr">
        <is>
          <t>Jarvis</t>
        </is>
      </c>
      <c r="D256" s="251" t="inlineStr">
        <is>
          <t>维持</t>
        </is>
      </c>
      <c r="E256" s="251" t="inlineStr">
        <is>
          <t>已改取（准确率）</t>
        </is>
      </c>
      <c r="F256"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56" s="250" t="inlineStr">
        <is>
          <t>Figure2，PDF16（在线页码16），自上而下第2面板，Accuracy空心方形/右轴</t>
        </is>
      </c>
      <c r="H256" s="251" t="inlineStr">
        <is>
          <t>原始PDF矢量图：空心方形（1.5×1.5 rect）中心坐标按面板上下边界换算为0–100%；Variability圆点同x对齐核对，与原表Variability数值逐点一致</t>
        </is>
      </c>
      <c r="I256" s="250" t="inlineStr">
        <is>
          <t>F:/元分析-效应量/Tau-u计算文献/056-滚雪球-促进自闭症儿童社交技能表现的准确性与多样性.pdf</t>
        </is>
      </c>
    </row>
    <row r="257" ht="48" customHeight="1" s="176">
      <c r="A257" s="250" t="inlineStr">
        <is>
          <t>K451</t>
        </is>
      </c>
      <c r="B257" s="250" t="inlineStr">
        <is>
          <t>056-滚雪球</t>
        </is>
      </c>
      <c r="C257" s="250" t="inlineStr">
        <is>
          <t>Jarvis</t>
        </is>
      </c>
      <c r="D257" s="251" t="inlineStr">
        <is>
          <t>干预</t>
        </is>
      </c>
      <c r="E257" s="251" t="inlineStr">
        <is>
          <t>已改取（准确率）</t>
        </is>
      </c>
      <c r="F257"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7" s="250" t="inlineStr">
        <is>
          <t>Figure2，PDF16（在线页码16），自上而下第3面板，Accuracy空心方形/右轴</t>
        </is>
      </c>
      <c r="H257" s="251" t="inlineStr">
        <is>
          <t>原始PDF矢量图：空心方形（1.5×1.5 rect）中心坐标按面板上下边界换算为0–100%；Variability圆点同x对齐核对，与原表Variability数值逐点一致</t>
        </is>
      </c>
      <c r="I257" s="250" t="inlineStr">
        <is>
          <t>F:/元分析-效应量/Tau-u计算文献/056-滚雪球-促进自闭症儿童社交技能表现的准确性与多样性.pdf</t>
        </is>
      </c>
    </row>
    <row r="258" ht="48" customHeight="1" s="176">
      <c r="A258" s="250" t="inlineStr">
        <is>
          <t>K452</t>
        </is>
      </c>
      <c r="B258" s="250" t="inlineStr">
        <is>
          <t>056-滚雪球</t>
        </is>
      </c>
      <c r="C258" s="250" t="inlineStr">
        <is>
          <t>Jarvis</t>
        </is>
      </c>
      <c r="D258" s="251" t="inlineStr">
        <is>
          <t>维持</t>
        </is>
      </c>
      <c r="E258" s="251" t="inlineStr">
        <is>
          <t>已改取（准确率）</t>
        </is>
      </c>
      <c r="F258"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58" s="250" t="inlineStr">
        <is>
          <t>Figure2，PDF16（在线页码16），自上而下第3面板，Accuracy空心方形/右轴</t>
        </is>
      </c>
      <c r="H258" s="251" t="inlineStr">
        <is>
          <t>原始PDF矢量图：空心方形（1.5×1.5 rect）中心坐标按面板上下边界换算为0–100%；Variability圆点同x对齐核对，与原表Variability数值逐点一致</t>
        </is>
      </c>
      <c r="I258" s="250" t="inlineStr">
        <is>
          <t>F:/元分析-效应量/Tau-u计算文献/056-滚雪球-促进自闭症儿童社交技能表现的准确性与多样性.pdf</t>
        </is>
      </c>
    </row>
    <row r="259" ht="48" customHeight="1" s="176">
      <c r="A259" s="250" t="inlineStr">
        <is>
          <t>K453</t>
        </is>
      </c>
      <c r="B259" s="250" t="inlineStr">
        <is>
          <t>056-滚雪球</t>
        </is>
      </c>
      <c r="C259" s="250" t="inlineStr">
        <is>
          <t>Jarvis</t>
        </is>
      </c>
      <c r="D259" s="251" t="inlineStr">
        <is>
          <t>干预</t>
        </is>
      </c>
      <c r="E259" s="251" t="inlineStr">
        <is>
          <t>已改取（准确率）</t>
        </is>
      </c>
      <c r="F259"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59" s="250" t="inlineStr">
        <is>
          <t>Figure2，PDF16（在线页码16），自上而下第4面板，Accuracy空心方形/右轴</t>
        </is>
      </c>
      <c r="H259" s="251" t="inlineStr">
        <is>
          <t>原始PDF矢量图：空心方形（1.5×1.5 rect）中心坐标按面板上下边界换算为0–100%；Variability圆点同x对齐核对，与原表Variability数值逐点一致</t>
        </is>
      </c>
      <c r="I259" s="250" t="inlineStr">
        <is>
          <t>F:/元分析-效应量/Tau-u计算文献/056-滚雪球-促进自闭症儿童社交技能表现的准确性与多样性.pdf</t>
        </is>
      </c>
    </row>
    <row r="260" ht="48" customHeight="1" s="176">
      <c r="A260" s="250" t="inlineStr">
        <is>
          <t>K454</t>
        </is>
      </c>
      <c r="B260" s="250" t="inlineStr">
        <is>
          <t>056-滚雪球</t>
        </is>
      </c>
      <c r="C260" s="250" t="inlineStr">
        <is>
          <t>P3</t>
        </is>
      </c>
      <c r="D260" s="251" t="inlineStr">
        <is>
          <t>干预</t>
        </is>
      </c>
      <c r="E260" s="251" t="inlineStr">
        <is>
          <t>已改取（准确率）</t>
        </is>
      </c>
      <c r="F260"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60" s="250" t="inlineStr">
        <is>
          <t>Figure3，PDF18（在线页码18），自上而下第1面板，Accuracy空心方形/右轴</t>
        </is>
      </c>
      <c r="H260" s="251" t="inlineStr">
        <is>
          <t>原始PDF矢量图：空心方形（1.5×1.5 rect）中心坐标按面板上下边界换算为0–100%；Variability圆点同x对齐核对，与原表Variability数值逐点一致</t>
        </is>
      </c>
      <c r="I260" s="250" t="inlineStr">
        <is>
          <t>F:/元分析-效应量/Tau-u计算文献/056-滚雪球-促进自闭症儿童社交技能表现的准确性与多样性.pdf</t>
        </is>
      </c>
    </row>
    <row r="261" ht="48" customHeight="1" s="176">
      <c r="A261" s="250" t="inlineStr">
        <is>
          <t>K455</t>
        </is>
      </c>
      <c r="B261" s="250" t="inlineStr">
        <is>
          <t>056-滚雪球</t>
        </is>
      </c>
      <c r="C261" s="250" t="inlineStr">
        <is>
          <t>P3</t>
        </is>
      </c>
      <c r="D261" s="251" t="inlineStr">
        <is>
          <t>维持</t>
        </is>
      </c>
      <c r="E261" s="251" t="inlineStr">
        <is>
          <t>已改取（准确率）</t>
        </is>
      </c>
      <c r="F261"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61" s="250" t="inlineStr">
        <is>
          <t>Figure3，PDF18（在线页码18），自上而下第1面板，Accuracy空心方形/右轴</t>
        </is>
      </c>
      <c r="H261" s="251" t="inlineStr">
        <is>
          <t>原始PDF矢量图：空心方形（1.5×1.5 rect）中心坐标按面板上下边界换算为0–100%；Variability圆点同x对齐核对，与原表Variability数值逐点一致</t>
        </is>
      </c>
      <c r="I261" s="250" t="inlineStr">
        <is>
          <t>F:/元分析-效应量/Tau-u计算文献/056-滚雪球-促进自闭症儿童社交技能表现的准确性与多样性.pdf</t>
        </is>
      </c>
    </row>
    <row r="262" ht="48" customHeight="1" s="176">
      <c r="A262" s="250" t="inlineStr">
        <is>
          <t>K456</t>
        </is>
      </c>
      <c r="B262" s="250" t="inlineStr">
        <is>
          <t>056-滚雪球</t>
        </is>
      </c>
      <c r="C262" s="250" t="inlineStr">
        <is>
          <t>P3</t>
        </is>
      </c>
      <c r="D262" s="251" t="inlineStr">
        <is>
          <t>干预</t>
        </is>
      </c>
      <c r="E262" s="251" t="inlineStr">
        <is>
          <t>已改取（准确率）</t>
        </is>
      </c>
      <c r="F262"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62" s="250" t="inlineStr">
        <is>
          <t>Figure3，PDF18（在线页码18），自上而下第2面板，Accuracy空心方形/右轴</t>
        </is>
      </c>
      <c r="H262" s="251" t="inlineStr">
        <is>
          <t>原始PDF矢量图：空心方形（1.5×1.5 rect）中心坐标按面板上下边界换算为0–100%；Variability圆点同x对齐核对，与原表Variability数值逐点一致</t>
        </is>
      </c>
      <c r="I262" s="250" t="inlineStr">
        <is>
          <t>F:/元分析-效应量/Tau-u计算文献/056-滚雪球-促进自闭症儿童社交技能表现的准确性与多样性.pdf</t>
        </is>
      </c>
    </row>
    <row r="263" ht="48" customHeight="1" s="176">
      <c r="A263" s="250" t="inlineStr">
        <is>
          <t>K457</t>
        </is>
      </c>
      <c r="B263" s="250" t="inlineStr">
        <is>
          <t>056-滚雪球</t>
        </is>
      </c>
      <c r="C263" s="250" t="inlineStr">
        <is>
          <t>P3</t>
        </is>
      </c>
      <c r="D263" s="251" t="inlineStr">
        <is>
          <t>维持</t>
        </is>
      </c>
      <c r="E263" s="251" t="inlineStr">
        <is>
          <t>已改取（准确率）</t>
        </is>
      </c>
      <c r="F263" s="251" t="inlineStr">
        <is>
          <t>【2026-10-24改取准确率】改取Accuracy空心方形（右轴，任务分析步骤正确百分比），不再取Variability；前段BL，后段Maintenance；阶段按原图虚线划分。读数按该技能步数对齐到合法百分比。原图后段有10%不在步数网格上，按图保留。 〔原记录：只取Variability实心圆左轴；前段BL，后段Maintenance；不取Accuracy空心方形。〕</t>
        </is>
      </c>
      <c r="G263" s="250" t="inlineStr">
        <is>
          <t>Figure3，PDF18（在线页码18），自上而下第2面板，Accuracy空心方形/右轴</t>
        </is>
      </c>
      <c r="H263" s="251" t="inlineStr">
        <is>
          <t>原始PDF矢量图：空心方形（1.5×1.5 rect）中心坐标按面板上下边界换算为0–100%；Variability圆点同x对齐核对，与原表Variability数值逐点一致</t>
        </is>
      </c>
      <c r="I263" s="250" t="inlineStr">
        <is>
          <t>F:/元分析-效应量/Tau-u计算文献/056-滚雪球-促进自闭症儿童社交技能表现的准确性与多样性.pdf</t>
        </is>
      </c>
    </row>
    <row r="264" ht="48" customHeight="1" s="176">
      <c r="A264" s="250" t="inlineStr">
        <is>
          <t>K458</t>
        </is>
      </c>
      <c r="B264" s="250" t="inlineStr">
        <is>
          <t>056-滚雪球</t>
        </is>
      </c>
      <c r="C264" s="250" t="inlineStr">
        <is>
          <t>P3</t>
        </is>
      </c>
      <c r="D264" s="251" t="inlineStr">
        <is>
          <t>干预</t>
        </is>
      </c>
      <c r="E264" s="251" t="inlineStr">
        <is>
          <t>已改取（准确率）</t>
        </is>
      </c>
      <c r="F264" s="251" t="inlineStr">
        <is>
          <t>【2026-10-24改取准确率】改取Accuracy空心方形（右轴，任务分析步骤正确百分比），不再取Variability；前段BL，后段紧接BL的第一个干预条件；阶段按原图虚线划分。读数按该技能步数对齐到合法百分比。原图前段有40%、前段有80%、后段有80%不在步数网格上，按图保留。 〔原记录：只取Variability实心圆左轴；前段BL，后段紧接BL的第一个条件；不取Accuracy空心方形。〕</t>
        </is>
      </c>
      <c r="G264" s="250" t="inlineStr">
        <is>
          <t>Figure3，PDF18（在线页码18），自上而下第3面板，Accuracy空心方形/右轴</t>
        </is>
      </c>
      <c r="H264" s="251" t="inlineStr">
        <is>
          <t>原始PDF矢量图：空心方形（1.5×1.5 rect）中心坐标按面板上下边界换算为0–100%；Variability圆点同x对齐核对，与原表Variability数值逐点一致</t>
        </is>
      </c>
      <c r="I264" s="250" t="inlineStr">
        <is>
          <t>F:/元分析-效应量/Tau-u计算文献/056-滚雪球-促进自闭症儿童社交技能表现的准确性与多样性.pdf</t>
        </is>
      </c>
    </row>
    <row r="265" ht="48" customHeight="1" s="176">
      <c r="A265" s="250" t="inlineStr">
        <is>
          <t>K459</t>
        </is>
      </c>
      <c r="B265" s="250" t="inlineStr">
        <is>
          <t>056-滚雪球</t>
        </is>
      </c>
      <c r="C265" s="250" t="inlineStr">
        <is>
          <t>P3</t>
        </is>
      </c>
      <c r="D265" s="251" t="inlineStr">
        <is>
          <t>维持</t>
        </is>
      </c>
      <c r="E265" s="251" t="inlineStr">
        <is>
          <t>已改取（准确率）</t>
        </is>
      </c>
      <c r="F265" s="251" t="inlineStr">
        <is>
          <t>【2026-10-24改取准确率】改取Accuracy空心方形（右轴，任务分析步骤正确百分比），不再取Variability；前段BL，后段Maintenance；阶段按原图虚线划分。读数按该技能步数对齐到合法百分比。原图前段有40%、前段有80%不在步数网格上，按图保留。 〔原记录：只取Variability实心圆左轴；前段BL，后段Maintenance；不取Accuracy空心方形。〕</t>
        </is>
      </c>
      <c r="G265" s="250" t="inlineStr">
        <is>
          <t>Figure3，PDF18（在线页码18），自上而下第3面板，Accuracy空心方形/右轴</t>
        </is>
      </c>
      <c r="H265" s="251" t="inlineStr">
        <is>
          <t>原始PDF矢量图：空心方形（1.5×1.5 rect）中心坐标按面板上下边界换算为0–100%；Variability圆点同x对齐核对，与原表Variability数值逐点一致</t>
        </is>
      </c>
      <c r="I265" s="250" t="inlineStr">
        <is>
          <t>F:/元分析-效应量/Tau-u计算文献/056-滚雪球-促进自闭症儿童社交技能表现的准确性与多样性.pdf</t>
        </is>
      </c>
    </row>
    <row r="266" ht="48" customHeight="1" s="176">
      <c r="A266" s="250" t="inlineStr">
        <is>
          <t>K460</t>
        </is>
      </c>
      <c r="B266" s="250" t="inlineStr">
        <is>
          <t>056-滚雪球</t>
        </is>
      </c>
      <c r="C266" s="250" t="inlineStr">
        <is>
          <t>P3</t>
        </is>
      </c>
      <c r="D266" s="251" t="inlineStr">
        <is>
          <t>干预</t>
        </is>
      </c>
      <c r="E266" s="251" t="inlineStr">
        <is>
          <t>已改取（准确率）</t>
        </is>
      </c>
      <c r="F266"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66" s="250" t="inlineStr">
        <is>
          <t>Figure3，PDF18（在线页码18），自上而下第4面板，Accuracy空心方形/右轴</t>
        </is>
      </c>
      <c r="H266" s="251" t="inlineStr">
        <is>
          <t>原始PDF矢量图：空心方形（1.5×1.5 rect）中心坐标按面板上下边界换算为0–100%；Variability圆点同x对齐核对，与原表Variability数值逐点一致</t>
        </is>
      </c>
      <c r="I266" s="250" t="inlineStr">
        <is>
          <t>F:/元分析-效应量/Tau-u计算文献/056-滚雪球-促进自闭症儿童社交技能表现的准确性与多样性.pdf</t>
        </is>
      </c>
    </row>
    <row r="267" ht="48" customHeight="1" s="176">
      <c r="A267" s="250" t="inlineStr">
        <is>
          <t>K461</t>
        </is>
      </c>
      <c r="B267" s="250" t="inlineStr">
        <is>
          <t>056-滚雪球</t>
        </is>
      </c>
      <c r="C267" s="250" t="inlineStr">
        <is>
          <t>Jarrod</t>
        </is>
      </c>
      <c r="D267" s="251" t="inlineStr">
        <is>
          <t>干预</t>
        </is>
      </c>
      <c r="E267" s="251" t="inlineStr">
        <is>
          <t>已改取（准确率）</t>
        </is>
      </c>
      <c r="F267"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67" s="250" t="inlineStr">
        <is>
          <t>Figure4，PDF19（在线页码19），自上而下第1面板，Accuracy空心方形/右轴</t>
        </is>
      </c>
      <c r="H267" s="251" t="inlineStr">
        <is>
          <t>原始PDF矢量图：空心方形（1.5×1.5 rect）中心坐标按面板上下边界换算为0–100%；Variability圆点同x对齐核对，与原表Variability数值逐点一致</t>
        </is>
      </c>
      <c r="I267" s="250" t="inlineStr">
        <is>
          <t>F:/元分析-效应量/Tau-u计算文献/056-滚雪球-促进自闭症儿童社交技能表现的准确性与多样性.pdf</t>
        </is>
      </c>
    </row>
    <row r="268" ht="63.75" customHeight="1" s="176">
      <c r="A268" s="250" t="inlineStr">
        <is>
          <t>K462</t>
        </is>
      </c>
      <c r="B268" s="250" t="inlineStr">
        <is>
          <t>056-滚雪球</t>
        </is>
      </c>
      <c r="C268" s="250" t="inlineStr">
        <is>
          <t>Jarrod</t>
        </is>
      </c>
      <c r="D268" s="251" t="inlineStr">
        <is>
          <t>维持</t>
        </is>
      </c>
      <c r="E268" s="251" t="inlineStr">
        <is>
          <t>已改取（准确率）</t>
        </is>
      </c>
      <c r="F268"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68" s="250" t="inlineStr">
        <is>
          <t>Figure4，PDF19（在线页码19），自上而下第1面板，Accuracy空心方形/右轴</t>
        </is>
      </c>
      <c r="H268" s="251" t="inlineStr">
        <is>
          <t>原始PDF矢量图：空心方形（1.5×1.5 rect）中心坐标按面板上下边界换算为0–100%；Variability圆点同x对齐核对，与原表Variability数值逐点一致</t>
        </is>
      </c>
      <c r="I268" s="250" t="inlineStr">
        <is>
          <t>F:/元分析-效应量/Tau-u计算文献/056-滚雪球-促进自闭症儿童社交技能表现的准确性与多样性.pdf</t>
        </is>
      </c>
    </row>
    <row r="269" ht="48" customHeight="1" s="176">
      <c r="A269" s="250" t="inlineStr">
        <is>
          <t>K463</t>
        </is>
      </c>
      <c r="B269" s="250" t="inlineStr">
        <is>
          <t>056-滚雪球</t>
        </is>
      </c>
      <c r="C269" s="250" t="inlineStr">
        <is>
          <t>Jarrod</t>
        </is>
      </c>
      <c r="D269" s="251" t="inlineStr">
        <is>
          <t>干预</t>
        </is>
      </c>
      <c r="E269" s="251" t="inlineStr">
        <is>
          <t>已改取（准确率）</t>
        </is>
      </c>
      <c r="F269"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69" s="250" t="inlineStr">
        <is>
          <t>Figure4，PDF19（在线页码19），自上而下第2面板，Accuracy空心方形/右轴</t>
        </is>
      </c>
      <c r="H269" s="251" t="inlineStr">
        <is>
          <t>原始PDF矢量图：空心方形（1.5×1.5 rect）中心坐标按面板上下边界换算为0–100%；Variability圆点同x对齐核对，与原表Variability数值逐点一致</t>
        </is>
      </c>
      <c r="I269" s="250" t="inlineStr">
        <is>
          <t>F:/元分析-效应量/Tau-u计算文献/056-滚雪球-促进自闭症儿童社交技能表现的准确性与多样性.pdf</t>
        </is>
      </c>
    </row>
    <row r="270" ht="48" customHeight="1" s="176">
      <c r="A270" s="250" t="inlineStr">
        <is>
          <t>K464</t>
        </is>
      </c>
      <c r="B270" s="250" t="inlineStr">
        <is>
          <t>056-滚雪球</t>
        </is>
      </c>
      <c r="C270" s="250" t="inlineStr">
        <is>
          <t>Jarrod</t>
        </is>
      </c>
      <c r="D270" s="251" t="inlineStr">
        <is>
          <t>维持</t>
        </is>
      </c>
      <c r="E270" s="251" t="inlineStr">
        <is>
          <t>已改取（准确率）</t>
        </is>
      </c>
      <c r="F270"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70" s="250" t="inlineStr">
        <is>
          <t>Figure4，PDF19（在线页码19），自上而下第2面板，Accuracy空心方形/右轴</t>
        </is>
      </c>
      <c r="H270" s="251" t="inlineStr">
        <is>
          <t>原始PDF矢量图：空心方形（1.5×1.5 rect）中心坐标按面板上下边界换算为0–100%；Variability圆点同x对齐核对，与原表Variability数值逐点一致</t>
        </is>
      </c>
      <c r="I270" s="250" t="inlineStr">
        <is>
          <t>F:/元分析-效应量/Tau-u计算文献/056-滚雪球-促进自闭症儿童社交技能表现的准确性与多样性.pdf</t>
        </is>
      </c>
    </row>
    <row r="271" ht="48" customHeight="1" s="176">
      <c r="A271" s="250" t="inlineStr">
        <is>
          <t>K465</t>
        </is>
      </c>
      <c r="B271" s="250" t="inlineStr">
        <is>
          <t>056-滚雪球</t>
        </is>
      </c>
      <c r="C271" s="250" t="inlineStr">
        <is>
          <t>Jarrod</t>
        </is>
      </c>
      <c r="D271" s="251" t="inlineStr">
        <is>
          <t>干预</t>
        </is>
      </c>
      <c r="E271" s="251" t="inlineStr">
        <is>
          <t>已改取（准确率）</t>
        </is>
      </c>
      <c r="F271"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71" s="250" t="inlineStr">
        <is>
          <t>Figure4，PDF19（在线页码19），自上而下第3面板，Accuracy空心方形/右轴</t>
        </is>
      </c>
      <c r="H271" s="251" t="inlineStr">
        <is>
          <t>原始PDF矢量图：空心方形（1.5×1.5 rect）中心坐标按面板上下边界换算为0–100%；Variability圆点同x对齐核对，与原表Variability数值逐点一致</t>
        </is>
      </c>
      <c r="I271" s="250" t="inlineStr">
        <is>
          <t>F:/元分析-效应量/Tau-u计算文献/056-滚雪球-促进自闭症儿童社交技能表现的准确性与多样性.pdf</t>
        </is>
      </c>
    </row>
    <row r="272" ht="48" customHeight="1" s="176">
      <c r="A272" s="250" t="inlineStr">
        <is>
          <t>K466</t>
        </is>
      </c>
      <c r="B272" s="250" t="inlineStr">
        <is>
          <t>056-滚雪球</t>
        </is>
      </c>
      <c r="C272" s="250" t="inlineStr">
        <is>
          <t>Jarrod</t>
        </is>
      </c>
      <c r="D272" s="251" t="inlineStr">
        <is>
          <t>维持</t>
        </is>
      </c>
      <c r="E272" s="251" t="inlineStr">
        <is>
          <t>已改取（准确率）</t>
        </is>
      </c>
      <c r="F272" s="251" t="inlineStr">
        <is>
          <t>【2026-10-24改取准确率】改取Accuracy空心方形（右轴，任务分析步骤正确百分比），不再取Variability；前段BL，后段Maintenance；阶段按原图虚线划分。读数按该技能步数对齐到合法百分比。原图后段有38%不在步数网格上，按图保留。 〔原记录：只取Variability实心圆左轴；前段BL，后段Maintenance；不取Accuracy空心方形。〕</t>
        </is>
      </c>
      <c r="G272" s="250" t="inlineStr">
        <is>
          <t>Figure4，PDF19（在线页码19），自上而下第3面板，Accuracy空心方形/右轴</t>
        </is>
      </c>
      <c r="H272" s="251" t="inlineStr">
        <is>
          <t>原始PDF矢量图：空心方形（1.5×1.5 rect）中心坐标按面板上下边界换算为0–100%；Variability圆点同x对齐核对，与原表Variability数值逐点一致</t>
        </is>
      </c>
      <c r="I272" s="250" t="inlineStr">
        <is>
          <t>F:/元分析-效应量/Tau-u计算文献/056-滚雪球-促进自闭症儿童社交技能表现的准确性与多样性.pdf</t>
        </is>
      </c>
    </row>
    <row r="273" ht="48" customHeight="1" s="176">
      <c r="A273" s="250" t="inlineStr">
        <is>
          <t>K467</t>
        </is>
      </c>
      <c r="B273" s="250" t="inlineStr">
        <is>
          <t>056-滚雪球</t>
        </is>
      </c>
      <c r="C273" s="250" t="inlineStr">
        <is>
          <t>Jarrod</t>
        </is>
      </c>
      <c r="D273" s="251" t="inlineStr">
        <is>
          <t>干预</t>
        </is>
      </c>
      <c r="E273" s="251" t="inlineStr">
        <is>
          <t>已改取（准确率）</t>
        </is>
      </c>
      <c r="F273"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73" s="250" t="inlineStr">
        <is>
          <t>Figure4，PDF19（在线页码19），自上而下第4面板，Accuracy空心方形/右轴</t>
        </is>
      </c>
      <c r="H273" s="251" t="inlineStr">
        <is>
          <t>原始PDF矢量图：空心方形（1.5×1.5 rect）中心坐标按面板上下边界换算为0–100%；Variability圆点同x对齐核对，与原表Variability数值逐点一致</t>
        </is>
      </c>
      <c r="I273" s="250" t="inlineStr">
        <is>
          <t>F:/元分析-效应量/Tau-u计算文献/056-滚雪球-促进自闭症儿童社交技能表现的准确性与多样性.pdf</t>
        </is>
      </c>
    </row>
    <row r="274" ht="48" customHeight="1" s="176">
      <c r="A274" s="250" t="inlineStr">
        <is>
          <t>K468</t>
        </is>
      </c>
      <c r="B274" s="250" t="inlineStr">
        <is>
          <t>056-滚雪球</t>
        </is>
      </c>
      <c r="C274" s="250" t="inlineStr">
        <is>
          <t>Tony</t>
        </is>
      </c>
      <c r="D274" s="251" t="inlineStr">
        <is>
          <t>干预</t>
        </is>
      </c>
      <c r="E274" s="251" t="inlineStr">
        <is>
          <t>已改取（准确率）</t>
        </is>
      </c>
      <c r="F274"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74" s="250" t="inlineStr">
        <is>
          <t>Figure5，PDF21（在线页码21），自上而下第1面板，Accuracy空心方形/右轴</t>
        </is>
      </c>
      <c r="H274" s="251" t="inlineStr">
        <is>
          <t>原始PDF矢量图：空心方形（1.5×1.5 rect）中心坐标按面板上下边界换算为0–100%；Variability圆点同x对齐核对，与原表Variability数值逐点一致</t>
        </is>
      </c>
      <c r="I274" s="250" t="inlineStr">
        <is>
          <t>F:/元分析-效应量/Tau-u计算文献/056-滚雪球-促进自闭症儿童社交技能表现的准确性与多样性.pdf</t>
        </is>
      </c>
    </row>
    <row r="275" ht="48" customHeight="1" s="176">
      <c r="A275" s="250" t="inlineStr">
        <is>
          <t>K469</t>
        </is>
      </c>
      <c r="B275" s="250" t="inlineStr">
        <is>
          <t>056-滚雪球</t>
        </is>
      </c>
      <c r="C275" s="250" t="inlineStr">
        <is>
          <t>Tony</t>
        </is>
      </c>
      <c r="D275" s="251" t="inlineStr">
        <is>
          <t>维持</t>
        </is>
      </c>
      <c r="E275" s="251" t="inlineStr">
        <is>
          <t>已改取（准确率）</t>
        </is>
      </c>
      <c r="F275"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75" s="250" t="inlineStr">
        <is>
          <t>Figure5，PDF21（在线页码21），自上而下第1面板，Accuracy空心方形/右轴</t>
        </is>
      </c>
      <c r="H275" s="251" t="inlineStr">
        <is>
          <t>原始PDF矢量图：空心方形（1.5×1.5 rect）中心坐标按面板上下边界换算为0–100%；Variability圆点同x对齐核对，与原表Variability数值逐点一致</t>
        </is>
      </c>
      <c r="I275" s="250" t="inlineStr">
        <is>
          <t>F:/元分析-效应量/Tau-u计算文献/056-滚雪球-促进自闭症儿童社交技能表现的准确性与多样性.pdf</t>
        </is>
      </c>
    </row>
    <row r="276" ht="48" customHeight="1" s="176">
      <c r="A276" s="250" t="inlineStr">
        <is>
          <t>K470</t>
        </is>
      </c>
      <c r="B276" s="250" t="inlineStr">
        <is>
          <t>056-滚雪球</t>
        </is>
      </c>
      <c r="C276" s="250" t="inlineStr">
        <is>
          <t>Tony</t>
        </is>
      </c>
      <c r="D276" s="251" t="inlineStr">
        <is>
          <t>干预</t>
        </is>
      </c>
      <c r="E276" s="251" t="inlineStr">
        <is>
          <t>已改取（准确率）</t>
        </is>
      </c>
      <c r="F276"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76" s="250" t="inlineStr">
        <is>
          <t>Figure5，PDF21（在线页码21），自上而下第2面板，Accuracy空心方形/右轴</t>
        </is>
      </c>
      <c r="H276" s="251" t="inlineStr">
        <is>
          <t>原始PDF矢量图：空心方形（1.5×1.5 rect）中心坐标按面板上下边界换算为0–100%；Variability圆点同x对齐核对，与原表Variability数值逐点一致</t>
        </is>
      </c>
      <c r="I276" s="250" t="inlineStr">
        <is>
          <t>F:/元分析-效应量/Tau-u计算文献/056-滚雪球-促进自闭症儿童社交技能表现的准确性与多样性.pdf</t>
        </is>
      </c>
    </row>
    <row r="277" ht="48" customHeight="1" s="176">
      <c r="A277" s="250" t="inlineStr">
        <is>
          <t>K471</t>
        </is>
      </c>
      <c r="B277" s="250" t="inlineStr">
        <is>
          <t>056-滚雪球</t>
        </is>
      </c>
      <c r="C277" s="250" t="inlineStr">
        <is>
          <t>Tony</t>
        </is>
      </c>
      <c r="D277" s="251" t="inlineStr">
        <is>
          <t>维持</t>
        </is>
      </c>
      <c r="E277" s="251" t="inlineStr">
        <is>
          <t>已改取（准确率）</t>
        </is>
      </c>
      <c r="F277" s="251" t="inlineStr">
        <is>
          <t>【2026-10-24改取准确率】改取Accuracy空心方形（右轴，任务分析步骤正确百分比），不再取Variability；前段BL，后段Maintenance；阶段按原图虚线划分。读数按该技能步数对齐到合法百分比。 〔原记录：只取Variability实心圆左轴；前段BL，后段Maintenance；不取Accuracy空心方形。〕</t>
        </is>
      </c>
      <c r="G277" s="250" t="inlineStr">
        <is>
          <t>Figure5，PDF21（在线页码21），自上而下第2面板，Accuracy空心方形/右轴</t>
        </is>
      </c>
      <c r="H277" s="251" t="inlineStr">
        <is>
          <t>原始PDF矢量图：空心方形（1.5×1.5 rect）中心坐标按面板上下边界换算为0–100%；Variability圆点同x对齐核对，与原表Variability数值逐点一致</t>
        </is>
      </c>
      <c r="I277" s="250" t="inlineStr">
        <is>
          <t>F:/元分析-效应量/Tau-u计算文献/056-滚雪球-促进自闭症儿童社交技能表现的准确性与多样性.pdf</t>
        </is>
      </c>
    </row>
    <row r="278" ht="48" customHeight="1" s="176">
      <c r="A278" s="250" t="inlineStr">
        <is>
          <t>K472</t>
        </is>
      </c>
      <c r="B278" s="250" t="inlineStr">
        <is>
          <t>056-滚雪球</t>
        </is>
      </c>
      <c r="C278" s="250" t="inlineStr">
        <is>
          <t>Tony</t>
        </is>
      </c>
      <c r="D278" s="251" t="inlineStr">
        <is>
          <t>干预</t>
        </is>
      </c>
      <c r="E278" s="251" t="inlineStr">
        <is>
          <t>已改取（准确率）</t>
        </is>
      </c>
      <c r="F278"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78" s="250" t="inlineStr">
        <is>
          <t>Figure5，PDF21（在线页码21），自上而下第3面板，Accuracy空心方形/右轴</t>
        </is>
      </c>
      <c r="H278" s="251" t="inlineStr">
        <is>
          <t>原始PDF矢量图：空心方形（1.5×1.5 rect）中心坐标按面板上下边界换算为0–100%；Variability圆点同x对齐核对，与原表Variability数值逐点一致</t>
        </is>
      </c>
      <c r="I278" s="250" t="inlineStr">
        <is>
          <t>F:/元分析-效应量/Tau-u计算文献/056-滚雪球-促进自闭症儿童社交技能表现的准确性与多样性.pdf</t>
        </is>
      </c>
    </row>
    <row r="279" ht="48" customHeight="1" s="176">
      <c r="A279" s="250" t="inlineStr">
        <is>
          <t>K473</t>
        </is>
      </c>
      <c r="B279" s="250" t="inlineStr">
        <is>
          <t>056-滚雪球</t>
        </is>
      </c>
      <c r="C279" s="250" t="inlineStr">
        <is>
          <t>Tony</t>
        </is>
      </c>
      <c r="D279" s="251" t="inlineStr">
        <is>
          <t>维持</t>
        </is>
      </c>
      <c r="E279" s="251" t="inlineStr">
        <is>
          <t>已改取（准确率）</t>
        </is>
      </c>
      <c r="F279" s="251" t="inlineStr">
        <is>
          <t>【2026-10-24改取准确率】改取Accuracy空心方形（右轴，任务分析步骤正确百分比），不再取Variability；前段BL，后段Maintenance；阶段按原图虚线划分。读数按该技能步数对齐到合法百分比。原记录维持段误抄为干预段数值，现按原图最后一条阶段线后的维持点更正。 〔原记录：只取Variability实心圆左轴；前段BL，后段Maintenance；不取Accuracy空心方形。〕</t>
        </is>
      </c>
      <c r="G279" s="250" t="inlineStr">
        <is>
          <t>Figure5，PDF21（在线页码21），自上而下第3面板，Accuracy空心方形/右轴</t>
        </is>
      </c>
      <c r="H279" s="251" t="inlineStr">
        <is>
          <t>原始PDF矢量图：空心方形（1.5×1.5 rect）中心坐标按面板上下边界换算为0–100%；Variability圆点同x对齐核对，与原表Variability数值逐点一致</t>
        </is>
      </c>
      <c r="I279" s="250" t="inlineStr">
        <is>
          <t>F:/元分析-效应量/Tau-u计算文献/056-滚雪球-促进自闭症儿童社交技能表现的准确性与多样性.pdf</t>
        </is>
      </c>
    </row>
    <row r="280" ht="48" customHeight="1" s="176">
      <c r="A280" s="250" t="inlineStr">
        <is>
          <t>K474</t>
        </is>
      </c>
      <c r="B280" s="250" t="inlineStr">
        <is>
          <t>056-滚雪球</t>
        </is>
      </c>
      <c r="C280" s="250" t="inlineStr">
        <is>
          <t>Tony</t>
        </is>
      </c>
      <c r="D280" s="251" t="inlineStr">
        <is>
          <t>干预</t>
        </is>
      </c>
      <c r="E280" s="251" t="inlineStr">
        <is>
          <t>已改取（准确率）</t>
        </is>
      </c>
      <c r="F280" s="251" t="inlineStr">
        <is>
          <t>【2026-10-24改取准确率】改取Accuracy空心方形（右轴，任务分析步骤正确百分比），不再取Variability；前段BL，后段紧接BL的第一个干预条件；阶段按原图虚线划分。读数按该技能步数对齐到合法百分比。 〔原记录：只取Variability实心圆左轴；前段BL，后段紧接BL的第一个条件；不取Accuracy空心方形。〕</t>
        </is>
      </c>
      <c r="G280" s="250" t="inlineStr">
        <is>
          <t>Figure5，PDF21（在线页码21），自上而下第4面板，Accuracy空心方形/右轴</t>
        </is>
      </c>
      <c r="H280" s="251" t="inlineStr">
        <is>
          <t>原始PDF矢量图：空心方形（1.5×1.5 rect）中心坐标按面板上下边界换算为0–100%；Variability圆点同x对齐核对，与原表Variability数值逐点一致</t>
        </is>
      </c>
      <c r="I280" s="250" t="inlineStr">
        <is>
          <t>F:/元分析-效应量/Tau-u计算文献/056-滚雪球-促进自闭症儿童社交技能表现的准确性与多样性.pdf</t>
        </is>
      </c>
    </row>
    <row r="281" ht="48" customHeight="1" s="176">
      <c r="A281" s="250" t="inlineStr">
        <is>
          <t>K477</t>
        </is>
      </c>
      <c r="B281" s="250" t="inlineStr">
        <is>
          <t>057-二次</t>
        </is>
      </c>
      <c r="C281" s="250" t="inlineStr">
        <is>
          <t>Abby（化名）</t>
        </is>
      </c>
      <c r="D281" s="251" t="inlineStr">
        <is>
          <t>干预</t>
        </is>
      </c>
      <c r="E281" s="251" t="inlineStr">
        <is>
          <t>已补入</t>
        </is>
      </c>
      <c r="F281" s="251" t="inlineStr">
        <is>
          <t>仅Daily Observations主曲线；不取三角泛化点。干预仅图示Intervention段，Fading另列阶段未纳入。</t>
        </is>
      </c>
      <c r="G281" s="250" t="inlineStr">
        <is>
          <t>Figure1 PDF8/页280，第2面板，空心圆主曲线</t>
        </is>
      </c>
      <c r="H281" s="251" t="inlineStr">
        <is>
          <t>原始PDF空心圆矢量坐标，按图示Baseline/Intervention/Follow-up分界取点，百分比归并至整数水平</t>
        </is>
      </c>
      <c r="I281" s="250" t="inlineStr">
        <is>
          <t>F:/元分析-效应量/Tau-u计算文献/057-二次-E-通过自我管理训练改善孤独症儿童社会技能.pdf</t>
        </is>
      </c>
    </row>
    <row r="282" ht="48" customHeight="1" s="176">
      <c r="A282" s="250" t="inlineStr">
        <is>
          <t>K478</t>
        </is>
      </c>
      <c r="B282" s="250" t="inlineStr">
        <is>
          <t>057-二次</t>
        </is>
      </c>
      <c r="C282" s="250" t="inlineStr">
        <is>
          <t>Abby（化名）</t>
        </is>
      </c>
      <c r="D282" s="251" t="inlineStr">
        <is>
          <t>维持</t>
        </is>
      </c>
      <c r="E282" s="251" t="inlineStr">
        <is>
          <t>已补入</t>
        </is>
      </c>
      <c r="F282" s="251" t="inlineStr">
        <is>
          <t>仅Daily Observations主曲线；不取三角泛化点。干预仅图示Intervention段，Fading另列阶段未纳入。</t>
        </is>
      </c>
      <c r="G282" s="250" t="inlineStr">
        <is>
          <t>Figure1 PDF8/页280，第2面板，空心圆主曲线</t>
        </is>
      </c>
      <c r="H282" s="251" t="inlineStr">
        <is>
          <t>原始PDF空心圆矢量坐标，按图示Baseline/Intervention/Follow-up分界取点，百分比归并至整数水平</t>
        </is>
      </c>
      <c r="I282" s="250" t="inlineStr">
        <is>
          <t>F:/元分析-效应量/Tau-u计算文献/057-二次-E-通过自我管理训练改善孤独症儿童社会技能.pdf</t>
        </is>
      </c>
    </row>
    <row r="283" ht="48" customHeight="1" s="176">
      <c r="A283" s="250" t="inlineStr">
        <is>
          <t>K479</t>
        </is>
      </c>
      <c r="B283" s="250" t="inlineStr">
        <is>
          <t>057-二次</t>
        </is>
      </c>
      <c r="C283" s="250" t="inlineStr">
        <is>
          <t>Abby（化名）</t>
        </is>
      </c>
      <c r="D283" s="251" t="inlineStr">
        <is>
          <t>干预</t>
        </is>
      </c>
      <c r="E283" s="251" t="inlineStr">
        <is>
          <t>已补入</t>
        </is>
      </c>
      <c r="F283" s="251" t="inlineStr">
        <is>
          <t>仅Daily Observations主曲线；不取三角泛化点。干预仅图示Intervention段，Fading另列阶段未纳入。</t>
        </is>
      </c>
      <c r="G283" s="250" t="inlineStr">
        <is>
          <t>Figure1 PDF8/页280，第3面板，空心圆主曲线</t>
        </is>
      </c>
      <c r="H283" s="251" t="inlineStr">
        <is>
          <t>原始PDF空心圆矢量坐标，按图示Baseline/Intervention/Follow-up分界取点，百分比归并至整数水平</t>
        </is>
      </c>
      <c r="I283" s="250" t="inlineStr">
        <is>
          <t>F:/元分析-效应量/Tau-u计算文献/057-二次-E-通过自我管理训练改善孤独症儿童社会技能.pdf</t>
        </is>
      </c>
    </row>
    <row r="284" ht="48" customHeight="1" s="176">
      <c r="A284" s="250" t="inlineStr">
        <is>
          <t>K480</t>
        </is>
      </c>
      <c r="B284" s="250" t="inlineStr">
        <is>
          <t>057-二次</t>
        </is>
      </c>
      <c r="C284" s="250" t="inlineStr">
        <is>
          <t>Abby（化名）</t>
        </is>
      </c>
      <c r="D284" s="251" t="inlineStr">
        <is>
          <t>维持</t>
        </is>
      </c>
      <c r="E284" s="251" t="inlineStr">
        <is>
          <t>已补入</t>
        </is>
      </c>
      <c r="F284" s="251" t="inlineStr">
        <is>
          <t>仅Daily Observations主曲线；不取三角泛化点。干预仅图示Intervention段，Fading另列阶段未纳入。</t>
        </is>
      </c>
      <c r="G284" s="250" t="inlineStr">
        <is>
          <t>Figure1 PDF8/页280，第3面板，空心圆主曲线</t>
        </is>
      </c>
      <c r="H284" s="251" t="inlineStr">
        <is>
          <t>原始PDF空心圆矢量坐标，按图示Baseline/Intervention/Follow-up分界取点，百分比归并至整数水平</t>
        </is>
      </c>
      <c r="I284" s="250" t="inlineStr">
        <is>
          <t>F:/元分析-效应量/Tau-u计算文献/057-二次-E-通过自我管理训练改善孤独症儿童社会技能.pdf</t>
        </is>
      </c>
    </row>
    <row r="285" ht="48" customHeight="1" s="176">
      <c r="A285" s="250" t="inlineStr">
        <is>
          <t>K481</t>
        </is>
      </c>
      <c r="B285" s="250" t="inlineStr">
        <is>
          <t>065-二次</t>
        </is>
      </c>
      <c r="C285" s="250" t="inlineStr">
        <is>
          <t>Efe</t>
        </is>
      </c>
      <c r="D285" s="251" t="inlineStr">
        <is>
          <t>干预</t>
        </is>
      </c>
      <c r="E285" s="251" t="inlineStr">
        <is>
          <t>已补入</t>
        </is>
      </c>
      <c r="F285" s="251" t="inlineStr">
        <is>
          <t>干预日探测点数与原文Table3的9/7/9一致；重叠方形按会话刻度区分，同一水平按整数百分比记。</t>
        </is>
      </c>
      <c r="G285" s="250" t="inlineStr">
        <is>
          <t>Figure 1，PDF 11 / 印刷页373，第1面板 Efe，实心方形 Probe</t>
        </is>
      </c>
      <c r="H285" s="251" t="inlineStr">
        <is>
          <t>重新渲染原图，按横轴会话和实心方形逐点读取；排除空心泛化方形</t>
        </is>
      </c>
      <c r="I285" s="250" t="inlineStr">
        <is>
          <t>F:/元分析-效应量/Tau-u计算文献/065-二次-E-智能白板呈现的视频建模教授孤独症儿童社会回应行为的有效性.pdf</t>
        </is>
      </c>
    </row>
    <row r="286" ht="48" customHeight="1" s="176">
      <c r="A286" s="250" t="inlineStr">
        <is>
          <t>K482</t>
        </is>
      </c>
      <c r="B286" s="250" t="inlineStr">
        <is>
          <t>065-二次</t>
        </is>
      </c>
      <c r="C286" s="250" t="inlineStr">
        <is>
          <t>Efe</t>
        </is>
      </c>
      <c r="D286" s="251" t="inlineStr">
        <is>
          <t>维持</t>
        </is>
      </c>
      <c r="E286" s="251" t="inlineStr">
        <is>
          <t>已补入</t>
        </is>
      </c>
      <c r="F286" s="251" t="inlineStr">
        <is>
          <t>干预日探测点数与原文Table3的9/7/9一致；重叠方形按会话刻度区分，同一水平按整数百分比记。</t>
        </is>
      </c>
      <c r="G286" s="250" t="inlineStr">
        <is>
          <t>Figure 1，PDF 11 / 印刷页373，第1面板 Efe，实心方形 Probe</t>
        </is>
      </c>
      <c r="H286" s="251" t="inlineStr">
        <is>
          <t>重新渲染原图，按横轴会话和实心方形逐点读取；排除空心泛化方形</t>
        </is>
      </c>
      <c r="I286" s="250" t="inlineStr">
        <is>
          <t>F:/元分析-效应量/Tau-u计算文献/065-二次-E-智能白板呈现的视频建模教授孤独症儿童社会回应行为的有效性.pdf</t>
        </is>
      </c>
    </row>
    <row r="287" ht="48" customHeight="1" s="176">
      <c r="A287" s="250" t="inlineStr">
        <is>
          <t>K483</t>
        </is>
      </c>
      <c r="B287" s="250" t="inlineStr">
        <is>
          <t>065-二次</t>
        </is>
      </c>
      <c r="C287" s="250" t="inlineStr">
        <is>
          <t>Uzay</t>
        </is>
      </c>
      <c r="D287" s="251" t="inlineStr">
        <is>
          <t>干预</t>
        </is>
      </c>
      <c r="E287" s="251" t="inlineStr">
        <is>
          <t>已补入</t>
        </is>
      </c>
      <c r="F287" s="251" t="inlineStr">
        <is>
          <t>干预日探测点数与原文Table3的9/7/9一致；重叠方形按会话刻度区分，同一水平按整数百分比记。</t>
        </is>
      </c>
      <c r="G287" s="250" t="inlineStr">
        <is>
          <t>Figure 1，PDF 11 / 印刷页373，第2面板 Uzay，实心方形 Probe</t>
        </is>
      </c>
      <c r="H287" s="251" t="inlineStr">
        <is>
          <t>重新渲染原图，按横轴会话和实心方形逐点读取；排除空心泛化方形</t>
        </is>
      </c>
      <c r="I287" s="250" t="inlineStr">
        <is>
          <t>F:/元分析-效应量/Tau-u计算文献/065-二次-E-智能白板呈现的视频建模教授孤独症儿童社会回应行为的有效性.pdf</t>
        </is>
      </c>
    </row>
    <row r="288" ht="48" customHeight="1" s="176">
      <c r="A288" s="250" t="inlineStr">
        <is>
          <t>K484</t>
        </is>
      </c>
      <c r="B288" s="250" t="inlineStr">
        <is>
          <t>065-二次</t>
        </is>
      </c>
      <c r="C288" s="250" t="inlineStr">
        <is>
          <t>Uzay</t>
        </is>
      </c>
      <c r="D288" s="251" t="inlineStr">
        <is>
          <t>维持</t>
        </is>
      </c>
      <c r="E288" s="251" t="inlineStr">
        <is>
          <t>已补入</t>
        </is>
      </c>
      <c r="F288" s="251" t="inlineStr">
        <is>
          <t>干预日探测点数与原文Table3的9/7/9一致；重叠方形按会话刻度区分，同一水平按整数百分比记。</t>
        </is>
      </c>
      <c r="G288" s="250" t="inlineStr">
        <is>
          <t>Figure 1，PDF 11 / 印刷页373，第2面板 Uzay，实心方形 Probe</t>
        </is>
      </c>
      <c r="H288" s="251" t="inlineStr">
        <is>
          <t>重新渲染原图，按横轴会话和实心方形逐点读取；排除空心泛化方形</t>
        </is>
      </c>
      <c r="I288" s="250" t="inlineStr">
        <is>
          <t>F:/元分析-效应量/Tau-u计算文献/065-二次-E-智能白板呈现的视频建模教授孤独症儿童社会回应行为的有效性.pdf</t>
        </is>
      </c>
    </row>
    <row r="289" ht="48" customHeight="1" s="176">
      <c r="A289" s="250" t="inlineStr">
        <is>
          <t>K485</t>
        </is>
      </c>
      <c r="B289" s="250" t="inlineStr">
        <is>
          <t>065-二次</t>
        </is>
      </c>
      <c r="C289" s="250" t="inlineStr">
        <is>
          <t>Eren</t>
        </is>
      </c>
      <c r="D289" s="251" t="inlineStr">
        <is>
          <t>干预</t>
        </is>
      </c>
      <c r="E289" s="251" t="inlineStr">
        <is>
          <t>已补入</t>
        </is>
      </c>
      <c r="F289" s="251" t="inlineStr">
        <is>
          <t>干预日探测点数与原文Table3的9/7/9一致；重叠方形按会话刻度区分，同一水平按整数百分比记。</t>
        </is>
      </c>
      <c r="G289" s="250" t="inlineStr">
        <is>
          <t>Figure 1，PDF 11 / 印刷页373，第3面板 Eren，实心方形 Probe</t>
        </is>
      </c>
      <c r="H289" s="251" t="inlineStr">
        <is>
          <t>重新渲染原图，按横轴会话和实心方形逐点读取；排除空心泛化方形</t>
        </is>
      </c>
      <c r="I289" s="250" t="inlineStr">
        <is>
          <t>F:/元分析-效应量/Tau-u计算文献/065-二次-E-智能白板呈现的视频建模教授孤独症儿童社会回应行为的有效性.pdf</t>
        </is>
      </c>
    </row>
    <row r="290" ht="48" customHeight="1" s="176">
      <c r="A290" s="250" t="inlineStr">
        <is>
          <t>K486</t>
        </is>
      </c>
      <c r="B290" s="250" t="inlineStr">
        <is>
          <t>065-二次</t>
        </is>
      </c>
      <c r="C290" s="250" t="inlineStr">
        <is>
          <t>Eren</t>
        </is>
      </c>
      <c r="D290" s="251" t="inlineStr">
        <is>
          <t>维持</t>
        </is>
      </c>
      <c r="E290" s="251" t="inlineStr">
        <is>
          <t>已补入</t>
        </is>
      </c>
      <c r="F290" s="251" t="inlineStr">
        <is>
          <t>干预日探测点数与原文Table3的9/7/9一致；重叠方形按会话刻度区分，同一水平按整数百分比记。</t>
        </is>
      </c>
      <c r="G290" s="250" t="inlineStr">
        <is>
          <t>Figure 1，PDF 11 / 印刷页373，第3面板 Eren，实心方形 Probe</t>
        </is>
      </c>
      <c r="H290" s="251" t="inlineStr">
        <is>
          <t>重新渲染原图，按横轴会话和实心方形逐点读取；排除空心泛化方形</t>
        </is>
      </c>
      <c r="I290" s="250" t="inlineStr">
        <is>
          <t>F:/元分析-效应量/Tau-u计算文献/065-二次-E-智能白板呈现的视频建模教授孤独症儿童社会回应行为的有效性.pdf</t>
        </is>
      </c>
    </row>
    <row r="291" ht="48" customHeight="1" s="176">
      <c r="A291" s="250" t="inlineStr">
        <is>
          <t>K487</t>
        </is>
      </c>
      <c r="B291" s="250" t="inlineStr">
        <is>
          <t>066-二次</t>
        </is>
      </c>
      <c r="C291" s="251" t="inlineStr">
        <is>
          <t>小A</t>
        </is>
      </c>
      <c r="D291" s="251" t="inlineStr">
        <is>
          <t>干预</t>
        </is>
      </c>
      <c r="E291" s="251" t="inlineStr">
        <is>
          <t>已补入</t>
        </is>
      </c>
      <c r="F291" s="251" t="inlineStr">
        <is>
          <t>三名被试前段4/5/6点与原方法一致；提取后的基线、干预和维持均值九项均与原文报告一致（按原文小数位）。</t>
        </is>
      </c>
      <c r="G291" s="251" t="inlineStr">
        <is>
          <t>图1；PDF第5页/印刷48页；小A面板；实心圆</t>
        </is>
      </c>
      <c r="H291" s="251" t="inlineStr">
        <is>
          <t>从原PDF图1嵌入图像重新读取整数次数，区分圆/菱形/三角，按实线确定BL/四阶段合并/维持</t>
        </is>
      </c>
      <c r="I291" s="250" t="inlineStr">
        <is>
          <t>F:/元分析-效应量/Tau-u计算文献/066-二次-C-基于视频示范技术的PECS教学对自闭症儿童主动沟通及情绪行为的干预研究_谌小猛.pdf</t>
        </is>
      </c>
    </row>
    <row r="292" ht="48" customHeight="1" s="176">
      <c r="A292" s="250" t="inlineStr">
        <is>
          <t>K488</t>
        </is>
      </c>
      <c r="B292" s="250" t="inlineStr">
        <is>
          <t>066-二次</t>
        </is>
      </c>
      <c r="C292" s="251" t="inlineStr">
        <is>
          <t>小A</t>
        </is>
      </c>
      <c r="D292" s="251" t="inlineStr">
        <is>
          <t>维持</t>
        </is>
      </c>
      <c r="E292" s="251" t="inlineStr">
        <is>
          <t>已补入</t>
        </is>
      </c>
      <c r="F292" s="251" t="inlineStr">
        <is>
          <t>三名被试前段4/5/6点与原方法一致；提取后的基线、干预和维持均值九项均与原文报告一致（按原文小数位）。</t>
        </is>
      </c>
      <c r="G292" s="251" t="inlineStr">
        <is>
          <t>图1；PDF第5页/印刷48页；小A面板；实心圆</t>
        </is>
      </c>
      <c r="H292" s="251" t="inlineStr">
        <is>
          <t>从原PDF图1嵌入图像重新读取整数次数，区分圆/菱形/三角，按实线确定BL/四阶段合并/维持</t>
        </is>
      </c>
      <c r="I292" s="250" t="inlineStr">
        <is>
          <t>F:/元分析-效应量/Tau-u计算文献/066-二次-C-基于视频示范技术的PECS教学对自闭症儿童主动沟通及情绪行为的干预研究_谌小猛.pdf</t>
        </is>
      </c>
    </row>
    <row r="293" ht="48" customHeight="1" s="176">
      <c r="A293" s="250" t="inlineStr">
        <is>
          <t>K489</t>
        </is>
      </c>
      <c r="B293" s="250" t="inlineStr">
        <is>
          <t>066-二次</t>
        </is>
      </c>
      <c r="C293" s="251" t="inlineStr">
        <is>
          <t>小B</t>
        </is>
      </c>
      <c r="D293" s="251" t="inlineStr">
        <is>
          <t>干预</t>
        </is>
      </c>
      <c r="E293" s="251" t="inlineStr">
        <is>
          <t>已补入</t>
        </is>
      </c>
      <c r="F293" s="251" t="inlineStr">
        <is>
          <t>三名被试前段4/5/6点与原方法一致；提取后的基线、干预和维持均值九项均与原文报告一致（按原文小数位）。</t>
        </is>
      </c>
      <c r="G293" s="251" t="inlineStr">
        <is>
          <t>图1；PDF第5页/印刷48页；小B面板；实心菱形</t>
        </is>
      </c>
      <c r="H293" s="251" t="inlineStr">
        <is>
          <t>从原PDF图1嵌入图像重新读取整数次数，区分圆/菱形/三角，按实线确定BL/四阶段合并/维持</t>
        </is>
      </c>
      <c r="I293" s="250" t="inlineStr">
        <is>
          <t>F:/元分析-效应量/Tau-u计算文献/066-二次-C-基于视频示范技术的PECS教学对自闭症儿童主动沟通及情绪行为的干预研究_谌小猛.pdf</t>
        </is>
      </c>
    </row>
    <row r="294" ht="48" customHeight="1" s="176">
      <c r="A294" s="250" t="inlineStr">
        <is>
          <t>K490</t>
        </is>
      </c>
      <c r="B294" s="250" t="inlineStr">
        <is>
          <t>066-二次</t>
        </is>
      </c>
      <c r="C294" s="251" t="inlineStr">
        <is>
          <t>小B</t>
        </is>
      </c>
      <c r="D294" s="251" t="inlineStr">
        <is>
          <t>维持</t>
        </is>
      </c>
      <c r="E294" s="251" t="inlineStr">
        <is>
          <t>已补入</t>
        </is>
      </c>
      <c r="F294" s="251" t="inlineStr">
        <is>
          <t>三名被试前段4/5/6点与原方法一致；提取后的基线、干预和维持均值九项均与原文报告一致（按原文小数位）。</t>
        </is>
      </c>
      <c r="G294" s="251" t="inlineStr">
        <is>
          <t>图1；PDF第5页/印刷48页；小B面板；实心菱形</t>
        </is>
      </c>
      <c r="H294" s="251" t="inlineStr">
        <is>
          <t>从原PDF图1嵌入图像重新读取整数次数，区分圆/菱形/三角，按实线确定BL/四阶段合并/维持</t>
        </is>
      </c>
      <c r="I294" s="250" t="inlineStr">
        <is>
          <t>F:/元分析-效应量/Tau-u计算文献/066-二次-C-基于视频示范技术的PECS教学对自闭症儿童主动沟通及情绪行为的干预研究_谌小猛.pdf</t>
        </is>
      </c>
    </row>
    <row r="295" ht="48" customHeight="1" s="176">
      <c r="A295" s="250" t="inlineStr">
        <is>
          <t>K491</t>
        </is>
      </c>
      <c r="B295" s="250" t="inlineStr">
        <is>
          <t>066-二次</t>
        </is>
      </c>
      <c r="C295" s="251" t="inlineStr">
        <is>
          <t>小C</t>
        </is>
      </c>
      <c r="D295" s="251" t="inlineStr">
        <is>
          <t>干预</t>
        </is>
      </c>
      <c r="E295" s="251" t="inlineStr">
        <is>
          <t>已补入</t>
        </is>
      </c>
      <c r="F295" s="251" t="inlineStr">
        <is>
          <t>三名被试前段4/5/6点与原方法一致；提取后的基线、干预和维持均值九项均与原文报告一致（按原文小数位）。</t>
        </is>
      </c>
      <c r="G295" s="251" t="inlineStr">
        <is>
          <t>图1；PDF第5页/印刷48页；小C面板；实心三角</t>
        </is>
      </c>
      <c r="H295" s="251" t="inlineStr">
        <is>
          <t>从原PDF图1嵌入图像重新读取整数次数，区分圆/菱形/三角，按实线确定BL/四阶段合并/维持</t>
        </is>
      </c>
      <c r="I295" s="250" t="inlineStr">
        <is>
          <t>F:/元分析-效应量/Tau-u计算文献/066-二次-C-基于视频示范技术的PECS教学对自闭症儿童主动沟通及情绪行为的干预研究_谌小猛.pdf</t>
        </is>
      </c>
    </row>
    <row r="296" ht="48" customHeight="1" s="176">
      <c r="A296" s="250" t="inlineStr">
        <is>
          <t>K492</t>
        </is>
      </c>
      <c r="B296" s="250" t="inlineStr">
        <is>
          <t>066-二次</t>
        </is>
      </c>
      <c r="C296" s="251" t="inlineStr">
        <is>
          <t>小C</t>
        </is>
      </c>
      <c r="D296" s="251" t="inlineStr">
        <is>
          <t>维持</t>
        </is>
      </c>
      <c r="E296" s="251" t="inlineStr">
        <is>
          <t>已补入</t>
        </is>
      </c>
      <c r="F296" s="251" t="inlineStr">
        <is>
          <t>三名被试前段4/5/6点与原方法一致；提取后的基线、干预和维持均值九项均与原文报告一致（按原文小数位）。</t>
        </is>
      </c>
      <c r="G296" s="251" t="inlineStr">
        <is>
          <t>图1；PDF第5页/印刷48页；小C面板；实心三角</t>
        </is>
      </c>
      <c r="H296" s="251" t="inlineStr">
        <is>
          <t>从原PDF图1嵌入图像重新读取整数次数，区分圆/菱形/三角，按实线确定BL/四阶段合并/维持</t>
        </is>
      </c>
      <c r="I296" s="250" t="inlineStr">
        <is>
          <t>F:/元分析-效应量/Tau-u计算文献/066-二次-C-基于视频示范技术的PECS教学对自闭症儿童主动沟通及情绪行为的干预研究_谌小猛.pdf</t>
        </is>
      </c>
    </row>
    <row r="297" ht="48" customHeight="1" s="176">
      <c r="A297" s="250" t="inlineStr">
        <is>
          <t>K499</t>
        </is>
      </c>
      <c r="B297" s="250" t="inlineStr">
        <is>
          <t>069-滚雪球</t>
        </is>
      </c>
      <c r="C297" s="250" t="inlineStr">
        <is>
          <t>Delia</t>
        </is>
      </c>
      <c r="D297" s="251" t="inlineStr">
        <is>
          <t>干预</t>
        </is>
      </c>
      <c r="E297" s="251" t="inlineStr">
        <is>
          <t>已补入</t>
        </is>
      </c>
      <c r="F297" s="251" t="inlineStr">
        <is>
          <t>横向虚线为阶段均值，不是观测值；阶段线所在空白会话不补点。</t>
        </is>
      </c>
      <c r="G297" s="250" t="inlineStr">
        <is>
          <t>Figure 7；PDF第14页/印刷108页；游戏Play面板；实心菱形</t>
        </is>
      </c>
      <c r="H297" s="251" t="inlineStr">
        <is>
          <t>重新渲染原始Figure7–9，按菱形标记、整数纵轴和阶段实线逐点读取</t>
        </is>
      </c>
      <c r="I297" s="250" t="inlineStr">
        <is>
          <t>F:/元分析-效应量/Tau-u计算文献/069-滚雪球-计算机干预方案对自闭症儿童沟通功能的影响.pdf</t>
        </is>
      </c>
    </row>
    <row r="298" ht="48" customHeight="1" s="176">
      <c r="A298" s="250" t="inlineStr">
        <is>
          <t>K500</t>
        </is>
      </c>
      <c r="B298" s="250" t="inlineStr">
        <is>
          <t>069-滚雪球</t>
        </is>
      </c>
      <c r="C298" s="250" t="inlineStr">
        <is>
          <t>Delia</t>
        </is>
      </c>
      <c r="D298" s="251" t="inlineStr">
        <is>
          <t>干预</t>
        </is>
      </c>
      <c r="E298" s="251" t="inlineStr">
        <is>
          <t>已补入</t>
        </is>
      </c>
      <c r="F298" s="251" t="inlineStr">
        <is>
          <t>横向虚线为阶段均值，不是观测值；阶段线所在空白会话不补点。</t>
        </is>
      </c>
      <c r="G298" s="250" t="inlineStr">
        <is>
          <t>Figure 7；PDF第14页/印刷108页；进食Food面板；实心菱形</t>
        </is>
      </c>
      <c r="H298" s="251" t="inlineStr">
        <is>
          <t>重新渲染原始Figure7–9，按菱形标记、整数纵轴和阶段实线逐点读取</t>
        </is>
      </c>
      <c r="I298" s="250" t="inlineStr">
        <is>
          <t>F:/元分析-效应量/Tau-u计算文献/069-滚雪球-计算机干预方案对自闭症儿童沟通功能的影响.pdf</t>
        </is>
      </c>
    </row>
    <row r="299" ht="48" customHeight="1" s="176">
      <c r="A299" s="250" t="inlineStr">
        <is>
          <t>K501</t>
        </is>
      </c>
      <c r="B299" s="250" t="inlineStr">
        <is>
          <t>069-滚雪球</t>
        </is>
      </c>
      <c r="C299" s="250" t="inlineStr">
        <is>
          <t>Delia</t>
        </is>
      </c>
      <c r="D299" s="251" t="inlineStr">
        <is>
          <t>干预</t>
        </is>
      </c>
      <c r="E299" s="251" t="inlineStr">
        <is>
          <t>已补入</t>
        </is>
      </c>
      <c r="F299" s="251" t="inlineStr">
        <is>
          <t>横向虚线为阶段均值，不是观测值；阶段线所在空白会话不补点。</t>
        </is>
      </c>
      <c r="G299" s="250" t="inlineStr">
        <is>
          <t>Figure 7；PDF第14页/印刷108页；卫生Hygiene面板；实心菱形</t>
        </is>
      </c>
      <c r="H299" s="251" t="inlineStr">
        <is>
          <t>重新渲染原始Figure7–9，按菱形标记、整数纵轴和阶段实线逐点读取</t>
        </is>
      </c>
      <c r="I299" s="250" t="inlineStr">
        <is>
          <t>F:/元分析-效应量/Tau-u计算文献/069-滚雪球-计算机干预方案对自闭症儿童沟通功能的影响.pdf</t>
        </is>
      </c>
    </row>
    <row r="300" ht="48" customHeight="1" s="176">
      <c r="A300" s="250" t="inlineStr">
        <is>
          <t>K502</t>
        </is>
      </c>
      <c r="B300" s="250" t="inlineStr">
        <is>
          <t>069-滚雪球</t>
        </is>
      </c>
      <c r="C300" s="250" t="inlineStr">
        <is>
          <t>Tom</t>
        </is>
      </c>
      <c r="D300" s="251" t="inlineStr">
        <is>
          <t>干预</t>
        </is>
      </c>
      <c r="E300" s="251" t="inlineStr">
        <is>
          <t>已补入</t>
        </is>
      </c>
      <c r="F300" s="251" t="inlineStr">
        <is>
          <t>横向虚线为阶段均值，不是观测值；阶段线所在空白会话不补点。</t>
        </is>
      </c>
      <c r="G300" s="250" t="inlineStr">
        <is>
          <t>Figure 8；PDF第15页/印刷109页；游戏Play面板；实心菱形</t>
        </is>
      </c>
      <c r="H300" s="251" t="inlineStr">
        <is>
          <t>重新渲染原始Figure7–9，按菱形标记、整数纵轴和阶段实线逐点读取</t>
        </is>
      </c>
      <c r="I300" s="250" t="inlineStr">
        <is>
          <t>F:/元分析-效应量/Tau-u计算文献/069-滚雪球-计算机干预方案对自闭症儿童沟通功能的影响.pdf</t>
        </is>
      </c>
    </row>
    <row r="301" ht="48" customHeight="1" s="176">
      <c r="A301" s="250" t="inlineStr">
        <is>
          <t>K503</t>
        </is>
      </c>
      <c r="B301" s="250" t="inlineStr">
        <is>
          <t>069-滚雪球</t>
        </is>
      </c>
      <c r="C301" s="250" t="inlineStr">
        <is>
          <t>Tom</t>
        </is>
      </c>
      <c r="D301" s="251" t="inlineStr">
        <is>
          <t>干预</t>
        </is>
      </c>
      <c r="E301" s="251" t="inlineStr">
        <is>
          <t>已补入</t>
        </is>
      </c>
      <c r="F301" s="251" t="inlineStr">
        <is>
          <t>横向虚线为阶段均值，不是观测值；阶段线所在空白会话不补点。</t>
        </is>
      </c>
      <c r="G301" s="250" t="inlineStr">
        <is>
          <t>Figure 8；PDF第15页/印刷109页；进食Food面板；实心菱形</t>
        </is>
      </c>
      <c r="H301" s="251" t="inlineStr">
        <is>
          <t>重新渲染原始Figure7–9，按菱形标记、整数纵轴和阶段实线逐点读取</t>
        </is>
      </c>
      <c r="I301" s="250" t="inlineStr">
        <is>
          <t>F:/元分析-效应量/Tau-u计算文献/069-滚雪球-计算机干预方案对自闭症儿童沟通功能的影响.pdf</t>
        </is>
      </c>
    </row>
    <row r="302" ht="48" customHeight="1" s="176">
      <c r="A302" s="250" t="inlineStr">
        <is>
          <t>K504</t>
        </is>
      </c>
      <c r="B302" s="250" t="inlineStr">
        <is>
          <t>069-滚雪球</t>
        </is>
      </c>
      <c r="C302" s="250" t="inlineStr">
        <is>
          <t>Tom</t>
        </is>
      </c>
      <c r="D302" s="251" t="inlineStr">
        <is>
          <t>干预</t>
        </is>
      </c>
      <c r="E302" s="251" t="inlineStr">
        <is>
          <t>已补入</t>
        </is>
      </c>
      <c r="F302" s="251" t="inlineStr">
        <is>
          <t>横向虚线为阶段均值，不是观测值；阶段线所在空白会话不补点。</t>
        </is>
      </c>
      <c r="G302" s="250" t="inlineStr">
        <is>
          <t>Figure 8；PDF第15页/印刷109页；卫生Hygiene面板；实心菱形</t>
        </is>
      </c>
      <c r="H302" s="251" t="inlineStr">
        <is>
          <t>重新渲染原始Figure7–9，按菱形标记、整数纵轴和阶段实线逐点读取</t>
        </is>
      </c>
      <c r="I302" s="250" t="inlineStr">
        <is>
          <t>F:/元分析-效应量/Tau-u计算文献/069-滚雪球-计算机干预方案对自闭症儿童沟通功能的影响.pdf</t>
        </is>
      </c>
    </row>
    <row r="303" ht="48" customHeight="1" s="176">
      <c r="A303" s="250" t="inlineStr">
        <is>
          <t>K505</t>
        </is>
      </c>
      <c r="B303" s="250" t="inlineStr">
        <is>
          <t>069-滚雪球</t>
        </is>
      </c>
      <c r="C303" s="250" t="inlineStr">
        <is>
          <t>Sid</t>
        </is>
      </c>
      <c r="D303" s="251" t="inlineStr">
        <is>
          <t>干预</t>
        </is>
      </c>
      <c r="E303" s="251" t="inlineStr">
        <is>
          <t>已补入</t>
        </is>
      </c>
      <c r="F303" s="251" t="inlineStr">
        <is>
          <t>横向虚线为阶段均值，不是观测值；阶段线所在空白会话不补点。</t>
        </is>
      </c>
      <c r="G303" s="250" t="inlineStr">
        <is>
          <t>Figure 9；PDF第16页/印刷110页；游戏Play面板；实心菱形</t>
        </is>
      </c>
      <c r="H303" s="251" t="inlineStr">
        <is>
          <t>重新渲染原始Figure7–9，按菱形标记、整数纵轴和阶段实线逐点读取</t>
        </is>
      </c>
      <c r="I303" s="250" t="inlineStr">
        <is>
          <t>F:/元分析-效应量/Tau-u计算文献/069-滚雪球-计算机干预方案对自闭症儿童沟通功能的影响.pdf</t>
        </is>
      </c>
    </row>
    <row r="304" ht="48" customHeight="1" s="176">
      <c r="A304" s="250" t="inlineStr">
        <is>
          <t>K506</t>
        </is>
      </c>
      <c r="B304" s="250" t="inlineStr">
        <is>
          <t>069-滚雪球</t>
        </is>
      </c>
      <c r="C304" s="250" t="inlineStr">
        <is>
          <t>Sid</t>
        </is>
      </c>
      <c r="D304" s="251" t="inlineStr">
        <is>
          <t>干预</t>
        </is>
      </c>
      <c r="E304" s="251" t="inlineStr">
        <is>
          <t>已补入</t>
        </is>
      </c>
      <c r="F304" s="251" t="inlineStr">
        <is>
          <t>横向虚线为阶段均值，不是观测值；阶段线所在空白会话不补点。</t>
        </is>
      </c>
      <c r="G304" s="250" t="inlineStr">
        <is>
          <t>Figure 9；PDF第16页/印刷110页；进食Food面板；实心菱形</t>
        </is>
      </c>
      <c r="H304" s="251" t="inlineStr">
        <is>
          <t>重新渲染原始Figure7–9，按菱形标记、整数纵轴和阶段实线逐点读取</t>
        </is>
      </c>
      <c r="I304" s="250" t="inlineStr">
        <is>
          <t>F:/元分析-效应量/Tau-u计算文献/069-滚雪球-计算机干预方案对自闭症儿童沟通功能的影响.pdf</t>
        </is>
      </c>
    </row>
    <row r="305" ht="48" customHeight="1" s="176">
      <c r="A305" s="250" t="inlineStr">
        <is>
          <t>K507</t>
        </is>
      </c>
      <c r="B305" s="250" t="inlineStr">
        <is>
          <t>069-滚雪球</t>
        </is>
      </c>
      <c r="C305" s="250" t="inlineStr">
        <is>
          <t>Sid</t>
        </is>
      </c>
      <c r="D305" s="251" t="inlineStr">
        <is>
          <t>干预</t>
        </is>
      </c>
      <c r="E305" s="251" t="inlineStr">
        <is>
          <t>已补入</t>
        </is>
      </c>
      <c r="F305" s="251" t="inlineStr">
        <is>
          <t>横向虚线为阶段均值，不是观测值；阶段线所在空白会话不补点。</t>
        </is>
      </c>
      <c r="G305" s="250" t="inlineStr">
        <is>
          <t>Figure 9；PDF第16页/印刷110页；卫生Hygiene面板；实心菱形</t>
        </is>
      </c>
      <c r="H305" s="251" t="inlineStr">
        <is>
          <t>重新渲染原始Figure7–9，按菱形标记、整数纵轴和阶段实线逐点读取</t>
        </is>
      </c>
      <c r="I305" s="250" t="inlineStr">
        <is>
          <t>F:/元分析-效应量/Tau-u计算文献/069-滚雪球-计算机干预方案对自闭症儿童沟通功能的影响.pdf</t>
        </is>
      </c>
    </row>
    <row r="306" ht="48" customHeight="1" s="176">
      <c r="A306" s="250" t="inlineStr">
        <is>
          <t>K508</t>
        </is>
      </c>
      <c r="B306" s="250" t="inlineStr">
        <is>
          <t>080-二次</t>
        </is>
      </c>
      <c r="C306" s="250" t="inlineStr">
        <is>
          <t>Samuel</t>
        </is>
      </c>
      <c r="D306" s="251" t="inlineStr">
        <is>
          <t>干预</t>
        </is>
      </c>
      <c r="E306" s="251" t="inlineStr">
        <is>
          <t>已补入</t>
        </is>
      </c>
      <c r="F306" s="251" t="inlineStr">
        <is>
          <t>两段基线合并；实际图示基线观测9/15次与正文一致；缺席日期不补0。Follow Up对应图中Generalization。</t>
        </is>
      </c>
      <c r="G306" s="250" t="inlineStr">
        <is>
          <t>Figure 1，PDF 8 / 印刷页69，自上而下第1面板 Samuel，实心圆单曲线</t>
        </is>
      </c>
      <c r="H306" s="251" t="inlineStr">
        <is>
          <t>重新从PDF提取实心圆矢量中心；逐日定位并核对原文Baseline和Follow Up说明</t>
        </is>
      </c>
      <c r="I306" s="250" t="inlineStr">
        <is>
          <t>F:/元分析-效应量/Tau-u计算文献/080-二次-E-自闭症儿童的视频自我建模：验证必备技能并扩展 VSM 跨技能组合使用的试点研究.pdf</t>
        </is>
      </c>
    </row>
    <row r="307" ht="48" customHeight="1" s="176">
      <c r="A307" s="250" t="inlineStr">
        <is>
          <t>K509</t>
        </is>
      </c>
      <c r="B307" s="250" t="inlineStr">
        <is>
          <t>080-二次</t>
        </is>
      </c>
      <c r="C307" s="250" t="inlineStr">
        <is>
          <t>Samuel</t>
        </is>
      </c>
      <c r="D307" s="251" t="inlineStr">
        <is>
          <t>维持</t>
        </is>
      </c>
      <c r="E307" s="251" t="inlineStr">
        <is>
          <t>已补入</t>
        </is>
      </c>
      <c r="F307" s="251" t="inlineStr">
        <is>
          <t>两段基线合并；实际图示基线观测9/15次与正文一致；缺席日期不补0。Follow Up对应图中Generalization。</t>
        </is>
      </c>
      <c r="G307" s="250" t="inlineStr">
        <is>
          <t>Figure 1，PDF 8 / 印刷页69，自上而下第1面板 Samuel，实心圆单曲线</t>
        </is>
      </c>
      <c r="H307" s="251" t="inlineStr">
        <is>
          <t>重新从PDF提取实心圆矢量中心；逐日定位并核对原文Baseline和Follow Up说明</t>
        </is>
      </c>
      <c r="I307" s="250" t="inlineStr">
        <is>
          <t>F:/元分析-效应量/Tau-u计算文献/080-二次-E-自闭症儿童的视频自我建模：验证必备技能并扩展 VSM 跨技能组合使用的试点研究.pdf</t>
        </is>
      </c>
    </row>
    <row r="308" ht="48" customHeight="1" s="176">
      <c r="A308" s="250" t="inlineStr">
        <is>
          <t>K510</t>
        </is>
      </c>
      <c r="B308" s="250" t="inlineStr">
        <is>
          <t>080-二次</t>
        </is>
      </c>
      <c r="C308" s="250" t="inlineStr">
        <is>
          <t>Katarina</t>
        </is>
      </c>
      <c r="D308" s="251" t="inlineStr">
        <is>
          <t>干预</t>
        </is>
      </c>
      <c r="E308" s="251" t="inlineStr">
        <is>
          <t>已补入</t>
        </is>
      </c>
      <c r="F308" s="251" t="inlineStr">
        <is>
          <t>两段基线合并；实际图示基线观测9/15次与正文一致；缺席日期不补0。Follow Up对应图中Generalization。</t>
        </is>
      </c>
      <c r="G308" s="250" t="inlineStr">
        <is>
          <t>Figure 1，PDF 8 / 印刷页69，自上而下第2面板 Katarina，实心圆单曲线</t>
        </is>
      </c>
      <c r="H308" s="251" t="inlineStr">
        <is>
          <t>重新从PDF提取实心圆矢量中心；逐日定位并核对原文Baseline和Follow Up说明</t>
        </is>
      </c>
      <c r="I308" s="250" t="inlineStr">
        <is>
          <t>F:/元分析-效应量/Tau-u计算文献/080-二次-E-自闭症儿童的视频自我建模：验证必备技能并扩展 VSM 跨技能组合使用的试点研究.pdf</t>
        </is>
      </c>
    </row>
    <row r="309" ht="48" customHeight="1" s="176">
      <c r="A309" s="250" t="inlineStr">
        <is>
          <t>K511</t>
        </is>
      </c>
      <c r="B309" s="250" t="inlineStr">
        <is>
          <t>080-二次</t>
        </is>
      </c>
      <c r="C309" s="250" t="inlineStr">
        <is>
          <t>Katarina</t>
        </is>
      </c>
      <c r="D309" s="251" t="inlineStr">
        <is>
          <t>维持</t>
        </is>
      </c>
      <c r="E309" s="251" t="inlineStr">
        <is>
          <t>已补入</t>
        </is>
      </c>
      <c r="F309" s="251" t="inlineStr">
        <is>
          <t>两段基线合并；实际图示基线观测9/15次与正文一致；缺席日期不补0。Follow Up对应图中Generalization。</t>
        </is>
      </c>
      <c r="G309" s="250" t="inlineStr">
        <is>
          <t>Figure 1，PDF 8 / 印刷页69，自上而下第2面板 Katarina，实心圆单曲线</t>
        </is>
      </c>
      <c r="H309" s="251" t="inlineStr">
        <is>
          <t>重新从PDF提取实心圆矢量中心；逐日定位并核对原文Baseline和Follow Up说明</t>
        </is>
      </c>
      <c r="I309" s="250" t="inlineStr">
        <is>
          <t>F:/元分析-效应量/Tau-u计算文献/080-二次-E-自闭症儿童的视频自我建模：验证必备技能并扩展 VSM 跨技能组合使用的试点研究.pdf</t>
        </is>
      </c>
    </row>
    <row r="310" ht="48" customHeight="1" s="176">
      <c r="A310" s="250" t="inlineStr">
        <is>
          <t>K512</t>
        </is>
      </c>
      <c r="B310" s="250" t="inlineStr">
        <is>
          <t>102-滚雪球</t>
        </is>
      </c>
      <c r="C310" s="250" t="inlineStr">
        <is>
          <t>Isaiah</t>
        </is>
      </c>
      <c r="D310" s="251" t="inlineStr">
        <is>
          <t>干预</t>
        </is>
      </c>
      <c r="E310" s="251" t="inlineStr">
        <is>
          <t>已补入</t>
        </is>
      </c>
      <c r="F310" s="251" t="inlineStr">
        <is>
          <t>不取倒三角Following Directions；仅记录实际显示的会话点；Hannah干预15点与正文一致。</t>
        </is>
      </c>
      <c r="G310" s="250" t="inlineStr">
        <is>
          <t>Figure 3；PDF第9页/印刷248页；Isaiah面板；正三角 Sharing</t>
        </is>
      </c>
      <c r="H310" s="251" t="inlineStr">
        <is>
          <t>重新渲染原Figure3，逐面板按正三角Sharing与菱形Greetings读取整数次数；重叠标记依连线和图例辨识</t>
        </is>
      </c>
      <c r="I310" s="250" t="inlineStr">
        <is>
          <t>F:/元分析-效应量/Tau-u计算文献/102-滚雪球-结合嵌入式视频与计算机教学改善自闭症学生的社交技能.pdf</t>
        </is>
      </c>
    </row>
    <row r="311" ht="48" customHeight="1" s="176">
      <c r="A311" s="250" t="inlineStr">
        <is>
          <t>K513</t>
        </is>
      </c>
      <c r="B311" s="250" t="inlineStr">
        <is>
          <t>102-滚雪球</t>
        </is>
      </c>
      <c r="C311" s="250" t="inlineStr">
        <is>
          <t>Isaiah</t>
        </is>
      </c>
      <c r="D311" s="251" t="inlineStr">
        <is>
          <t>干预</t>
        </is>
      </c>
      <c r="E311" s="251" t="inlineStr">
        <is>
          <t>已补入</t>
        </is>
      </c>
      <c r="F311" s="251" t="inlineStr">
        <is>
          <t>不取倒三角Following Directions；仅记录实际显示的会话点；Hannah干预15点与正文一致。</t>
        </is>
      </c>
      <c r="G311" s="250" t="inlineStr">
        <is>
          <t>Figure 3；PDF第9页/印刷248页；Isaiah面板；菱形 Greetings</t>
        </is>
      </c>
      <c r="H311" s="251" t="inlineStr">
        <is>
          <t>重新渲染原Figure3，逐面板按正三角Sharing与菱形Greetings读取整数次数；重叠标记依连线和图例辨识</t>
        </is>
      </c>
      <c r="I311" s="250" t="inlineStr">
        <is>
          <t>F:/元分析-效应量/Tau-u计算文献/102-滚雪球-结合嵌入式视频与计算机教学改善自闭症学生的社交技能.pdf</t>
        </is>
      </c>
    </row>
    <row r="312" ht="48" customHeight="1" s="176">
      <c r="A312" s="250" t="inlineStr">
        <is>
          <t>K514</t>
        </is>
      </c>
      <c r="B312" s="250" t="inlineStr">
        <is>
          <t>102-滚雪球</t>
        </is>
      </c>
      <c r="C312" s="250" t="inlineStr">
        <is>
          <t>Hannah</t>
        </is>
      </c>
      <c r="D312" s="251" t="inlineStr">
        <is>
          <t>干预</t>
        </is>
      </c>
      <c r="E312" s="251" t="inlineStr">
        <is>
          <t>已补入</t>
        </is>
      </c>
      <c r="F312" s="251" t="inlineStr">
        <is>
          <t>不取倒三角Following Directions；仅记录实际显示的会话点；Hannah干预15点与正文一致。</t>
        </is>
      </c>
      <c r="G312" s="250" t="inlineStr">
        <is>
          <t>Figure 3；PDF第9页/印刷248页；Hannah面板；正三角 Sharing</t>
        </is>
      </c>
      <c r="H312" s="251" t="inlineStr">
        <is>
          <t>重新渲染原Figure3，逐面板按正三角Sharing与菱形Greetings读取整数次数；重叠标记依连线和图例辨识</t>
        </is>
      </c>
      <c r="I312" s="250" t="inlineStr">
        <is>
          <t>F:/元分析-效应量/Tau-u计算文献/102-滚雪球-结合嵌入式视频与计算机教学改善自闭症学生的社交技能.pdf</t>
        </is>
      </c>
    </row>
    <row r="313" ht="48" customHeight="1" s="176">
      <c r="A313" s="250" t="inlineStr">
        <is>
          <t>K515</t>
        </is>
      </c>
      <c r="B313" s="250" t="inlineStr">
        <is>
          <t>102-滚雪球</t>
        </is>
      </c>
      <c r="C313" s="250" t="inlineStr">
        <is>
          <t>Hannah</t>
        </is>
      </c>
      <c r="D313" s="251" t="inlineStr">
        <is>
          <t>干预</t>
        </is>
      </c>
      <c r="E313" s="251" t="inlineStr">
        <is>
          <t>已补入</t>
        </is>
      </c>
      <c r="F313" s="251" t="inlineStr">
        <is>
          <t>不取倒三角Following Directions；仅记录实际显示的会话点；Hannah干预15点与正文一致。</t>
        </is>
      </c>
      <c r="G313" s="250" t="inlineStr">
        <is>
          <t>Figure 3；PDF第9页/印刷248页；Hannah面板；菱形 Greetings</t>
        </is>
      </c>
      <c r="H313" s="251" t="inlineStr">
        <is>
          <t>重新渲染原Figure3，逐面板按正三角Sharing与菱形Greetings读取整数次数；重叠标记依连线和图例辨识</t>
        </is>
      </c>
      <c r="I313" s="250" t="inlineStr">
        <is>
          <t>F:/元分析-效应量/Tau-u计算文献/102-滚雪球-结合嵌入式视频与计算机教学改善自闭症学生的社交技能.pdf</t>
        </is>
      </c>
    </row>
    <row r="314" ht="48" customHeight="1" s="176">
      <c r="A314" s="250" t="inlineStr">
        <is>
          <t>K516</t>
        </is>
      </c>
      <c r="B314" s="250" t="inlineStr">
        <is>
          <t>102-滚雪球</t>
        </is>
      </c>
      <c r="C314" s="250" t="inlineStr">
        <is>
          <t>Marcus</t>
        </is>
      </c>
      <c r="D314" s="251" t="inlineStr">
        <is>
          <t>干预</t>
        </is>
      </c>
      <c r="E314" s="251" t="inlineStr">
        <is>
          <t>已补入</t>
        </is>
      </c>
      <c r="F314" s="251" t="inlineStr">
        <is>
          <t>不取倒三角Following Directions；仅记录实际显示的会话点；Hannah干预15点与正文一致。</t>
        </is>
      </c>
      <c r="G314" s="250" t="inlineStr">
        <is>
          <t>Figure 3；PDF第9页/印刷248页；Marcus面板；正三角 Sharing</t>
        </is>
      </c>
      <c r="H314" s="251" t="inlineStr">
        <is>
          <t>重新渲染原Figure3，逐面板按正三角Sharing与菱形Greetings读取整数次数；重叠标记依连线和图例辨识</t>
        </is>
      </c>
      <c r="I314" s="250" t="inlineStr">
        <is>
          <t>F:/元分析-效应量/Tau-u计算文献/102-滚雪球-结合嵌入式视频与计算机教学改善自闭症学生的社交技能.pdf</t>
        </is>
      </c>
    </row>
    <row r="315" ht="48" customHeight="1" s="176">
      <c r="A315" s="250" t="inlineStr">
        <is>
          <t>K517</t>
        </is>
      </c>
      <c r="B315" s="250" t="inlineStr">
        <is>
          <t>102-滚雪球</t>
        </is>
      </c>
      <c r="C315" s="250" t="inlineStr">
        <is>
          <t>Marcus</t>
        </is>
      </c>
      <c r="D315" s="251" t="inlineStr">
        <is>
          <t>干预</t>
        </is>
      </c>
      <c r="E315" s="251" t="inlineStr">
        <is>
          <t>已补入</t>
        </is>
      </c>
      <c r="F315" s="251" t="inlineStr">
        <is>
          <t>不取倒三角Following Directions；仅记录实际显示的会话点；Hannah干预15点与正文一致。</t>
        </is>
      </c>
      <c r="G315" s="250" t="inlineStr">
        <is>
          <t>Figure 3；PDF第9页/印刷248页；Marcus面板；菱形 Greetings</t>
        </is>
      </c>
      <c r="H315" s="251" t="inlineStr">
        <is>
          <t>重新渲染原Figure3，逐面板按正三角Sharing与菱形Greetings读取整数次数；重叠标记依连线和图例辨识</t>
        </is>
      </c>
      <c r="I315" s="250" t="inlineStr">
        <is>
          <t>F:/元分析-效应量/Tau-u计算文献/102-滚雪球-结合嵌入式视频与计算机教学改善自闭症学生的社交技能.pdf</t>
        </is>
      </c>
    </row>
    <row r="316" ht="48" customHeight="1" s="176">
      <c r="A316" s="250" t="inlineStr">
        <is>
          <t>K518</t>
        </is>
      </c>
      <c r="B316" s="250" t="inlineStr">
        <is>
          <t>102-滚雪球</t>
        </is>
      </c>
      <c r="C316" s="250" t="inlineStr">
        <is>
          <t>Kia</t>
        </is>
      </c>
      <c r="D316" s="251" t="inlineStr">
        <is>
          <t>干预</t>
        </is>
      </c>
      <c r="E316" s="251" t="inlineStr">
        <is>
          <t>已补入</t>
        </is>
      </c>
      <c r="F316" s="251" t="inlineStr">
        <is>
          <t>不取倒三角Following Directions；仅记录实际显示的会话点；Hannah干预15点与正文一致。</t>
        </is>
      </c>
      <c r="G316" s="250" t="inlineStr">
        <is>
          <t>Figure 3；PDF第9页/印刷248页；Kia面板；正三角 Sharing</t>
        </is>
      </c>
      <c r="H316" s="251" t="inlineStr">
        <is>
          <t>重新渲染原Figure3，逐面板按正三角Sharing与菱形Greetings读取整数次数；重叠标记依连线和图例辨识</t>
        </is>
      </c>
      <c r="I316" s="250" t="inlineStr">
        <is>
          <t>F:/元分析-效应量/Tau-u计算文献/102-滚雪球-结合嵌入式视频与计算机教学改善自闭症学生的社交技能.pdf</t>
        </is>
      </c>
    </row>
    <row r="317" ht="48" customHeight="1" s="176">
      <c r="A317" s="250" t="inlineStr">
        <is>
          <t>K519</t>
        </is>
      </c>
      <c r="B317" s="250" t="inlineStr">
        <is>
          <t>102-滚雪球</t>
        </is>
      </c>
      <c r="C317" s="250" t="inlineStr">
        <is>
          <t>Kia</t>
        </is>
      </c>
      <c r="D317" s="251" t="inlineStr">
        <is>
          <t>干预</t>
        </is>
      </c>
      <c r="E317" s="251" t="inlineStr">
        <is>
          <t>已补入</t>
        </is>
      </c>
      <c r="F317" s="251" t="inlineStr">
        <is>
          <t>不取倒三角Following Directions；仅记录实际显示的会话点；Hannah干预15点与正文一致。</t>
        </is>
      </c>
      <c r="G317" s="250" t="inlineStr">
        <is>
          <t>Figure 3；PDF第9页/印刷248页；Kia面板；菱形 Greetings</t>
        </is>
      </c>
      <c r="H317" s="251" t="inlineStr">
        <is>
          <t>重新渲染原Figure3，逐面板按正三角Sharing与菱形Greetings读取整数次数；重叠标记依连线和图例辨识</t>
        </is>
      </c>
      <c r="I317" s="250" t="inlineStr">
        <is>
          <t>F:/元分析-效应量/Tau-u计算文献/102-滚雪球-结合嵌入式视频与计算机教学改善自闭症学生的社交技能.pdf</t>
        </is>
      </c>
    </row>
    <row r="318" ht="48" customHeight="1" s="176">
      <c r="A318" s="254" t="inlineStr">
        <is>
          <t>K520</t>
        </is>
      </c>
      <c r="B318" s="254" t="inlineStr">
        <is>
          <t>110-二次</t>
        </is>
      </c>
      <c r="C318" s="254" t="inlineStr">
        <is>
          <t>Isaac</t>
        </is>
      </c>
      <c r="D318" s="255" t="inlineStr">
        <is>
          <t>干预</t>
        </is>
      </c>
      <c r="E318" s="255" t="inlineStr">
        <is>
          <t>Claude补入（第三轮）</t>
        </is>
      </c>
      <c r="F318"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Isaac真人：基线第1–15次，干预第16–20次。　〔GPT原记录：工作区未找到110-二次对应原始PDF，无法从原文核对图和重新取点。〕</t>
        </is>
      </c>
      <c r="G318" s="254" t="inlineStr">
        <is>
          <t>Figure 2；PDF第13页/印刷274页；Isaac面板；真人成人；符号见原图图例</t>
        </is>
      </c>
      <c r="H318" s="255" t="inlineStr">
        <is>
          <t>检查原始文献目录和工作区PDF文件，检索其他原文中的参与者/动画术语；不使用旧清单点数或旧数列代填。</t>
        </is>
      </c>
      <c r="I318" s="255" t="inlineStr">
        <is>
          <t>未找到原始PDF</t>
        </is>
      </c>
    </row>
    <row r="319" ht="48" customHeight="1" s="176">
      <c r="A319" s="254" t="inlineStr">
        <is>
          <t>K521</t>
        </is>
      </c>
      <c r="B319" s="254" t="inlineStr">
        <is>
          <t>110-二次</t>
        </is>
      </c>
      <c r="C319" s="254" t="inlineStr">
        <is>
          <t>Isaac</t>
        </is>
      </c>
      <c r="D319" s="255" t="inlineStr">
        <is>
          <t>干预</t>
        </is>
      </c>
      <c r="E319" s="255" t="inlineStr">
        <is>
          <t>Claude补入（第三轮）</t>
        </is>
      </c>
      <c r="F319"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Isaac动画：基线第1–4次，干预第5–16次（12次，表4为12*）。　〔GPT原记录：工作区未找到110-二次对应原始PDF，无法从原文核对图和重新取点。〕</t>
        </is>
      </c>
      <c r="G319" s="254" t="inlineStr">
        <is>
          <t>Figure 2；PDF第13页/印刷274页；Isaac面板；转描动画；符号见原图图例</t>
        </is>
      </c>
      <c r="H319" s="255" t="inlineStr">
        <is>
          <t>检查原始文献目录和工作区PDF文件，检索其他原文中的参与者/动画术语；不使用旧清单点数或旧数列代填。</t>
        </is>
      </c>
      <c r="I319" s="255" t="inlineStr">
        <is>
          <t>未找到原始PDF</t>
        </is>
      </c>
    </row>
    <row r="320" ht="48" customHeight="1" s="176">
      <c r="A320" s="254" t="inlineStr">
        <is>
          <t>K522</t>
        </is>
      </c>
      <c r="B320" s="254" t="inlineStr">
        <is>
          <t>110-二次</t>
        </is>
      </c>
      <c r="C320" s="254" t="inlineStr">
        <is>
          <t>Mark</t>
        </is>
      </c>
      <c r="D320" s="255" t="inlineStr">
        <is>
          <t>干预</t>
        </is>
      </c>
      <c r="E320" s="255" t="inlineStr">
        <is>
          <t>Claude补入（第三轮）</t>
        </is>
      </c>
      <c r="F320"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k真人：基线第1–17次，干预第18–23次（6次，与表4一致）；第24次为泛化探测，不计。　〔GPT原记录：工作区未找到110-二次对应原始PDF，无法从原文核对图和重新取点。〕</t>
        </is>
      </c>
      <c r="G320" s="254" t="inlineStr">
        <is>
          <t>Figure 2；PDF第13页/印刷274页；Mark面板；真人成人；符号见原图图例</t>
        </is>
      </c>
      <c r="H320" s="255" t="inlineStr">
        <is>
          <t>检查原始文献目录和工作区PDF文件，检索其他原文中的参与者/动画术语；不使用旧清单点数或旧数列代填。</t>
        </is>
      </c>
      <c r="I320" s="255" t="inlineStr">
        <is>
          <t>未找到原始PDF</t>
        </is>
      </c>
    </row>
    <row r="321" ht="48" customHeight="1" s="176">
      <c r="A321" s="254" t="inlineStr">
        <is>
          <t>K523</t>
        </is>
      </c>
      <c r="B321" s="254" t="inlineStr">
        <is>
          <t>110-二次</t>
        </is>
      </c>
      <c r="C321" s="254" t="inlineStr">
        <is>
          <t>Mark</t>
        </is>
      </c>
      <c r="D321" s="255" t="inlineStr">
        <is>
          <t>干预</t>
        </is>
      </c>
      <c r="E321" s="255" t="inlineStr">
        <is>
          <t>Claude补入（第三轮）</t>
        </is>
      </c>
      <c r="F321"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k动画：基线第1–9次，干预第10–16次（7次，与表4一致；K清单记8，多出的是第17次泛化菱形）。　〔GPT原记录：工作区未找到110-二次对应原始PDF，无法从原文核对图和重新取点。〕</t>
        </is>
      </c>
      <c r="G321" s="254" t="inlineStr">
        <is>
          <t>Figure 2；PDF第13页/印刷274页；Mark面板；转描动画；符号见原图图例</t>
        </is>
      </c>
      <c r="H321" s="255" t="inlineStr">
        <is>
          <t>检查原始文献目录和工作区PDF文件，检索其他原文中的参与者/动画术语；不使用旧清单点数或旧数列代填。</t>
        </is>
      </c>
      <c r="I321" s="255" t="inlineStr">
        <is>
          <t>未找到原始PDF</t>
        </is>
      </c>
    </row>
    <row r="322" ht="48" customHeight="1" s="176">
      <c r="A322" s="254" t="inlineStr">
        <is>
          <t>K524</t>
        </is>
      </c>
      <c r="B322" s="254" t="inlineStr">
        <is>
          <t>110-二次</t>
        </is>
      </c>
      <c r="C322" s="254" t="inlineStr">
        <is>
          <t>Anesha</t>
        </is>
      </c>
      <c r="D322" s="255" t="inlineStr">
        <is>
          <t>干预</t>
        </is>
      </c>
      <c r="E322" s="255" t="inlineStr">
        <is>
          <t>Claude补入（第三轮）</t>
        </is>
      </c>
      <c r="F322"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Anesha真人：基线第1–22次，干预第23–32次（10次，表4为10*；K清单记12）；第33次为泛化探测，不计。　〔GPT原记录：工作区未找到110-二次对应原始PDF，无法从原文核对图和重新取点。〕</t>
        </is>
      </c>
      <c r="G322" s="254" t="inlineStr">
        <is>
          <t>Figure 2；PDF第13页/印刷274页；Anesha面板；真人成人；符号见原图图例</t>
        </is>
      </c>
      <c r="H322" s="255" t="inlineStr">
        <is>
          <t>检查原始文献目录和工作区PDF文件，检索其他原文中的参与者/动画术语；不使用旧清单点数或旧数列代填。</t>
        </is>
      </c>
      <c r="I322" s="255" t="inlineStr">
        <is>
          <t>未找到原始PDF</t>
        </is>
      </c>
    </row>
    <row r="323" ht="48" customHeight="1" s="176">
      <c r="A323" s="254" t="inlineStr">
        <is>
          <t>K525</t>
        </is>
      </c>
      <c r="B323" s="254" t="inlineStr">
        <is>
          <t>110-二次</t>
        </is>
      </c>
      <c r="C323" s="254" t="inlineStr">
        <is>
          <t>Anesha</t>
        </is>
      </c>
      <c r="D323" s="255" t="inlineStr">
        <is>
          <t>干预</t>
        </is>
      </c>
      <c r="E323" s="255" t="inlineStr">
        <is>
          <t>Claude补入（第三轮）</t>
        </is>
      </c>
      <c r="F323"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Anesha动画：基线第1–12次，干预第13–22次（10次，表4为10*；K清单记11）。第17次位置画的是泛化菱形，值为0，按干预点计入（否则只有9次，与表4不符）。　〔GPT原记录：工作区未找到110-二次对应原始PDF，无法从原文核对图和重新取点。〕</t>
        </is>
      </c>
      <c r="G323" s="254" t="inlineStr">
        <is>
          <t>Figure 2；PDF第13页/印刷274页；Anesha面板；转描动画；符号见原图图例</t>
        </is>
      </c>
      <c r="H323" s="255" t="inlineStr">
        <is>
          <t>检查原始文献目录和工作区PDF文件，检索其他原文中的参与者/动画术语；不使用旧清单点数或旧数列代填。</t>
        </is>
      </c>
      <c r="I323" s="255" t="inlineStr">
        <is>
          <t>未找到原始PDF</t>
        </is>
      </c>
    </row>
    <row r="324" ht="48" customHeight="1" s="176">
      <c r="A324" s="254" t="inlineStr">
        <is>
          <t>K526</t>
        </is>
      </c>
      <c r="B324" s="254" t="inlineStr">
        <is>
          <t>110-二次</t>
        </is>
      </c>
      <c r="C324" s="254" t="inlineStr">
        <is>
          <t>Maria</t>
        </is>
      </c>
      <c r="D324" s="255" t="inlineStr">
        <is>
          <t>干预</t>
        </is>
      </c>
      <c r="E324" s="255" t="inlineStr">
        <is>
          <t>Claude补入（第三轮）</t>
        </is>
      </c>
      <c r="F324"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ia真人：基线第1–26次，干预第27–36次（10次，表4为10*）；第27次标记为空心小菱形，但真人连线经过该点，按干预点0计入。　〔GPT原记录：工作区未找到110-二次对应原始PDF，无法从原文核对图和重新取点。〕</t>
        </is>
      </c>
      <c r="G324" s="254" t="inlineStr">
        <is>
          <t>Figure 2；PDF第13页/印刷274页；Maria面板；真人成人；符号见原图图例</t>
        </is>
      </c>
      <c r="H324" s="255" t="inlineStr">
        <is>
          <t>检查原始文献目录和工作区PDF文件，检索其他原文中的参与者/动画术语；不使用旧清单点数或旧数列代填。</t>
        </is>
      </c>
      <c r="I324" s="255" t="inlineStr">
        <is>
          <t>未找到原始PDF</t>
        </is>
      </c>
    </row>
    <row r="325" ht="48" customHeight="1" s="176">
      <c r="A325" s="254" t="inlineStr">
        <is>
          <t>K527</t>
        </is>
      </c>
      <c r="B325" s="254" t="inlineStr">
        <is>
          <t>110-二次</t>
        </is>
      </c>
      <c r="C325" s="254" t="inlineStr">
        <is>
          <t>Maria</t>
        </is>
      </c>
      <c r="D325" s="255" t="inlineStr">
        <is>
          <t>干预</t>
        </is>
      </c>
      <c r="E325" s="255" t="inlineStr">
        <is>
          <t>Claude补入（第三轮）</t>
        </is>
      </c>
      <c r="F325"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ia动画：基线第1–16次，干预第17–26次，前后段全为0（表4为10*，泛化、维持均0%）。　〔GPT原记录：工作区未找到110-二次对应原始PDF，无法从原文核对图和重新取点。〕</t>
        </is>
      </c>
      <c r="G325" s="254" t="inlineStr">
        <is>
          <t>Figure 2；PDF第13页/印刷274页；Maria面板；转描动画；符号见原图图例</t>
        </is>
      </c>
      <c r="H325" s="255" t="inlineStr">
        <is>
          <t>检查原始文献目录和工作区PDF文件，检索其他原文中的参与者/动画术语；不使用旧清单点数或旧数列代填。</t>
        </is>
      </c>
      <c r="I325" s="255" t="inlineStr">
        <is>
          <t>未找到原始PDF</t>
        </is>
      </c>
    </row>
    <row r="326" ht="48" customHeight="1" s="176">
      <c r="A326" s="254" t="inlineStr">
        <is>
          <t>K528</t>
        </is>
      </c>
      <c r="B326" s="254" t="inlineStr">
        <is>
          <t>110-二次</t>
        </is>
      </c>
      <c r="C326" s="254" t="inlineStr">
        <is>
          <t>Ray</t>
        </is>
      </c>
      <c r="D326" s="255" t="inlineStr">
        <is>
          <t>干预</t>
        </is>
      </c>
      <c r="E326" s="255" t="inlineStr">
        <is>
          <t>Claude补入（第三轮）</t>
        </is>
      </c>
      <c r="F326"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Ray真人：基线第1–5次，干预第6–23次（18次，与表5一致）。　〔GPT原记录：工作区未找到110-二次对应原始PDF，无法从原文核对图和重新取点。〕</t>
        </is>
      </c>
      <c r="G326" s="254" t="inlineStr">
        <is>
          <t>Figure 3；PDF第14页/印刷275页；Ray面板；真人成人；符号见原图图例</t>
        </is>
      </c>
      <c r="H326" s="255" t="inlineStr">
        <is>
          <t>检查原始文献目录和工作区PDF文件，检索其他原文中的参与者/动画术语；不使用旧清单点数或旧数列代填。</t>
        </is>
      </c>
      <c r="I326" s="255" t="inlineStr">
        <is>
          <t>未找到原始PDF</t>
        </is>
      </c>
    </row>
    <row r="327" ht="48" customHeight="1" s="176">
      <c r="A327" s="254" t="inlineStr">
        <is>
          <t>K529</t>
        </is>
      </c>
      <c r="B327" s="254" t="inlineStr">
        <is>
          <t>110-二次</t>
        </is>
      </c>
      <c r="C327" s="254" t="inlineStr">
        <is>
          <t>Ray</t>
        </is>
      </c>
      <c r="D327" s="255" t="inlineStr">
        <is>
          <t>干预</t>
        </is>
      </c>
      <c r="E327" s="255" t="inlineStr">
        <is>
          <t>Claude补入（第三轮）</t>
        </is>
      </c>
      <c r="F327"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Ray动画：基线第1–23次，干预第24–33次（10次，与表5一致；K清单记27|7，把阶段线右侧的4个0算进了基线）。　〔GPT原记录：工作区未找到110-二次对应原始PDF，无法从原文核对图和重新取点。〕</t>
        </is>
      </c>
      <c r="G327" s="254" t="inlineStr">
        <is>
          <t>Figure 3；PDF第14页/印刷275页；Ray面板；转描动画；符号见原图图例</t>
        </is>
      </c>
      <c r="H327" s="255" t="inlineStr">
        <is>
          <t>检查原始文献目录和工作区PDF文件，检索其他原文中的参与者/动画术语；不使用旧清单点数或旧数列代填。</t>
        </is>
      </c>
      <c r="I327" s="255" t="inlineStr">
        <is>
          <t>未找到原始PDF</t>
        </is>
      </c>
    </row>
    <row r="328" ht="48" customHeight="1" s="176">
      <c r="A328" s="254" t="inlineStr">
        <is>
          <t>K530</t>
        </is>
      </c>
      <c r="B328" s="254" t="inlineStr">
        <is>
          <t>110-二次</t>
        </is>
      </c>
      <c r="C328" s="254" t="inlineStr">
        <is>
          <t>Kadeem</t>
        </is>
      </c>
      <c r="D328" s="255" t="inlineStr">
        <is>
          <t>干预</t>
        </is>
      </c>
      <c r="E328" s="255" t="inlineStr">
        <is>
          <t>Claude补入（第三轮）</t>
        </is>
      </c>
      <c r="F328"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Kadeem真人：基线第1–7次，干预第8–11次（4次，与表5一致）；第12次为泛化探测，不计。　〔GPT原记录：工作区未找到110-二次对应原始PDF，无法从原文核对图和重新取点。〕</t>
        </is>
      </c>
      <c r="G328" s="254" t="inlineStr">
        <is>
          <t>Figure 3；PDF第14页/印刷275页；Kadeem面板；真人成人；符号见原图图例</t>
        </is>
      </c>
      <c r="H328" s="255" t="inlineStr">
        <is>
          <t>检查原始文献目录和工作区PDF文件，检索其他原文中的参与者/动画术语；不使用旧清单点数或旧数列代填。</t>
        </is>
      </c>
      <c r="I328" s="255" t="inlineStr">
        <is>
          <t>未找到原始PDF</t>
        </is>
      </c>
    </row>
    <row r="329" ht="48" customHeight="1" s="176">
      <c r="A329" s="254" t="inlineStr">
        <is>
          <t>K531</t>
        </is>
      </c>
      <c r="B329" s="254" t="inlineStr">
        <is>
          <t>110-二次</t>
        </is>
      </c>
      <c r="C329" s="254" t="inlineStr">
        <is>
          <t>Kadeem</t>
        </is>
      </c>
      <c r="D329" s="255" t="inlineStr">
        <is>
          <t>干预</t>
        </is>
      </c>
      <c r="E329" s="255" t="inlineStr">
        <is>
          <t>Claude补入（第三轮）</t>
        </is>
      </c>
      <c r="F329"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Kadeem动画：基线第1–12次，干预第13–17次（5次，与表5一致）。　〔GPT原记录：工作区未找到110-二次对应原始PDF，无法从原文核对图和重新取点。〕</t>
        </is>
      </c>
      <c r="G329" s="254" t="inlineStr">
        <is>
          <t>Figure 3；PDF第14页/印刷275页；Kadeem面板；转描动画；符号见原图图例</t>
        </is>
      </c>
      <c r="H329" s="255" t="inlineStr">
        <is>
          <t>检查原始文献目录和工作区PDF文件，检索其他原文中的参与者/动画术语；不使用旧清单点数或旧数列代填。</t>
        </is>
      </c>
      <c r="I329" s="255" t="inlineStr">
        <is>
          <t>未找到原始PDF</t>
        </is>
      </c>
    </row>
    <row r="330" ht="48" customHeight="1" s="176">
      <c r="A330" s="254" t="inlineStr">
        <is>
          <t>K532</t>
        </is>
      </c>
      <c r="B330" s="254" t="inlineStr">
        <is>
          <t>110-二次</t>
        </is>
      </c>
      <c r="C330" s="254" t="inlineStr">
        <is>
          <t>Leon</t>
        </is>
      </c>
      <c r="D330" s="255" t="inlineStr">
        <is>
          <t>干预</t>
        </is>
      </c>
      <c r="E330" s="255" t="inlineStr">
        <is>
          <t>Claude补入（第三轮）</t>
        </is>
      </c>
      <c r="F330"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Leon真人：基线第1–11次，干预第12–21次，前后段全为0（表5为10*）；K清单基线记12，按阶段线为11。　〔GPT原记录：工作区未找到110-二次对应原始PDF，无法从原文核对图和重新取点。〕</t>
        </is>
      </c>
      <c r="G330" s="254" t="inlineStr">
        <is>
          <t>Figure 3；PDF第14页/印刷275页；Leon面板；真人成人；符号见原图图例</t>
        </is>
      </c>
      <c r="H330" s="255" t="inlineStr">
        <is>
          <t>检查原始文献目录和工作区PDF文件，检索其他原文中的参与者/动画术语；不使用旧清单点数或旧数列代填。</t>
        </is>
      </c>
      <c r="I330" s="255" t="inlineStr">
        <is>
          <t>未找到原始PDF</t>
        </is>
      </c>
    </row>
    <row r="331" ht="48" customHeight="1" s="176">
      <c r="A331" s="254" t="inlineStr">
        <is>
          <t>K533</t>
        </is>
      </c>
      <c r="B331" s="254" t="inlineStr">
        <is>
          <t>110-二次</t>
        </is>
      </c>
      <c r="C331" s="254" t="inlineStr">
        <is>
          <t>Leon</t>
        </is>
      </c>
      <c r="D331" s="255" t="inlineStr">
        <is>
          <t>干预</t>
        </is>
      </c>
      <c r="E331" s="255" t="inlineStr">
        <is>
          <t>Claude补入（第三轮）</t>
        </is>
      </c>
      <c r="F331"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Leon动画：基线第1–21次，干预第22–35次（14次，与表5一致；K清单记25|10，把阶段线右侧的4个0算进了基线）。　〔GPT原记录：工作区未找到110-二次对应原始PDF，无法从原文核对图和重新取点。〕</t>
        </is>
      </c>
      <c r="G331" s="254" t="inlineStr">
        <is>
          <t>Figure 3；PDF第14页/印刷275页；Leon面板；转描动画；符号见原图图例</t>
        </is>
      </c>
      <c r="H331" s="255" t="inlineStr">
        <is>
          <t>检查原始文献目录和工作区PDF文件，检索其他原文中的参与者/动画术语；不使用旧清单点数或旧数列代填。</t>
        </is>
      </c>
      <c r="I331" s="255" t="inlineStr">
        <is>
          <t>未找到原始PDF</t>
        </is>
      </c>
    </row>
    <row r="332" ht="48" customHeight="1" s="176">
      <c r="A332" s="254" t="inlineStr">
        <is>
          <t>K534</t>
        </is>
      </c>
      <c r="B332" s="254" t="inlineStr">
        <is>
          <t>110-二次</t>
        </is>
      </c>
      <c r="C332" s="254" t="inlineStr">
        <is>
          <t>Gavin</t>
        </is>
      </c>
      <c r="D332" s="255" t="inlineStr">
        <is>
          <t>干预</t>
        </is>
      </c>
      <c r="E332" s="255" t="inlineStr">
        <is>
          <t>Claude补入（第三轮）</t>
        </is>
      </c>
      <c r="F332"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Gavin真人：基线第1–15次，干预第16–25次（10次，表5为10*）；第24次标记为实心小方块，值0，按干预点计入。　〔GPT原记录：工作区未找到110-二次对应原始PDF，无法从原文核对图和重新取点。〕</t>
        </is>
      </c>
      <c r="G332" s="254" t="inlineStr">
        <is>
          <t>Figure 3；PDF第14页/印刷275页；Gavin面板；真人成人；符号见原图图例</t>
        </is>
      </c>
      <c r="H332" s="255" t="inlineStr">
        <is>
          <t>检查原始文献目录和工作区PDF文件，检索其他原文中的参与者/动画术语；不使用旧清单点数或旧数列代填。</t>
        </is>
      </c>
      <c r="I332" s="255" t="inlineStr">
        <is>
          <t>未找到原始PDF</t>
        </is>
      </c>
    </row>
    <row r="333" ht="48" customHeight="1" s="176">
      <c r="A333" s="254" t="inlineStr">
        <is>
          <t>K535</t>
        </is>
      </c>
      <c r="B333" s="254" t="inlineStr">
        <is>
          <t>110-二次</t>
        </is>
      </c>
      <c r="C333" s="254" t="inlineStr">
        <is>
          <t>Gavin</t>
        </is>
      </c>
      <c r="D333" s="255" t="inlineStr">
        <is>
          <t>干预</t>
        </is>
      </c>
      <c r="E333" s="255" t="inlineStr">
        <is>
          <t>Claude补入（第三轮）</t>
        </is>
      </c>
      <c r="F333" s="255"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Gavin动画：基线第1–25次，干预第26–35次，前后段全为0（表5为10*；K清单后段记11，多出的是第36次泛化菱形）。　〔GPT原记录：工作区未找到110-二次对应原始PDF，无法从原文核对图和重新取点。〕</t>
        </is>
      </c>
      <c r="G333" s="254" t="inlineStr">
        <is>
          <t>Figure 3；PDF第14页/印刷275页；Gavin面板；转描动画；符号见原图图例</t>
        </is>
      </c>
      <c r="H333" s="255" t="inlineStr">
        <is>
          <t>检查原始文献目录和工作区PDF文件，检索其他原文中的参与者/动画术语；不使用旧清单点数或旧数列代填。</t>
        </is>
      </c>
      <c r="I333" s="255" t="inlineStr">
        <is>
          <t>未找到原始PDF</t>
        </is>
      </c>
    </row>
    <row r="334" ht="48" customHeight="1" s="176">
      <c r="A334" s="254" t="inlineStr">
        <is>
          <t>K536</t>
        </is>
      </c>
      <c r="B334" s="254" t="inlineStr">
        <is>
          <t>059-二次</t>
        </is>
      </c>
      <c r="C334" s="254" t="inlineStr">
        <is>
          <t>Eleni</t>
        </is>
      </c>
      <c r="D334" s="255" t="inlineStr">
        <is>
          <t>干预</t>
        </is>
      </c>
      <c r="E334" s="255" t="inlineStr">
        <is>
          <t>Claude补入（10-16）</t>
        </is>
      </c>
      <c r="F334" s="255" t="inlineStr">
        <is>
          <t>PDF矢量坐标取点：训练试次取实心点、探测试次取空心圆；视频示范前段为紧接的基线（Billy基线Ⅰ，Eleni、Mike基线Ⅱ）；新治疗师/母亲泛化（前测在基线Ⅰ、后测在两种示范之后）与1、3个月追踪（各2点）不取。</t>
        </is>
      </c>
      <c r="G334" s="254" t="inlineStr">
        <is>
          <t>Fig. 1，PDF第8页/印刷552页，Eleni面板（上）；实心点＝训练试次，空心圆＝探测试次</t>
        </is>
      </c>
      <c r="H334" s="255" t="inlineStr">
        <is>
          <t>pdfplumber提取图中矢量标记中心，按纵轴0/100刻度与横轴会话刻度换算；训练试次按10%取整、探测试次按25%取整（Billy基线第3次探测图上为10%，以图为准）</t>
        </is>
      </c>
      <c r="I334" s="255" t="inlineStr">
        <is>
          <t>059-二次-E-Gena, Couloura &amp; Kymissis (2005) JADD 35(5):545–556</t>
        </is>
      </c>
    </row>
    <row r="335" ht="48" customHeight="1" s="176">
      <c r="A335" s="254" t="inlineStr">
        <is>
          <t>K537</t>
        </is>
      </c>
      <c r="B335" s="254" t="inlineStr">
        <is>
          <t>059-二次</t>
        </is>
      </c>
      <c r="C335" s="254" t="inlineStr">
        <is>
          <t>Billy</t>
        </is>
      </c>
      <c r="D335" s="255" t="inlineStr">
        <is>
          <t>干预</t>
        </is>
      </c>
      <c r="E335" s="255" t="inlineStr">
        <is>
          <t>Claude补入（10-16）</t>
        </is>
      </c>
      <c r="F335" s="255" t="inlineStr">
        <is>
          <t>PDF矢量坐标取点：训练试次取实心点、探测试次取空心圆；视频示范前段为紧接的基线（Billy基线Ⅰ，Eleni、Mike基线Ⅱ）；新治疗师/母亲泛化（前测在基线Ⅰ、后测在两种示范之后）与1、3个月追踪（各2点）不取。</t>
        </is>
      </c>
      <c r="G335" s="254" t="inlineStr">
        <is>
          <t>Fig. 1，PDF第8页/印刷552页，Billy面板（中）；实心点＝训练试次，空心圆＝探测试次</t>
        </is>
      </c>
      <c r="H335" s="255" t="inlineStr">
        <is>
          <t>pdfplumber提取图中矢量标记中心，按纵轴0/100刻度与横轴会话刻度换算；训练试次按10%取整、探测试次按25%取整（Billy基线第3次探测图上为10%，以图为准）</t>
        </is>
      </c>
      <c r="I335" s="255" t="inlineStr">
        <is>
          <t>059-二次-E-Gena, Couloura &amp; Kymissis (2005) JADD 35(5):545–556</t>
        </is>
      </c>
    </row>
    <row r="336" ht="48" customHeight="1" s="176">
      <c r="A336" s="254" t="inlineStr">
        <is>
          <t>K538</t>
        </is>
      </c>
      <c r="B336" s="254" t="inlineStr">
        <is>
          <t>059-二次</t>
        </is>
      </c>
      <c r="C336" s="254" t="inlineStr">
        <is>
          <t>Mike</t>
        </is>
      </c>
      <c r="D336" s="255" t="inlineStr">
        <is>
          <t>干预</t>
        </is>
      </c>
      <c r="E336" s="255" t="inlineStr">
        <is>
          <t>Claude补入（10-16）</t>
        </is>
      </c>
      <c r="F336" s="255" t="inlineStr">
        <is>
          <t>PDF矢量坐标取点：训练试次取实心点、探测试次取空心圆；视频示范前段为紧接的基线（Billy基线Ⅰ，Eleni、Mike基线Ⅱ）；新治疗师/母亲泛化（前测在基线Ⅰ、后测在两种示范之后）与1、3个月追踪（各2点）不取。</t>
        </is>
      </c>
      <c r="G336" s="254" t="inlineStr">
        <is>
          <t>Fig. 1，PDF第8页/印刷552页，Mike面板（下）；实心点＝训练试次，空心圆＝探测试次</t>
        </is>
      </c>
      <c r="H336" s="255" t="inlineStr">
        <is>
          <t>pdfplumber提取图中矢量标记中心，按纵轴0/100刻度与横轴会话刻度换算；训练试次按10%取整、探测试次按25%取整（Billy基线第3次探测图上为10%，以图为准）</t>
        </is>
      </c>
      <c r="I336" s="255" t="inlineStr">
        <is>
          <t>059-二次-E-Gena, Couloura &amp; Kymissis (2005) JADD 35(5):545–556</t>
        </is>
      </c>
    </row>
    <row r="337" ht="48" customHeight="1" s="176">
      <c r="A337" s="254" t="inlineStr">
        <is>
          <t>K539</t>
        </is>
      </c>
      <c r="B337" s="254" t="inlineStr">
        <is>
          <t>059-二次</t>
        </is>
      </c>
      <c r="C337" s="254" t="inlineStr">
        <is>
          <t>Eleni</t>
        </is>
      </c>
      <c r="D337" s="255" t="inlineStr">
        <is>
          <t>泛化</t>
        </is>
      </c>
      <c r="E337" s="255" t="inlineStr">
        <is>
          <t>Claude补入（10-16）</t>
        </is>
      </c>
      <c r="F337" s="255" t="inlineStr">
        <is>
          <t>PDF矢量坐标取点：训练试次取实心点、探测试次取空心圆；视频示范前段为紧接的基线（Billy基线Ⅰ，Eleni、Mike基线Ⅱ）；新治疗师/母亲泛化（前测在基线Ⅰ、后测在两种示范之后）与1、3个月追踪（各2点）不取。</t>
        </is>
      </c>
      <c r="G337" s="254" t="inlineStr">
        <is>
          <t>Fig. 1，PDF第8页/印刷552页，Eleni面板（上）；实心点＝训练试次，空心圆＝探测试次</t>
        </is>
      </c>
      <c r="H337" s="255" t="inlineStr">
        <is>
          <t>pdfplumber提取图中矢量标记中心，按纵轴0/100刻度与横轴会话刻度换算；训练试次按10%取整、探测试次按25%取整（Billy基线第3次探测图上为10%，以图为准）</t>
        </is>
      </c>
      <c r="I337" s="255" t="inlineStr">
        <is>
          <t>059-二次-E-Gena, Couloura &amp; Kymissis (2005) JADD 35(5):545–556</t>
        </is>
      </c>
    </row>
    <row r="338" ht="48" customHeight="1" s="176">
      <c r="A338" s="254" t="inlineStr">
        <is>
          <t>K540</t>
        </is>
      </c>
      <c r="B338" s="254" t="inlineStr">
        <is>
          <t>059-二次</t>
        </is>
      </c>
      <c r="C338" s="254" t="inlineStr">
        <is>
          <t>Billy</t>
        </is>
      </c>
      <c r="D338" s="255" t="inlineStr">
        <is>
          <t>泛化</t>
        </is>
      </c>
      <c r="E338" s="255" t="inlineStr">
        <is>
          <t>Claude补入（10-16）</t>
        </is>
      </c>
      <c r="F338" s="255" t="inlineStr">
        <is>
          <t>PDF矢量坐标取点：训练试次取实心点、探测试次取空心圆；视频示范前段为紧接的基线（Billy基线Ⅰ，Eleni、Mike基线Ⅱ）；新治疗师/母亲泛化（前测在基线Ⅰ、后测在两种示范之后）与1、3个月追踪（各2点）不取。</t>
        </is>
      </c>
      <c r="G338" s="254" t="inlineStr">
        <is>
          <t>Fig. 1，PDF第8页/印刷552页，Billy面板（中）；实心点＝训练试次，空心圆＝探测试次</t>
        </is>
      </c>
      <c r="H338" s="255" t="inlineStr">
        <is>
          <t>pdfplumber提取图中矢量标记中心，按纵轴0/100刻度与横轴会话刻度换算；训练试次按10%取整、探测试次按25%取整（Billy基线第3次探测图上为10%，以图为准）</t>
        </is>
      </c>
      <c r="I338" s="255" t="inlineStr">
        <is>
          <t>059-二次-E-Gena, Couloura &amp; Kymissis (2005) JADD 35(5):545–556</t>
        </is>
      </c>
    </row>
    <row r="339" ht="48" customHeight="1" s="176">
      <c r="A339" s="254" t="inlineStr">
        <is>
          <t>K541</t>
        </is>
      </c>
      <c r="B339" s="254" t="inlineStr">
        <is>
          <t>059-二次</t>
        </is>
      </c>
      <c r="C339" s="254" t="inlineStr">
        <is>
          <t>Mike</t>
        </is>
      </c>
      <c r="D339" s="255" t="inlineStr">
        <is>
          <t>泛化</t>
        </is>
      </c>
      <c r="E339" s="255" t="inlineStr">
        <is>
          <t>Claude补入（10-16）</t>
        </is>
      </c>
      <c r="F339" s="255" t="inlineStr">
        <is>
          <t>PDF矢量坐标取点：训练试次取实心点、探测试次取空心圆；视频示范前段为紧接的基线（Billy基线Ⅰ，Eleni、Mike基线Ⅱ）；新治疗师/母亲泛化（前测在基线Ⅰ、后测在两种示范之后）与1、3个月追踪（各2点）不取。</t>
        </is>
      </c>
      <c r="G339" s="254" t="inlineStr">
        <is>
          <t>Fig. 1，PDF第8页/印刷552页，Mike面板（下）；实心点＝训练试次，空心圆＝探测试次</t>
        </is>
      </c>
      <c r="H339" s="255" t="inlineStr">
        <is>
          <t>pdfplumber提取图中矢量标记中心，按纵轴0/100刻度与横轴会话刻度换算；训练试次按10%取整、探测试次按25%取整（Billy基线第3次探测图上为10%，以图为准）</t>
        </is>
      </c>
      <c r="I339" s="255" t="inlineStr">
        <is>
          <t>059-二次-E-Gena, Couloura &amp; Kymissis (2005) JADD 35(5):545–556</t>
        </is>
      </c>
    </row>
    <row r="340" ht="48" customHeight="1" s="176">
      <c r="A340" s="254" t="inlineStr">
        <is>
          <t>K542</t>
        </is>
      </c>
      <c r="B340" s="254" t="inlineStr">
        <is>
          <t>068-二次</t>
        </is>
      </c>
      <c r="C340" s="254" t="inlineStr">
        <is>
          <t>Z</t>
        </is>
      </c>
      <c r="D340" s="255" t="inlineStr">
        <is>
          <t>干预</t>
        </is>
      </c>
      <c r="E340" s="255" t="inlineStr">
        <is>
          <t>Claude补入（10-16）</t>
        </is>
      </c>
      <c r="F340" s="255" t="inlineStr">
        <is>
          <t>位图（300dpi）按纵轴刻度换算，逐点核对；B阶段每人录像示范5点，现场示范点不取；读数与原文报告的阶段均值一致（基线Z 2.33、M 2.40、Y 1.20；B阶段录像示范Z 9.40、M 7.60、Y 5.00）。Z维持第1点在图上限30处被截，按30计。</t>
        </is>
      </c>
      <c r="G340" s="259" t="inlineStr">
        <is>
          <t>图3，PDF第5页/印刷19页，被试Z面板（上）；实线圆点＝VM（取），虚线圆点＝in-vivo（不取）</t>
        </is>
      </c>
      <c r="H340" s="255" t="inlineStr">
        <is>
          <t>图像连通域定位圆点中心，按纵轴刻度换算为整数分（0–36）；与正文均值逐一核对</t>
        </is>
      </c>
      <c r="I340" s="255" t="inlineStr">
        <is>
          <t>068-二次-C-李欢、郭晓倩、彭燕 (2018) 中国特殊教育(11):16–23</t>
        </is>
      </c>
    </row>
    <row r="341" ht="48" customHeight="1" s="176">
      <c r="A341" s="254" t="inlineStr">
        <is>
          <t>K543</t>
        </is>
      </c>
      <c r="B341" s="254" t="inlineStr">
        <is>
          <t>068-二次</t>
        </is>
      </c>
      <c r="C341" s="254" t="inlineStr">
        <is>
          <t>M</t>
        </is>
      </c>
      <c r="D341" s="255" t="inlineStr">
        <is>
          <t>干预</t>
        </is>
      </c>
      <c r="E341" s="255" t="inlineStr">
        <is>
          <t>Claude补入（10-16）</t>
        </is>
      </c>
      <c r="F341" s="255" t="inlineStr">
        <is>
          <t>位图（300dpi）按纵轴刻度换算，逐点核对；B阶段每人录像示范5点，现场示范点不取；读数与原文报告的阶段均值一致（基线Z 2.33、M 2.40、Y 1.20；B阶段录像示范Z 9.40、M 7.60、Y 5.00）。Z维持第1点在图上限30处被截，按30计。</t>
        </is>
      </c>
      <c r="G341" s="259" t="inlineStr">
        <is>
          <t>图3，PDF第5页/印刷19页，被试M面板（中）；实线圆点＝VM（取），虚线圆点＝in-vivo（不取）</t>
        </is>
      </c>
      <c r="H341" s="255" t="inlineStr">
        <is>
          <t>图像连通域定位圆点中心，按纵轴刻度换算为整数分（0–36）；与正文均值逐一核对</t>
        </is>
      </c>
      <c r="I341" s="255" t="inlineStr">
        <is>
          <t>068-二次-C-李欢、郭晓倩、彭燕 (2018) 中国特殊教育(11):16–23</t>
        </is>
      </c>
    </row>
    <row r="342" ht="48" customHeight="1" s="176">
      <c r="A342" s="254" t="inlineStr">
        <is>
          <t>K544</t>
        </is>
      </c>
      <c r="B342" s="254" t="inlineStr">
        <is>
          <t>068-二次</t>
        </is>
      </c>
      <c r="C342" s="254" t="inlineStr">
        <is>
          <t>Y</t>
        </is>
      </c>
      <c r="D342" s="255" t="inlineStr">
        <is>
          <t>干预</t>
        </is>
      </c>
      <c r="E342" s="255" t="inlineStr">
        <is>
          <t>Claude补入（10-16）</t>
        </is>
      </c>
      <c r="F342" s="255" t="inlineStr">
        <is>
          <t>位图（300dpi）按纵轴刻度换算，逐点核对；B阶段每人录像示范5点，现场示范点不取；读数与原文报告的阶段均值一致（基线Z 2.33、M 2.40、Y 1.20；B阶段录像示范Z 9.40、M 7.60、Y 5.00）。Z维持第1点在图上限30处被截，按30计。</t>
        </is>
      </c>
      <c r="G342" s="259" t="inlineStr">
        <is>
          <t>图3，PDF第5页/印刷19页，被试Y面板（下）；实线圆点＝VM（取），虚线圆点＝in-vivo（不取）</t>
        </is>
      </c>
      <c r="H342" s="255" t="inlineStr">
        <is>
          <t>图像连通域定位圆点中心，按纵轴刻度换算为整数分（0–36）；与正文均值逐一核对</t>
        </is>
      </c>
      <c r="I342" s="255" t="inlineStr">
        <is>
          <t>068-二次-C-李欢、郭晓倩、彭燕 (2018) 中国特殊教育(11):16–23</t>
        </is>
      </c>
    </row>
    <row r="343" ht="48" customHeight="1" s="176">
      <c r="A343" s="254" t="inlineStr">
        <is>
          <t>K545</t>
        </is>
      </c>
      <c r="B343" s="254" t="inlineStr">
        <is>
          <t>068-二次</t>
        </is>
      </c>
      <c r="C343" s="254" t="inlineStr">
        <is>
          <t>Z</t>
        </is>
      </c>
      <c r="D343" s="255" t="inlineStr">
        <is>
          <t>维持</t>
        </is>
      </c>
      <c r="E343" s="255" t="inlineStr">
        <is>
          <t>Claude补入（10-16）</t>
        </is>
      </c>
      <c r="F343" s="255" t="inlineStr">
        <is>
          <t>位图（300dpi）按纵轴刻度换算，逐点核对；B阶段每人录像示范5点，现场示范点不取；读数与原文报告的阶段均值一致（基线Z 2.33、M 2.40、Y 1.20；B阶段录像示范Z 9.40、M 7.60、Y 5.00）。Z维持第1点在图上限30处被截，按30计。</t>
        </is>
      </c>
      <c r="G343" s="259" t="inlineStr">
        <is>
          <t>图3，PDF第5页/印刷19页，被试Z面板（上）；维持期G方块</t>
        </is>
      </c>
      <c r="H343" s="255" t="inlineStr">
        <is>
          <t>图像连通域定位圆点中心，按纵轴刻度换算为整数分（0–36）；与正文均值逐一核对</t>
        </is>
      </c>
      <c r="I343" s="255" t="inlineStr">
        <is>
          <t>068-二次-C-李欢、郭晓倩、彭燕 (2018) 中国特殊教育(11):16–23</t>
        </is>
      </c>
    </row>
    <row r="344" ht="48" customHeight="1" s="176">
      <c r="A344" s="254" t="inlineStr">
        <is>
          <t>K546</t>
        </is>
      </c>
      <c r="B344" s="254" t="inlineStr">
        <is>
          <t>068-二次</t>
        </is>
      </c>
      <c r="C344" s="254" t="inlineStr">
        <is>
          <t>M</t>
        </is>
      </c>
      <c r="D344" s="255" t="inlineStr">
        <is>
          <t>维持</t>
        </is>
      </c>
      <c r="E344" s="255" t="inlineStr">
        <is>
          <t>Claude补入（10-16）</t>
        </is>
      </c>
      <c r="F344" s="255" t="inlineStr">
        <is>
          <t>位图（300dpi）按纵轴刻度换算，逐点核对；B阶段每人录像示范5点，现场示范点不取；读数与原文报告的阶段均值一致（基线Z 2.33、M 2.40、Y 1.20；B阶段录像示范Z 9.40、M 7.60、Y 5.00）。Z维持第1点在图上限30处被截，按30计。</t>
        </is>
      </c>
      <c r="G344" s="259" t="inlineStr">
        <is>
          <t>图3，PDF第5页/印刷19页，被试M面板（中）；维持期G方块</t>
        </is>
      </c>
      <c r="H344" s="255" t="inlineStr">
        <is>
          <t>图像连通域定位圆点中心，按纵轴刻度换算为整数分（0–36）；与正文均值逐一核对</t>
        </is>
      </c>
      <c r="I344" s="255" t="inlineStr">
        <is>
          <t>068-二次-C-李欢、郭晓倩、彭燕 (2018) 中国特殊教育(11):16–23</t>
        </is>
      </c>
    </row>
    <row r="345" ht="48" customHeight="1" s="176">
      <c r="A345" s="254" t="inlineStr">
        <is>
          <t>K547</t>
        </is>
      </c>
      <c r="B345" s="254" t="inlineStr">
        <is>
          <t>068-二次</t>
        </is>
      </c>
      <c r="C345" s="254" t="inlineStr">
        <is>
          <t>Y</t>
        </is>
      </c>
      <c r="D345" s="255" t="inlineStr">
        <is>
          <t>维持</t>
        </is>
      </c>
      <c r="E345" s="255" t="inlineStr">
        <is>
          <t>Claude补入（10-16）</t>
        </is>
      </c>
      <c r="F345" s="255" t="inlineStr">
        <is>
          <t>位图（300dpi）按纵轴刻度换算，逐点核对；B阶段每人录像示范5点，现场示范点不取；读数与原文报告的阶段均值一致（基线Z 2.33、M 2.40、Y 1.20；B阶段录像示范Z 9.40、M 7.60、Y 5.00）。Z维持第1点在图上限30处被截，按30计。</t>
        </is>
      </c>
      <c r="G345" s="259" t="inlineStr">
        <is>
          <t>图3，PDF第5页/印刷19页，被试Y面板（下）；维持期G方块</t>
        </is>
      </c>
      <c r="H345" s="255" t="inlineStr">
        <is>
          <t>图像连通域定位圆点中心，按纵轴刻度换算为整数分（0–36）；与正文均值逐一核对</t>
        </is>
      </c>
      <c r="I345" s="255" t="inlineStr">
        <is>
          <t>068-二次-C-李欢、郭晓倩、彭燕 (2018) 中国特殊教育(11):16–23</t>
        </is>
      </c>
    </row>
    <row r="346" ht="48" customHeight="1" s="176">
      <c r="A346" s="254" t="inlineStr">
        <is>
          <t>K548</t>
        </is>
      </c>
      <c r="B346" s="254" t="inlineStr">
        <is>
          <t>01-补充</t>
        </is>
      </c>
      <c r="C346" s="254" t="inlineStr">
        <is>
          <t>Anan</t>
        </is>
      </c>
      <c r="D346" s="255" t="inlineStr">
        <is>
          <t>干预</t>
        </is>
      </c>
      <c r="E346" s="255" t="inlineStr">
        <is>
          <t>Claude补入（10-17）</t>
        </is>
      </c>
      <c r="F346" s="255" t="inlineStr">
        <is>
          <t>位图（300dpi）按纵轴刻度换算，读数均为整数；逐次核对：同一会话的脚本内＋脚本外＝图4总体，各阶段均值与表4一致（表4中Anan脚本内成人视频的范围印为4–6，图上第14次为7，按图取，均值5.00与按图计算一致）。</t>
        </is>
      </c>
      <c r="G346" s="254" t="inlineStr">
        <is>
          <t>Figure 5，PDF第16页/印刷227页，Anan面板（上）；实心圆＝基线，实心方块＝动画视频，实心三角＝成人视频</t>
        </is>
      </c>
      <c r="H346" s="255" t="inlineStr">
        <is>
          <t>连通域定位标记中心，按图例区分实心圆（基线）、实心方块（动画）、实心三角（成人）；交替期按会话奇偶核对两种视频的位置</t>
        </is>
      </c>
      <c r="I346" s="255" t="inlineStr">
        <is>
          <t>01-补充：Li H, Peng Y, Li Z, et al. (2025) IJDDE 72(2):213–234, doi:10.1080/1034912X.2024.2355339</t>
        </is>
      </c>
    </row>
    <row r="347" ht="48" customHeight="1" s="176">
      <c r="A347" s="254" t="inlineStr">
        <is>
          <t>K549</t>
        </is>
      </c>
      <c r="B347" s="254" t="inlineStr">
        <is>
          <t>01-补充</t>
        </is>
      </c>
      <c r="C347" s="254" t="inlineStr">
        <is>
          <t>Anan</t>
        </is>
      </c>
      <c r="D347" s="255" t="inlineStr">
        <is>
          <t>干预</t>
        </is>
      </c>
      <c r="E347" s="255" t="inlineStr">
        <is>
          <t>Claude补入（10-17）</t>
        </is>
      </c>
      <c r="F347" s="255" t="inlineStr">
        <is>
          <t>位图（300dpi）按纵轴刻度换算，读数均为整数；逐次核对：同一会话的脚本内＋脚本外＝图4总体，各阶段均值与表4一致（表4中Anan脚本内成人视频的范围印为4–6，图上第14次为7，按图取，均值5.00与按图计算一致）。</t>
        </is>
      </c>
      <c r="G347" s="254" t="inlineStr">
        <is>
          <t>Figure 5，PDF第16页/印刷227页，Anan面板（上）；实心圆＝基线，实心方块＝动画视频，实心三角＝成人视频</t>
        </is>
      </c>
      <c r="H347" s="255" t="inlineStr">
        <is>
          <t>连通域定位标记中心，按图例区分实心圆（基线）、实心方块（动画）、实心三角（成人）；交替期按会话奇偶核对两种视频的位置</t>
        </is>
      </c>
      <c r="I347" s="255" t="inlineStr">
        <is>
          <t>01-补充：Li H, Peng Y, Li Z, et al. (2025) IJDDE 72(2):213–234, doi:10.1080/1034912X.2024.2355339</t>
        </is>
      </c>
    </row>
    <row r="348" ht="48" customHeight="1" s="176">
      <c r="A348" s="254" t="inlineStr">
        <is>
          <t>K550</t>
        </is>
      </c>
      <c r="B348" s="254" t="inlineStr">
        <is>
          <t>01-补充</t>
        </is>
      </c>
      <c r="C348" s="254" t="inlineStr">
        <is>
          <t>Bobo</t>
        </is>
      </c>
      <c r="D348" s="255" t="inlineStr">
        <is>
          <t>干预</t>
        </is>
      </c>
      <c r="E348" s="255" t="inlineStr">
        <is>
          <t>Claude补入（10-17）</t>
        </is>
      </c>
      <c r="F348" s="255" t="inlineStr">
        <is>
          <t>位图（300dpi）按纵轴刻度换算，读数均为整数；逐次核对：同一会话的脚本内＋脚本外＝图4总体，各阶段均值与表4一致（表4中Anan脚本内成人视频的范围印为4–6，图上第14次为7，按图取，均值5.00与按图计算一致）。</t>
        </is>
      </c>
      <c r="G348" s="254" t="inlineStr">
        <is>
          <t>Figure 5，PDF第16页/印刷227页，Bobo面板（中）；实心圆＝基线，实心方块＝动画视频，实心三角＝成人视频</t>
        </is>
      </c>
      <c r="H348" s="255" t="inlineStr">
        <is>
          <t>连通域定位标记中心，按图例区分实心圆（基线）、实心方块（动画）、实心三角（成人）；交替期按会话奇偶核对两种视频的位置</t>
        </is>
      </c>
      <c r="I348" s="255" t="inlineStr">
        <is>
          <t>01-补充：Li H, Peng Y, Li Z, et al. (2025) IJDDE 72(2):213–234, doi:10.1080/1034912X.2024.2355339</t>
        </is>
      </c>
    </row>
    <row r="349" ht="48" customHeight="1" s="176">
      <c r="A349" s="254" t="inlineStr">
        <is>
          <t>K551</t>
        </is>
      </c>
      <c r="B349" s="254" t="inlineStr">
        <is>
          <t>01-补充</t>
        </is>
      </c>
      <c r="C349" s="254" t="inlineStr">
        <is>
          <t>Bobo</t>
        </is>
      </c>
      <c r="D349" s="255" t="inlineStr">
        <is>
          <t>干预</t>
        </is>
      </c>
      <c r="E349" s="255" t="inlineStr">
        <is>
          <t>Claude补入（10-17）</t>
        </is>
      </c>
      <c r="F349" s="255" t="inlineStr">
        <is>
          <t>位图（300dpi）按纵轴刻度换算，读数均为整数；逐次核对：同一会话的脚本内＋脚本外＝图4总体，各阶段均值与表4一致（表4中Anan脚本内成人视频的范围印为4–6，图上第14次为7，按图取，均值5.00与按图计算一致）。</t>
        </is>
      </c>
      <c r="G349" s="254" t="inlineStr">
        <is>
          <t>Figure 5，PDF第16页/印刷227页，Bobo面板（中）；实心圆＝基线，实心方块＝动画视频，实心三角＝成人视频</t>
        </is>
      </c>
      <c r="H349" s="255" t="inlineStr">
        <is>
          <t>连通域定位标记中心，按图例区分实心圆（基线）、实心方块（动画）、实心三角（成人）；交替期按会话奇偶核对两种视频的位置</t>
        </is>
      </c>
      <c r="I349" s="255" t="inlineStr">
        <is>
          <t>01-补充：Li H, Peng Y, Li Z, et al. (2025) IJDDE 72(2):213–234, doi:10.1080/1034912X.2024.2355339</t>
        </is>
      </c>
    </row>
    <row r="350" ht="48" customHeight="1" s="176">
      <c r="A350" s="254" t="inlineStr">
        <is>
          <t>K552</t>
        </is>
      </c>
      <c r="B350" s="254" t="inlineStr">
        <is>
          <t>01-补充</t>
        </is>
      </c>
      <c r="C350" s="254" t="inlineStr">
        <is>
          <t>Cici</t>
        </is>
      </c>
      <c r="D350" s="255" t="inlineStr">
        <is>
          <t>干预</t>
        </is>
      </c>
      <c r="E350" s="255" t="inlineStr">
        <is>
          <t>Claude补入（10-17）</t>
        </is>
      </c>
      <c r="F350" s="255" t="inlineStr">
        <is>
          <t>位图（300dpi）按纵轴刻度换算，读数均为整数；逐次核对：同一会话的脚本内＋脚本外＝图4总体，各阶段均值与表4一致（表4中Anan脚本内成人视频的范围印为4–6，图上第14次为7，按图取，均值5.00与按图计算一致）。</t>
        </is>
      </c>
      <c r="G350" s="254" t="inlineStr">
        <is>
          <t>Figure 5，PDF第16页/印刷227页，Cici面板（下）；实心圆＝基线，实心方块＝动画视频，实心三角＝成人视频</t>
        </is>
      </c>
      <c r="H350" s="255" t="inlineStr">
        <is>
          <t>连通域定位标记中心，按图例区分实心圆（基线）、实心方块（动画）、实心三角（成人）；交替期按会话奇偶核对两种视频的位置</t>
        </is>
      </c>
      <c r="I350" s="255" t="inlineStr">
        <is>
          <t>01-补充：Li H, Peng Y, Li Z, et al. (2025) IJDDE 72(2):213–234, doi:10.1080/1034912X.2024.2355339</t>
        </is>
      </c>
    </row>
    <row r="351" ht="48" customHeight="1" s="176">
      <c r="A351" s="254" t="inlineStr">
        <is>
          <t>K553</t>
        </is>
      </c>
      <c r="B351" s="254" t="inlineStr">
        <is>
          <t>01-补充</t>
        </is>
      </c>
      <c r="C351" s="254" t="inlineStr">
        <is>
          <t>Cici</t>
        </is>
      </c>
      <c r="D351" s="255" t="inlineStr">
        <is>
          <t>干预</t>
        </is>
      </c>
      <c r="E351" s="255" t="inlineStr">
        <is>
          <t>Claude补入（10-17）</t>
        </is>
      </c>
      <c r="F351" s="255" t="inlineStr">
        <is>
          <t>位图（300dpi）按纵轴刻度换算，读数均为整数；逐次核对：同一会话的脚本内＋脚本外＝图4总体，各阶段均值与表4一致（表4中Anan脚本内成人视频的范围印为4–6，图上第14次为7，按图取，均值5.00与按图计算一致）。</t>
        </is>
      </c>
      <c r="G351" s="254" t="inlineStr">
        <is>
          <t>Figure 5，PDF第16页/印刷227页，Cici面板（下）；实心圆＝基线，实心方块＝动画视频，实心三角＝成人视频</t>
        </is>
      </c>
      <c r="H351" s="255" t="inlineStr">
        <is>
          <t>连通域定位标记中心，按图例区分实心圆（基线）、实心方块（动画）、实心三角（成人）；交替期按会话奇偶核对两种视频的位置</t>
        </is>
      </c>
      <c r="I351" s="255" t="inlineStr">
        <is>
          <t>01-补充：Li H, Peng Y, Li Z, et al. (2025) IJDDE 72(2):213–234, doi:10.1080/1034912X.2024.2355339</t>
        </is>
      </c>
    </row>
    <row r="352" ht="48" customHeight="1" s="176">
      <c r="A352" s="254" t="inlineStr">
        <is>
          <t>K554</t>
        </is>
      </c>
      <c r="B352" s="254" t="inlineStr">
        <is>
          <t>01-补充</t>
        </is>
      </c>
      <c r="C352" s="254" t="inlineStr">
        <is>
          <t>Anan</t>
        </is>
      </c>
      <c r="D352" s="255" t="inlineStr">
        <is>
          <t>干预</t>
        </is>
      </c>
      <c r="E352" s="255" t="inlineStr">
        <is>
          <t>Claude补入（10-17）</t>
        </is>
      </c>
      <c r="F352" s="255" t="inlineStr">
        <is>
          <t>位图（300dpi）按纵轴刻度换算，读数均为整数；逐次核对：同一会话的脚本内＋脚本外＝图4总体，各阶段均值与表4一致（表4中Anan脚本内成人视频的范围印为4–6，图上第14次为7，按图取，均值5.00与按图计算一致）。</t>
        </is>
      </c>
      <c r="G352" s="254" t="inlineStr">
        <is>
          <t>Figure 6，PDF第17页/印刷228页，Anan面板（上）；实心圆＝基线，实心方块＝动画视频，实心三角＝成人视频</t>
        </is>
      </c>
      <c r="H352" s="255" t="inlineStr">
        <is>
          <t>连通域定位标记中心，按图例区分实心圆（基线）、实心方块（动画）、实心三角（成人）；交替期按会话奇偶核对两种视频的位置</t>
        </is>
      </c>
      <c r="I352" s="255" t="inlineStr">
        <is>
          <t>01-补充：Li H, Peng Y, Li Z, et al. (2025) IJDDE 72(2):213–234, doi:10.1080/1034912X.2024.2355339</t>
        </is>
      </c>
    </row>
    <row r="353" ht="48" customHeight="1" s="176">
      <c r="A353" s="254" t="inlineStr">
        <is>
          <t>K555</t>
        </is>
      </c>
      <c r="B353" s="254" t="inlineStr">
        <is>
          <t>01-补充</t>
        </is>
      </c>
      <c r="C353" s="254" t="inlineStr">
        <is>
          <t>Anan</t>
        </is>
      </c>
      <c r="D353" s="255" t="inlineStr">
        <is>
          <t>干预</t>
        </is>
      </c>
      <c r="E353" s="255" t="inlineStr">
        <is>
          <t>Claude补入（10-17）</t>
        </is>
      </c>
      <c r="F353" s="255" t="inlineStr">
        <is>
          <t>位图（300dpi）按纵轴刻度换算，读数均为整数；逐次核对：同一会话的脚本内＋脚本外＝图4总体，各阶段均值与表4一致（表4中Anan脚本内成人视频的范围印为4–6，图上第14次为7，按图取，均值5.00与按图计算一致）。</t>
        </is>
      </c>
      <c r="G353" s="254" t="inlineStr">
        <is>
          <t>Figure 6，PDF第17页/印刷228页，Anan面板（上）；实心圆＝基线，实心方块＝动画视频，实心三角＝成人视频</t>
        </is>
      </c>
      <c r="H353" s="255" t="inlineStr">
        <is>
          <t>连通域定位标记中心，按图例区分实心圆（基线）、实心方块（动画）、实心三角（成人）；交替期按会话奇偶核对两种视频的位置</t>
        </is>
      </c>
      <c r="I353" s="255" t="inlineStr">
        <is>
          <t>01-补充：Li H, Peng Y, Li Z, et al. (2025) IJDDE 72(2):213–234, doi:10.1080/1034912X.2024.2355339</t>
        </is>
      </c>
    </row>
    <row r="354" ht="48" customHeight="1" s="176">
      <c r="A354" s="254" t="inlineStr">
        <is>
          <t>K556</t>
        </is>
      </c>
      <c r="B354" s="254" t="inlineStr">
        <is>
          <t>01-补充</t>
        </is>
      </c>
      <c r="C354" s="254" t="inlineStr">
        <is>
          <t>Bobo</t>
        </is>
      </c>
      <c r="D354" s="255" t="inlineStr">
        <is>
          <t>干预</t>
        </is>
      </c>
      <c r="E354" s="255" t="inlineStr">
        <is>
          <t>Claude补入（10-17）</t>
        </is>
      </c>
      <c r="F354" s="255" t="inlineStr">
        <is>
          <t>位图（300dpi）按纵轴刻度换算，读数均为整数；逐次核对：同一会话的脚本内＋脚本外＝图4总体，各阶段均值与表4一致（表4中Anan脚本内成人视频的范围印为4–6，图上第14次为7，按图取，均值5.00与按图计算一致）。</t>
        </is>
      </c>
      <c r="G354" s="254" t="inlineStr">
        <is>
          <t>Figure 6，PDF第17页/印刷228页，Bobo面板（中）；实心圆＝基线，实心方块＝动画视频，实心三角＝成人视频</t>
        </is>
      </c>
      <c r="H354" s="255" t="inlineStr">
        <is>
          <t>连通域定位标记中心，按图例区分实心圆（基线）、实心方块（动画）、实心三角（成人）；交替期按会话奇偶核对两种视频的位置</t>
        </is>
      </c>
      <c r="I354" s="255" t="inlineStr">
        <is>
          <t>01-补充：Li H, Peng Y, Li Z, et al. (2025) IJDDE 72(2):213–234, doi:10.1080/1034912X.2024.2355339</t>
        </is>
      </c>
    </row>
    <row r="355" ht="48" customHeight="1" s="176">
      <c r="A355" s="254" t="inlineStr">
        <is>
          <t>K557</t>
        </is>
      </c>
      <c r="B355" s="254" t="inlineStr">
        <is>
          <t>01-补充</t>
        </is>
      </c>
      <c r="C355" s="254" t="inlineStr">
        <is>
          <t>Bobo</t>
        </is>
      </c>
      <c r="D355" s="255" t="inlineStr">
        <is>
          <t>干预</t>
        </is>
      </c>
      <c r="E355" s="255" t="inlineStr">
        <is>
          <t>Claude补入（10-17）</t>
        </is>
      </c>
      <c r="F355" s="255" t="inlineStr">
        <is>
          <t>位图（300dpi）按纵轴刻度换算，读数均为整数；逐次核对：同一会话的脚本内＋脚本外＝图4总体，各阶段均值与表4一致（表4中Anan脚本内成人视频的范围印为4–6，图上第14次为7，按图取，均值5.00与按图计算一致）。</t>
        </is>
      </c>
      <c r="G355" s="254" t="inlineStr">
        <is>
          <t>Figure 6，PDF第17页/印刷228页，Bobo面板（中）；实心圆＝基线，实心方块＝动画视频，实心三角＝成人视频</t>
        </is>
      </c>
      <c r="H355" s="255" t="inlineStr">
        <is>
          <t>连通域定位标记中心，按图例区分实心圆（基线）、实心方块（动画）、实心三角（成人）；交替期按会话奇偶核对两种视频的位置</t>
        </is>
      </c>
      <c r="I355" s="255" t="inlineStr">
        <is>
          <t>01-补充：Li H, Peng Y, Li Z, et al. (2025) IJDDE 72(2):213–234, doi:10.1080/1034912X.2024.2355339</t>
        </is>
      </c>
    </row>
    <row r="356" ht="48" customHeight="1" s="176">
      <c r="A356" s="254" t="inlineStr">
        <is>
          <t>K558</t>
        </is>
      </c>
      <c r="B356" s="254" t="inlineStr">
        <is>
          <t>01-补充</t>
        </is>
      </c>
      <c r="C356" s="254" t="inlineStr">
        <is>
          <t>Cici</t>
        </is>
      </c>
      <c r="D356" s="255" t="inlineStr">
        <is>
          <t>干预</t>
        </is>
      </c>
      <c r="E356" s="255" t="inlineStr">
        <is>
          <t>Claude补入（10-17）</t>
        </is>
      </c>
      <c r="F356" s="255" t="inlineStr">
        <is>
          <t>位图（300dpi）按纵轴刻度换算，读数均为整数；逐次核对：同一会话的脚本内＋脚本外＝图4总体，各阶段均值与表4一致（表4中Anan脚本内成人视频的范围印为4–6，图上第14次为7，按图取，均值5.00与按图计算一致）。</t>
        </is>
      </c>
      <c r="G356" s="254" t="inlineStr">
        <is>
          <t>Figure 6，PDF第17页/印刷228页，Cici面板（下）；实心圆＝基线，实心方块＝动画视频，实心三角＝成人视频</t>
        </is>
      </c>
      <c r="H356" s="255" t="inlineStr">
        <is>
          <t>连通域定位标记中心，按图例区分实心圆（基线）、实心方块（动画）、实心三角（成人）；交替期按会话奇偶核对两种视频的位置</t>
        </is>
      </c>
      <c r="I356" s="255" t="inlineStr">
        <is>
          <t>01-补充：Li H, Peng Y, Li Z, et al. (2025) IJDDE 72(2):213–234, doi:10.1080/1034912X.2024.2355339</t>
        </is>
      </c>
    </row>
    <row r="357" ht="48" customHeight="1" s="176">
      <c r="A357" s="254" t="inlineStr">
        <is>
          <t>K559</t>
        </is>
      </c>
      <c r="B357" s="254" t="inlineStr">
        <is>
          <t>01-补充</t>
        </is>
      </c>
      <c r="C357" s="254" t="inlineStr">
        <is>
          <t>Cici</t>
        </is>
      </c>
      <c r="D357" s="255" t="inlineStr">
        <is>
          <t>干预</t>
        </is>
      </c>
      <c r="E357" s="255" t="inlineStr">
        <is>
          <t>Claude补入（10-17）</t>
        </is>
      </c>
      <c r="F357" s="255" t="inlineStr">
        <is>
          <t>位图（300dpi）按纵轴刻度换算，读数均为整数；逐次核对：同一会话的脚本内＋脚本外＝图4总体，各阶段均值与表4一致（表4中Anan脚本内成人视频的范围印为4–6，图上第14次为7，按图取，均值5.00与按图计算一致）。</t>
        </is>
      </c>
      <c r="G357" s="254" t="inlineStr">
        <is>
          <t>Figure 6，PDF第17页/印刷228页，Cici面板（下）；实心圆＝基线，实心方块＝动画视频，实心三角＝成人视频</t>
        </is>
      </c>
      <c r="H357" s="255" t="inlineStr">
        <is>
          <t>连通域定位标记中心，按图例区分实心圆（基线）、实心方块（动画）、实心三角（成人）；交替期按会话奇偶核对两种视频的位置</t>
        </is>
      </c>
      <c r="I357" s="255" t="inlineStr">
        <is>
          <t>01-补充：Li H, Peng Y, Li Z, et al. (2025) IJDDE 72(2):213–234, doi:10.1080/1034912X.2024.2355339</t>
        </is>
      </c>
    </row>
    <row r="358" ht="48" customHeight="1" s="176">
      <c r="A358" s="260" t="inlineStr">
        <is>
          <t>K564</t>
        </is>
      </c>
      <c r="B358" s="260" t="inlineStr">
        <is>
          <t>002-滚雪球</t>
        </is>
      </c>
      <c r="C358" s="260" t="inlineStr">
        <is>
          <t>Nick</t>
        </is>
      </c>
      <c r="D358" s="261" t="inlineStr">
        <is>
          <t>干预</t>
        </is>
      </c>
      <c r="E358" s="261" t="inlineStr">
        <is>
          <t>已补入</t>
        </is>
      </c>
      <c r="F358" s="261" t="inlineStr">
        <is>
          <t>完整6步骤总分；每阶段点数与正文一致；泛化沿用原训练店基线。</t>
        </is>
      </c>
      <c r="G358" s="260" t="inlineStr">
        <is>
          <t>Figure 1，PDF第8页/印刷42页，Nick面板，实心菱形；Baseline 1–10，Intervention 11–16</t>
        </is>
      </c>
      <c r="H358" s="261" t="inlineStr">
        <is>
          <t>原始PDF方法与图表交叉复核；按实心标记逐点读取，基线Kendall τ-b双侧检验。</t>
        </is>
      </c>
      <c r="I358" s="261" t="inlineStr">
        <is>
          <t>F:/元分析-写作/补充文献，等做完正文再补充/再补/002-滚雪球-视频示范与言语提示对自闭症学生购物活动中嵌入的社交技能的影响.pdf</t>
        </is>
      </c>
    </row>
    <row r="359" ht="48" customHeight="1" s="176">
      <c r="A359" s="260" t="inlineStr">
        <is>
          <t>K565</t>
        </is>
      </c>
      <c r="B359" s="260" t="inlineStr">
        <is>
          <t>002-滚雪球</t>
        </is>
      </c>
      <c r="C359" s="260" t="inlineStr">
        <is>
          <t>Nick</t>
        </is>
      </c>
      <c r="D359" s="261" t="inlineStr">
        <is>
          <t>泛化</t>
        </is>
      </c>
      <c r="E359" s="261" t="inlineStr">
        <is>
          <t>已补入</t>
        </is>
      </c>
      <c r="F359" s="261" t="inlineStr">
        <is>
          <t>完整6步骤总分；每阶段点数与正文一致；泛化沿用原训练店基线。</t>
        </is>
      </c>
      <c r="G359" s="260" t="inlineStr">
        <is>
          <t>Figure 1，PDF第8页/印刷42页，Nick面板，实心菱形；Baseline 1–10，Generalization 17–19</t>
        </is>
      </c>
      <c r="H359" s="261" t="inlineStr">
        <is>
          <t>原始PDF方法与图表交叉复核；按实心标记逐点读取，基线Kendall τ-b双侧检验。</t>
        </is>
      </c>
      <c r="I359" s="261" t="inlineStr">
        <is>
          <t>F:/元分析-写作/补充文献，等做完正文再补充/再补/002-滚雪球-视频示范与言语提示对自闭症学生购物活动中嵌入的社交技能的影响.pdf</t>
        </is>
      </c>
    </row>
    <row r="360" ht="48" customHeight="1" s="176">
      <c r="A360" s="260" t="inlineStr">
        <is>
          <t>K566</t>
        </is>
      </c>
      <c r="B360" s="260" t="inlineStr">
        <is>
          <t>061-二次</t>
        </is>
      </c>
      <c r="C360" s="260" t="inlineStr">
        <is>
          <t>Kevin</t>
        </is>
      </c>
      <c r="D360" s="261" t="inlineStr">
        <is>
          <t>干预</t>
        </is>
      </c>
      <c r="E360" s="261" t="inlineStr">
        <is>
          <t>已补入</t>
        </is>
      </c>
      <c r="F360" s="261" t="inlineStr">
        <is>
          <t>三项目标合计百分比；不拆分项目。统一取第一轮A1–B1。</t>
        </is>
      </c>
      <c r="G360" s="260" t="inlineStr">
        <is>
          <t>Figure 1，PDF第13页/印刷526页，第1面板（Kevin），实心圆；第一次Baseline A（会话1–5）vs第一次Treatment B（会话6–10）；第二轮A/B不另增加K。</t>
        </is>
      </c>
      <c r="H360" s="261" t="inlineStr">
        <is>
          <t>原始PDF方法与图表交叉复核；按实心标记逐点读取，基线Kendall τ-b双侧检验。</t>
        </is>
      </c>
      <c r="I360" s="261" t="inlineStr">
        <is>
          <t>F:/元分析-写作/补充文献，等做完正文再补充/再补/061-二次-E-以课堂同伴为视频示范者提高孤独症儿童社会沟通技能.pdf</t>
        </is>
      </c>
    </row>
    <row r="361" ht="48" customHeight="1" s="176">
      <c r="A361" s="260" t="inlineStr">
        <is>
          <t>K567</t>
        </is>
      </c>
      <c r="B361" s="260" t="inlineStr">
        <is>
          <t>061-二次</t>
        </is>
      </c>
      <c r="C361" s="260" t="inlineStr">
        <is>
          <t>Ricky</t>
        </is>
      </c>
      <c r="D361" s="261" t="inlineStr">
        <is>
          <t>干预</t>
        </is>
      </c>
      <c r="E361" s="261" t="inlineStr">
        <is>
          <t>已补入</t>
        </is>
      </c>
      <c r="F361" s="261" t="inlineStr">
        <is>
          <t>三项目标合计百分比；不拆分项目。统一取第一轮A1–B1。</t>
        </is>
      </c>
      <c r="G361" s="260" t="inlineStr">
        <is>
          <t>Figure 1，PDF第13页/印刷526页，第2面板（Ricky），实心圆；第一次Baseline A（会话1–5）vs第一次Treatment B（会话6–10）；第二轮A/B不另增加K。</t>
        </is>
      </c>
      <c r="H361" s="261" t="inlineStr">
        <is>
          <t>原始PDF方法与图表交叉复核；按实心标记逐点读取，基线Kendall τ-b双侧检验。</t>
        </is>
      </c>
      <c r="I361" s="261" t="inlineStr">
        <is>
          <t>F:/元分析-写作/补充文献，等做完正文再补充/再补/061-二次-E-以课堂同伴为视频示范者提高孤独症儿童社会沟通技能.pdf</t>
        </is>
      </c>
    </row>
    <row r="362" ht="48" customHeight="1" s="176">
      <c r="A362" s="260" t="inlineStr">
        <is>
          <t>K568</t>
        </is>
      </c>
      <c r="B362" s="260" t="inlineStr">
        <is>
          <t>061-二次</t>
        </is>
      </c>
      <c r="C362" s="260" t="inlineStr">
        <is>
          <t>Andy</t>
        </is>
      </c>
      <c r="D362" s="261" t="inlineStr">
        <is>
          <t>干预</t>
        </is>
      </c>
      <c r="E362" s="261" t="inlineStr">
        <is>
          <t>已补入</t>
        </is>
      </c>
      <c r="F362" s="261" t="inlineStr">
        <is>
          <t>三项目标合计百分比；不拆分项目。统一取第一轮A1–B1。</t>
        </is>
      </c>
      <c r="G362" s="260" t="inlineStr">
        <is>
          <t>Figure 1，PDF第13页/印刷526页，第3面板（Andy），实心圆；第一次Baseline A（会话1–5）vs第一次Treatment B（会话6–10）；第二轮A/B不另增加K。</t>
        </is>
      </c>
      <c r="H362" s="261" t="inlineStr">
        <is>
          <t>原始PDF方法与图表交叉复核；按实心标记逐点读取，基线Kendall τ-b双侧检验。</t>
        </is>
      </c>
      <c r="I362" s="261" t="inlineStr">
        <is>
          <t>F:/元分析-写作/补充文献，等做完正文再补充/再补/061-二次-E-以课堂同伴为视频示范者提高孤独症儿童社会沟通技能.pdf</t>
        </is>
      </c>
    </row>
    <row r="363" ht="48" customHeight="1" s="176">
      <c r="A363" s="260" t="inlineStr">
        <is>
          <t>K569</t>
        </is>
      </c>
      <c r="B363" s="260" t="inlineStr">
        <is>
          <t>061-二次</t>
        </is>
      </c>
      <c r="C363" s="260" t="inlineStr">
        <is>
          <t>Adrian</t>
        </is>
      </c>
      <c r="D363" s="261" t="inlineStr">
        <is>
          <t>干预</t>
        </is>
      </c>
      <c r="E363" s="261" t="inlineStr">
        <is>
          <t>已补入</t>
        </is>
      </c>
      <c r="F363" s="261" t="inlineStr">
        <is>
          <t>三项目标合计百分比；不拆分项目。统一取第一轮A1–B1。</t>
        </is>
      </c>
      <c r="G363" s="260" t="inlineStr">
        <is>
          <t>Figure 1，PDF第13页/印刷526页，第4面板（Adrian），实心圆；第一次Baseline A（会话1–5）vs第一次Treatment B（会话6–10）；第二轮A/B不另增加K。</t>
        </is>
      </c>
      <c r="H363" s="261" t="inlineStr">
        <is>
          <t>原始PDF方法与图表交叉复核；按实心标记逐点读取，基线Kendall τ-b双侧检验。</t>
        </is>
      </c>
      <c r="I363" s="261" t="inlineStr">
        <is>
          <t>F:/元分析-写作/补充文献，等做完正文再补充/再补/061-二次-E-以课堂同伴为视频示范者提高孤独症儿童社会沟通技能.pdf</t>
        </is>
      </c>
    </row>
    <row r="364" ht="48" customHeight="1" s="176">
      <c r="A364" s="260" t="inlineStr">
        <is>
          <t>K570</t>
        </is>
      </c>
      <c r="B364" s="260" t="inlineStr">
        <is>
          <t>061-二次</t>
        </is>
      </c>
      <c r="C364" s="260" t="inlineStr">
        <is>
          <t>Sue</t>
        </is>
      </c>
      <c r="D364" s="261" t="inlineStr">
        <is>
          <t>干预</t>
        </is>
      </c>
      <c r="E364" s="261" t="inlineStr">
        <is>
          <t>已补入</t>
        </is>
      </c>
      <c r="F364" s="261" t="inlineStr">
        <is>
          <t>三项目标合计百分比；不拆分项目。统一取第一轮A1–B1。</t>
        </is>
      </c>
      <c r="G364" s="260" t="inlineStr">
        <is>
          <t>Figure 1，PDF第13页/印刷526页，第5面板（Sue），实心圆；第一次Baseline A（会话1–5）vs第一次Treatment B（会话6–10）；第二轮A/B不另增加K。</t>
        </is>
      </c>
      <c r="H364" s="261" t="inlineStr">
        <is>
          <t>原始PDF方法与图表交叉复核；按实心标记逐点读取，基线Kendall τ-b双侧检验。</t>
        </is>
      </c>
      <c r="I364" s="261" t="inlineStr">
        <is>
          <t>F:/元分析-写作/补充文献，等做完正文再补充/再补/061-二次-E-以课堂同伴为视频示范者提高孤独症儿童社会沟通技能.pdf</t>
        </is>
      </c>
    </row>
    <row r="365" ht="48" customHeight="1" s="176">
      <c r="A365" s="260" t="inlineStr">
        <is>
          <t>K571</t>
        </is>
      </c>
      <c r="B365" s="260" t="inlineStr">
        <is>
          <t>061-二次</t>
        </is>
      </c>
      <c r="C365" s="260" t="inlineStr">
        <is>
          <t>Wes</t>
        </is>
      </c>
      <c r="D365" s="261" t="inlineStr">
        <is>
          <t>干预</t>
        </is>
      </c>
      <c r="E365" s="261" t="inlineStr">
        <is>
          <t>已补入</t>
        </is>
      </c>
      <c r="F365" s="261" t="inlineStr">
        <is>
          <t>三项目标合计百分比；不拆分项目。统一取第一轮A1–B1。</t>
        </is>
      </c>
      <c r="G365" s="260" t="inlineStr">
        <is>
          <t>Figure 1，PDF第13页/印刷526页，第6面板（Wes），实心圆；第一次Baseline A（会话1–5）vs第一次Treatment B（会话6–10）；第二轮A/B不另增加K。</t>
        </is>
      </c>
      <c r="H365" s="261" t="inlineStr">
        <is>
          <t>原始PDF方法与图表交叉复核；按实心标记逐点读取，基线Kendall τ-b双侧检验。</t>
        </is>
      </c>
      <c r="I365" s="261" t="inlineStr">
        <is>
          <t>F:/元分析-写作/补充文献，等做完正文再补充/再补/061-二次-E-以课堂同伴为视频示范者提高孤独症儿童社会沟通技能.pdf</t>
        </is>
      </c>
    </row>
    <row r="366" ht="48" customHeight="1" s="176">
      <c r="A366" s="260" t="inlineStr">
        <is>
          <t>K572</t>
        </is>
      </c>
      <c r="B366" s="260" t="inlineStr">
        <is>
          <t>061-二次</t>
        </is>
      </c>
      <c r="C366" s="260" t="inlineStr">
        <is>
          <t>Kade</t>
        </is>
      </c>
      <c r="D366" s="261" t="inlineStr">
        <is>
          <t>干预</t>
        </is>
      </c>
      <c r="E366" s="261" t="inlineStr">
        <is>
          <t>已补入</t>
        </is>
      </c>
      <c r="F366" s="261" t="inlineStr">
        <is>
          <t>三项目标合计百分比；不拆分项目。正文称10次干预，图可辨9点，以图为准。</t>
        </is>
      </c>
      <c r="G366" s="260" t="inlineStr">
        <is>
          <t>Figure 2，PDF第14页/印刷527页，第1面板（Kade），实心圆；两个首次VM前Baseline A（会话1–10）vs连续两个Treatment B（会话11–19）；B1五点、B2四点。</t>
        </is>
      </c>
      <c r="H366" s="261" t="inlineStr">
        <is>
          <t>原始PDF方法与图表交叉复核；按实心标记逐点读取，基线Kendall τ-b双侧检验。</t>
        </is>
      </c>
      <c r="I366" s="261" t="inlineStr">
        <is>
          <t>F:/元分析-写作/补充文献，等做完正文再补充/再补/061-二次-E-以课堂同伴为视频示范者提高孤独症儿童社会沟通技能.pdf</t>
        </is>
      </c>
    </row>
    <row r="367" ht="48" customHeight="1" s="176">
      <c r="A367" s="260" t="inlineStr">
        <is>
          <t>K573</t>
        </is>
      </c>
      <c r="B367" s="260" t="inlineStr">
        <is>
          <t>061-二次</t>
        </is>
      </c>
      <c r="C367" s="260" t="inlineStr">
        <is>
          <t>Hank</t>
        </is>
      </c>
      <c r="D367" s="261" t="inlineStr">
        <is>
          <t>干预</t>
        </is>
      </c>
      <c r="E367" s="261" t="inlineStr">
        <is>
          <t>已补入</t>
        </is>
      </c>
      <c r="F367" s="261" t="inlineStr">
        <is>
          <t>三项目标合计百分比；不拆分项目。正文称10次干预，图可辨9点，以图为准。</t>
        </is>
      </c>
      <c r="G367" s="260" t="inlineStr">
        <is>
          <t>Figure 2，PDF第14页/印刷527页，第2面板（Hank），实心圆；两个首次VM前Baseline A（会话1–10）vs连续两个Treatment B（会话11–19）；B1五点、B2四点。</t>
        </is>
      </c>
      <c r="H367" s="261" t="inlineStr">
        <is>
          <t>原始PDF方法与图表交叉复核；按实心标记逐点读取，基线Kendall τ-b双侧检验。</t>
        </is>
      </c>
      <c r="I367" s="261" t="inlineStr">
        <is>
          <t>F:/元分析-写作/补充文献，等做完正文再补充/再补/061-二次-E-以课堂同伴为视频示范者提高孤独症儿童社会沟通技能.pdf</t>
        </is>
      </c>
    </row>
    <row r="368" ht="48" customHeight="1" s="176"/>
    <row r="369" ht="48" customHeight="1" s="176"/>
    <row r="370" ht="64.15000000000001" customHeight="1" s="176"/>
    <row r="371" ht="64.15000000000001" customHeight="1" s="176"/>
    <row r="372" ht="64.15000000000001" customHeight="1" s="176"/>
    <row r="373" ht="64.15000000000001" customHeight="1" s="176"/>
    <row r="374" ht="64.15000000000001" customHeight="1" s="176"/>
    <row r="375" ht="64.15000000000001" customHeight="1" s="176"/>
    <row r="376" ht="64.15000000000001" customHeight="1" s="176"/>
    <row r="377" ht="64.15000000000001" customHeight="1" s="176"/>
    <row r="378" ht="64.15000000000001" customHeight="1" s="176"/>
    <row r="379" ht="64.15000000000001" customHeight="1" s="176"/>
    <row r="380" ht="64.15000000000001" customHeight="1" s="176"/>
    <row r="381" ht="64.15000000000001" customHeight="1" s="176"/>
    <row r="382" ht="64.15000000000001" customHeight="1" s="176"/>
    <row r="383" ht="64.15000000000001" customHeight="1" s="176"/>
    <row r="384" ht="64.15000000000001" customHeight="1" s="176"/>
    <row r="385" ht="64.15000000000001" customHeight="1" s="176"/>
    <row r="386" ht="64.15000000000001" customHeight="1" s="176"/>
    <row r="387" ht="64.15000000000001" customHeight="1" s="176"/>
    <row r="388" ht="64.15000000000001" customHeight="1" s="176"/>
    <row r="389" ht="64.15000000000001" customHeight="1" s="176"/>
    <row r="390" ht="64.15000000000001" customHeight="1" s="176"/>
    <row r="391" ht="64.15000000000001" customHeight="1" s="176"/>
    <row r="392" ht="64.15000000000001" customHeight="1" s="176"/>
    <row r="393" ht="64.15000000000001" customHeight="1" s="176"/>
    <row r="394" ht="120" customHeight="1" s="176"/>
    <row r="395" ht="120" customHeight="1" s="176"/>
    <row r="396" ht="120" customHeight="1" s="176"/>
    <row r="397" ht="120" customHeight="1" s="176"/>
    <row r="398" ht="120" customHeight="1" s="176"/>
    <row r="399" ht="120" customHeight="1" s="176"/>
    <row r="400" ht="120" customHeight="1" s="176"/>
    <row r="401" ht="120" customHeight="1" s="176"/>
    <row r="402" ht="120" customHeight="1" s="176"/>
    <row r="403" ht="120" customHeight="1" s="176"/>
  </sheetData>
  <mergeCells count="2">
    <mergeCell ref="A1:I1"/>
    <mergeCell ref="A2:I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2026-10-12T11:17:39Z</dcterms:created>
  <dcterms:modified xmlns:dcterms="http://purl.org/dc/terms/" xmlns:xsi="http://www.w3.org/2001/XMLSchema-instance" xsi:type="dcterms:W3CDTF">2026-10-24T05:01:15Z</dcterms:modified>
  <cp:revision>0</cp:revision>
</cp:coreProperties>
</file>