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说明" sheetId="1" state="visible" r:id="rId1"/>
    <sheet xmlns:r="http://schemas.openxmlformats.org/officeDocument/2006/relationships" name="K分组表" sheetId="2" state="visible" r:id="rId2"/>
    <sheet xmlns:r="http://schemas.openxmlformats.org/officeDocument/2006/relationships" name="类型说明" sheetId="3" state="visible" r:id="rId3"/>
    <sheet xmlns:r="http://schemas.openxmlformats.org/officeDocument/2006/relationships" name="Tau-U数据" sheetId="4" state="visible" r:id="rId4"/>
    <sheet xmlns:r="http://schemas.openxmlformats.org/officeDocument/2006/relationships" name="Tau-U填写说明" sheetId="5" state="visible" r:id="rId5"/>
    <sheet xmlns:r="http://schemas.openxmlformats.org/officeDocument/2006/relationships" name="各组汇总" sheetId="6" state="visible" r:id="rId6"/>
  </sheets>
  <definedNames>
    <definedName name="_xlnm._FilterDatabase" localSheetId="1" hidden="1">'K分组表'!$A$1:$J$394</definedName>
    <definedName name="_xlnm._FilterDatabase" localSheetId="3" hidden="1">'Tau-U数据'!$A$1:$N$394</definedName>
  </definedNames>
  <calcPr calcId="124519" calcMode="auto" fullCalcOnLoad="1" refMode="A1" iterate="0" iterateCount="100" iterateDelta="0.0001" forceFullCalc="1"/>
</workbook>
</file>

<file path=xl/styles.xml><?xml version="1.0" encoding="utf-8"?>
<styleSheet xmlns="http://schemas.openxmlformats.org/spreadsheetml/2006/main">
  <numFmts count="1">
    <numFmt numFmtId="164" formatCode="0.000"/>
  </numFmts>
  <fonts count="32">
    <font>
      <name val="Calibri"/>
      <charset val="1"/>
      <family val="2"/>
      <color theme="1"/>
      <sz val="11"/>
    </font>
    <font>
      <name val="Arial"/>
      <family val="0"/>
      <sz val="10"/>
    </font>
    <font>
      <name val="Arial"/>
      <family val="0"/>
      <sz val="10"/>
    </font>
    <font>
      <name val="Arial"/>
      <family val="0"/>
      <sz val="10"/>
    </font>
    <font>
      <name val="Noto Sans CJK SC"/>
      <charset val="1"/>
      <family val="0"/>
      <b val="1"/>
      <sz val="12"/>
    </font>
    <font>
      <name val="Noto Sans CJK SC"/>
      <charset val="1"/>
      <family val="0"/>
      <sz val="10"/>
    </font>
    <font>
      <name val="Noto Sans CJK SC"/>
      <charset val="1"/>
      <family val="0"/>
      <b val="1"/>
      <sz val="10"/>
    </font>
    <font>
      <name val="Noto Sans CJK SC"/>
      <charset val="1"/>
      <family val="2"/>
      <b val="1"/>
      <sz val="10"/>
    </font>
    <font>
      <name val="Noto Sans CJK SC"/>
      <charset val="1"/>
      <family val="2"/>
      <sz val="10"/>
    </font>
    <font>
      <name val="Arial"/>
      <charset val="1"/>
      <family val="0"/>
      <sz val="10"/>
    </font>
    <font>
      <name val="Noto Sans CJK SC"/>
      <family val="2"/>
      <sz val="10"/>
    </font>
    <font>
      <name val="Arial"/>
      <charset val="1"/>
      <family val="0"/>
      <b val="1"/>
      <sz val="10"/>
    </font>
    <font>
      <name val="Noto Sans CJK SC"/>
      <family val="2"/>
      <b val="1"/>
      <sz val="10"/>
    </font>
    <font>
      <name val="Arial"/>
      <charset val="1"/>
      <family val="0"/>
      <b val="1"/>
      <sz val="12"/>
    </font>
    <font>
      <name val="Noto Sans CJK SC"/>
      <family val="2"/>
      <b val="1"/>
      <sz val="12"/>
    </font>
    <font>
      <name val="Noto Sans CJK SC"/>
      <charset val="1"/>
      <family val="0"/>
      <b val="1"/>
      <sz val="11"/>
    </font>
    <font>
      <name val="Calibri"/>
      <family val="2"/>
      <color theme="1"/>
      <sz val="11"/>
    </font>
    <font>
      <name val="Arial"/>
      <sz val="10"/>
    </font>
    <font>
      <name val="Arial"/>
      <sz val="10"/>
    </font>
    <font>
      <name val="Arial"/>
      <sz val="10"/>
    </font>
    <font>
      <name val="Noto Sans CJK SC"/>
      <b val="1"/>
      <sz val="12"/>
    </font>
    <font>
      <name val="Noto Sans CJK SC"/>
      <sz val="10"/>
    </font>
    <font>
      <name val="Noto Sans CJK SC"/>
      <b val="1"/>
      <sz val="10"/>
    </font>
    <font>
      <name val="Noto Sans CJK SC"/>
      <family val="2"/>
      <b val="1"/>
      <sz val="10"/>
    </font>
    <font>
      <name val="Noto Sans CJK SC"/>
      <family val="2"/>
      <sz val="10"/>
    </font>
    <font>
      <name val="Arial"/>
      <sz val="10"/>
    </font>
    <font>
      <name val="Noto Sans CJK SC"/>
      <family val="2"/>
      <sz val="10"/>
    </font>
    <font>
      <name val="Arial"/>
      <b val="1"/>
      <sz val="10"/>
    </font>
    <font>
      <name val="Noto Sans CJK SC"/>
      <family val="2"/>
      <b val="1"/>
      <sz val="10"/>
    </font>
    <font>
      <name val="Arial"/>
      <b val="1"/>
      <sz val="12"/>
    </font>
    <font>
      <name val="Noto Sans CJK SC"/>
      <family val="2"/>
      <b val="1"/>
      <sz val="12"/>
    </font>
    <font>
      <name val="Noto Sans CJK SC"/>
      <b val="1"/>
      <sz val="11"/>
    </font>
  </fonts>
  <fills count="16">
    <fill>
      <patternFill/>
    </fill>
    <fill>
      <patternFill patternType="gray125"/>
    </fill>
    <fill>
      <patternFill patternType="solid">
        <fgColor rgb="FFD9E1F2"/>
        <bgColor rgb="FFE4DFEC"/>
      </patternFill>
    </fill>
    <fill>
      <patternFill patternType="solid">
        <fgColor rgb="FFDDEBF7"/>
        <bgColor rgb="FFD9E1F2"/>
      </patternFill>
    </fill>
    <fill>
      <patternFill patternType="solid">
        <fgColor rgb="FFFCE4D6"/>
        <bgColor rgb="FFE4DFEC"/>
      </patternFill>
    </fill>
    <fill>
      <patternFill patternType="solid">
        <fgColor rgb="FFE2EFDA"/>
        <bgColor rgb="FFDDEBF7"/>
      </patternFill>
    </fill>
    <fill>
      <patternFill patternType="solid">
        <fgColor rgb="FFE4DFEC"/>
        <bgColor rgb="FFD9E1F2"/>
      </patternFill>
    </fill>
    <fill>
      <patternFill/>
    </fill>
    <fill>
      <patternFill patternType="gray125"/>
    </fill>
    <fill>
      <patternFill patternType="solid">
        <fgColor rgb="FFD9E1F2"/>
      </patternFill>
    </fill>
    <fill>
      <patternFill patternType="solid">
        <fgColor rgb="FFDDEBF7"/>
      </patternFill>
    </fill>
    <fill>
      <patternFill patternType="solid">
        <fgColor rgb="FFFCE4D6"/>
      </patternFill>
    </fill>
    <fill>
      <patternFill patternType="solid">
        <fgColor rgb="FFE2EFDA"/>
      </patternFill>
    </fill>
    <fill>
      <patternFill patternType="solid">
        <fgColor rgb="FFE4DFEC"/>
      </patternFill>
    </fill>
    <fill>
      <patternFill patternType="solid">
        <fgColor rgb="FFE2F0D9"/>
      </patternFill>
    </fill>
    <fill>
      <patternFill patternType="solid">
        <fgColor rgb="FFFFF2CC"/>
      </patternFill>
    </fill>
  </fills>
  <borders count="2">
    <border>
      <left/>
      <right/>
      <top/>
      <bottom/>
      <diagonal/>
    </border>
    <border>
      <left/>
      <right/>
      <top/>
      <bottom/>
      <diagonal/>
    </border>
  </borders>
  <cellStyleXfs count="6">
    <xf numFmtId="0" fontId="0" fillId="7" borderId="1" applyAlignment="1">
      <alignment horizontal="general" vertical="bottom"/>
    </xf>
    <xf numFmtId="43" fontId="3" fillId="7" borderId="1"/>
    <xf numFmtId="41" fontId="3" fillId="7" borderId="1"/>
    <xf numFmtId="44" fontId="3" fillId="7" borderId="1"/>
    <xf numFmtId="42" fontId="3" fillId="7" borderId="1"/>
    <xf numFmtId="9" fontId="3" fillId="7" borderId="1"/>
  </cellStyleXfs>
  <cellXfs count="16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6" fillId="2" borderId="0" applyAlignment="1" pivotButton="0" quotePrefix="0" xfId="0">
      <alignment horizontal="center" vertical="center" wrapText="1"/>
    </xf>
    <xf numFmtId="0" fontId="9" fillId="0" borderId="0" applyAlignment="1" pivotButton="0" quotePrefix="0" xfId="0">
      <alignment horizontal="general" vertical="top"/>
    </xf>
    <xf numFmtId="0" fontId="5" fillId="0" borderId="0" applyAlignment="1" pivotButton="0" quotePrefix="0" xfId="0">
      <alignment horizontal="general" vertical="top"/>
    </xf>
    <xf numFmtId="0" fontId="9" fillId="3" borderId="0" applyAlignment="1" pivotButton="0" quotePrefix="0" xfId="0">
      <alignment horizontal="general" vertical="top"/>
    </xf>
    <xf numFmtId="0" fontId="5" fillId="3" borderId="0" applyAlignment="1" pivotButton="0" quotePrefix="0" xfId="0">
      <alignment horizontal="general" vertical="top"/>
    </xf>
    <xf numFmtId="0" fontId="9" fillId="4" borderId="0" applyAlignment="1" pivotButton="0" quotePrefix="0" xfId="0">
      <alignment horizontal="general" vertical="top"/>
    </xf>
    <xf numFmtId="0" fontId="5" fillId="4" borderId="0" applyAlignment="1" pivotButton="0" quotePrefix="0" xfId="0">
      <alignment horizontal="general" vertical="top"/>
    </xf>
    <xf numFmtId="0" fontId="9" fillId="5" borderId="0" applyAlignment="1" pivotButton="0" quotePrefix="0" xfId="0">
      <alignment horizontal="general" vertical="top"/>
    </xf>
    <xf numFmtId="0" fontId="5" fillId="5" borderId="0" applyAlignment="1" pivotButton="0" quotePrefix="0" xfId="0">
      <alignment horizontal="general" vertical="top"/>
    </xf>
    <xf numFmtId="0" fontId="9" fillId="3" borderId="0" applyAlignment="1" pivotButton="0" quotePrefix="0" xfId="0">
      <alignment horizontal="general" vertical="top" wrapText="1"/>
    </xf>
    <xf numFmtId="0" fontId="5" fillId="3" borderId="0" applyAlignment="1" pivotButton="0" quotePrefix="0" xfId="0">
      <alignment horizontal="general" vertical="top" wrapText="1"/>
    </xf>
    <xf numFmtId="0" fontId="9" fillId="4" borderId="0" applyAlignment="1" pivotButton="0" quotePrefix="0" xfId="0">
      <alignment horizontal="general" vertical="top" wrapText="1"/>
    </xf>
    <xf numFmtId="0" fontId="5" fillId="4" borderId="0" applyAlignment="1" pivotButton="0" quotePrefix="0" xfId="0">
      <alignment horizontal="general" vertical="top" wrapText="1"/>
    </xf>
    <xf numFmtId="0" fontId="9" fillId="5" borderId="0" applyAlignment="1" pivotButton="0" quotePrefix="0" xfId="0">
      <alignment horizontal="general" vertical="top" wrapText="1"/>
    </xf>
    <xf numFmtId="0" fontId="5" fillId="5" borderId="0" applyAlignment="1" pivotButton="0" quotePrefix="0" xfId="0">
      <alignment horizontal="general" vertical="top" wrapText="1"/>
    </xf>
    <xf numFmtId="0" fontId="11" fillId="2" borderId="0" applyAlignment="1" pivotButton="0" quotePrefix="0" xfId="0">
      <alignment horizontal="general" vertical="center" wrapText="1"/>
    </xf>
    <xf numFmtId="0" fontId="7" fillId="2" borderId="0" applyAlignment="1" pivotButton="0" quotePrefix="0" xfId="0">
      <alignment horizontal="general" vertical="center" wrapText="1"/>
    </xf>
    <xf numFmtId="0" fontId="8" fillId="0" borderId="0" applyAlignment="1" pivotButton="0" quotePrefix="0" xfId="0">
      <alignment horizontal="general" vertical="top"/>
    </xf>
    <xf numFmtId="164" fontId="9" fillId="0" borderId="0" applyAlignment="1" pivotButton="0" quotePrefix="0" xfId="0">
      <alignment horizontal="general" vertical="top"/>
    </xf>
    <xf numFmtId="0" fontId="8" fillId="3" borderId="0" applyAlignment="1" pivotButton="0" quotePrefix="0" xfId="0">
      <alignment horizontal="general" vertical="top"/>
    </xf>
    <xf numFmtId="164" fontId="9" fillId="3" borderId="0" applyAlignment="1" pivotButton="0" quotePrefix="0" xfId="0">
      <alignment horizontal="general" vertical="top"/>
    </xf>
    <xf numFmtId="0" fontId="8" fillId="5" borderId="0" applyAlignment="1" pivotButton="0" quotePrefix="0" xfId="0">
      <alignment horizontal="general" vertical="top"/>
    </xf>
    <xf numFmtId="164" fontId="9" fillId="5" borderId="0" applyAlignment="1" pivotButton="0" quotePrefix="0" xfId="0">
      <alignment horizontal="general" vertical="top"/>
    </xf>
    <xf numFmtId="0" fontId="8" fillId="4" borderId="0" applyAlignment="1" pivotButton="0" quotePrefix="0" xfId="0">
      <alignment horizontal="general" vertical="top"/>
    </xf>
    <xf numFmtId="164" fontId="9" fillId="4" borderId="0" applyAlignment="1" pivotButton="0" quotePrefix="0" xfId="0">
      <alignment horizontal="general" vertical="top"/>
    </xf>
    <xf numFmtId="0" fontId="9" fillId="6" borderId="0" applyAlignment="1" pivotButton="0" quotePrefix="0" xfId="0">
      <alignment horizontal="general" vertical="top" wrapText="1"/>
    </xf>
    <xf numFmtId="0" fontId="9" fillId="6" borderId="0" applyAlignment="1" pivotButton="0" quotePrefix="0" xfId="0">
      <alignment horizontal="general" vertical="top"/>
    </xf>
    <xf numFmtId="0" fontId="8" fillId="6" borderId="0" applyAlignment="1" pivotButton="0" quotePrefix="0" xfId="0">
      <alignment horizontal="general" vertical="top"/>
    </xf>
    <xf numFmtId="164" fontId="9" fillId="6" borderId="0" applyAlignment="1" pivotButton="0" quotePrefix="0" xfId="0">
      <alignment horizontal="general" vertical="top"/>
    </xf>
    <xf numFmtId="0" fontId="8" fillId="4" borderId="0" applyAlignment="1" pivotButton="0" quotePrefix="0" xfId="0">
      <alignment horizontal="general" vertical="top" wrapText="1"/>
    </xf>
    <xf numFmtId="0" fontId="13"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15" fillId="0" borderId="0" applyAlignment="1" pivotButton="0" quotePrefix="0" xfId="0">
      <alignment horizontal="general" vertical="bottom"/>
    </xf>
    <xf numFmtId="0" fontId="5" fillId="0" borderId="0" applyAlignment="1" pivotButton="0" quotePrefix="0" xfId="0">
      <alignment horizontal="general" vertical="bottom"/>
    </xf>
    <xf numFmtId="0" fontId="5" fillId="3" borderId="0" applyAlignment="1" pivotButton="0" quotePrefix="0" xfId="0">
      <alignment horizontal="general" vertical="bottom"/>
    </xf>
    <xf numFmtId="0" fontId="9" fillId="0" borderId="0" applyAlignment="1" pivotButton="0" quotePrefix="0" xfId="0">
      <alignment horizontal="general" vertical="bottom"/>
    </xf>
    <xf numFmtId="0" fontId="5" fillId="4" borderId="0" applyAlignment="1" pivotButton="0" quotePrefix="0" xfId="0">
      <alignment horizontal="general" vertical="bottom"/>
    </xf>
    <xf numFmtId="0" fontId="5" fillId="5" borderId="0" applyAlignment="1" pivotButton="0" quotePrefix="0" xfId="0">
      <alignment horizontal="general" vertical="bottom"/>
    </xf>
    <xf numFmtId="0" fontId="16" fillId="7" borderId="1" applyAlignment="1" pivotButton="0" quotePrefix="0" xfId="20">
      <alignment horizontal="general" vertical="bottom"/>
    </xf>
    <xf numFmtId="0" fontId="16" fillId="7" borderId="1" applyAlignment="1" pivotButton="0" quotePrefix="0" xfId="20">
      <alignment horizontal="general" vertical="bottom"/>
    </xf>
    <xf numFmtId="0" fontId="20" fillId="7" borderId="1" applyAlignment="1" pivotButton="0" quotePrefix="0" xfId="20">
      <alignment horizontal="general" vertical="top"/>
    </xf>
    <xf numFmtId="0" fontId="21" fillId="7" borderId="1" applyAlignment="1" pivotButton="0" quotePrefix="0" xfId="20">
      <alignment horizontal="general" vertical="top" wrapText="1"/>
    </xf>
    <xf numFmtId="0" fontId="22" fillId="7" borderId="1" applyAlignment="1" pivotButton="0" quotePrefix="0" xfId="20">
      <alignment horizontal="general" vertical="top"/>
    </xf>
    <xf numFmtId="0" fontId="23" fillId="7" borderId="1" applyAlignment="1" pivotButton="0" quotePrefix="0" xfId="20">
      <alignment horizontal="general" vertical="top" wrapText="1"/>
    </xf>
    <xf numFmtId="0" fontId="24" fillId="7" borderId="1" applyAlignment="1" pivotButton="0" quotePrefix="0" xfId="20">
      <alignment horizontal="general" vertical="top" wrapText="1"/>
    </xf>
    <xf numFmtId="0" fontId="25" fillId="7" borderId="1" applyAlignment="1" pivotButton="0" quotePrefix="0" xfId="20">
      <alignment horizontal="general" vertical="top" wrapText="1"/>
    </xf>
    <xf numFmtId="0" fontId="22" fillId="9" borderId="1" applyAlignment="1" pivotButton="0" quotePrefix="0" xfId="20">
      <alignment horizontal="center" vertical="center" wrapText="1"/>
    </xf>
    <xf numFmtId="0" fontId="25" fillId="7" borderId="1" applyAlignment="1" pivotButton="0" quotePrefix="0" xfId="20">
      <alignment horizontal="general" vertical="top"/>
    </xf>
    <xf numFmtId="0" fontId="21" fillId="7" borderId="1" applyAlignment="1" pivotButton="0" quotePrefix="0" xfId="20">
      <alignment horizontal="general" vertical="top"/>
    </xf>
    <xf numFmtId="0" fontId="25" fillId="10" borderId="1" applyAlignment="1" pivotButton="0" quotePrefix="0" xfId="20">
      <alignment horizontal="general" vertical="top"/>
    </xf>
    <xf numFmtId="0" fontId="21" fillId="10" borderId="1" applyAlignment="1" pivotButton="0" quotePrefix="0" xfId="20">
      <alignment horizontal="general" vertical="top"/>
    </xf>
    <xf numFmtId="0" fontId="25" fillId="11" borderId="1" applyAlignment="1" pivotButton="0" quotePrefix="0" xfId="20">
      <alignment horizontal="general" vertical="top"/>
    </xf>
    <xf numFmtId="0" fontId="21" fillId="11" borderId="1" applyAlignment="1" pivotButton="0" quotePrefix="0" xfId="20">
      <alignment horizontal="general" vertical="top"/>
    </xf>
    <xf numFmtId="0" fontId="25" fillId="12" borderId="1" applyAlignment="1" pivotButton="0" quotePrefix="0" xfId="20">
      <alignment horizontal="general" vertical="top"/>
    </xf>
    <xf numFmtId="0" fontId="21" fillId="12" borderId="1" applyAlignment="1" pivotButton="0" quotePrefix="0" xfId="20">
      <alignment horizontal="general" vertical="top"/>
    </xf>
    <xf numFmtId="0" fontId="25" fillId="10" borderId="1" applyAlignment="1" pivotButton="0" quotePrefix="0" xfId="20">
      <alignment horizontal="general" vertical="top" wrapText="1"/>
    </xf>
    <xf numFmtId="0" fontId="21" fillId="10" borderId="1" applyAlignment="1" pivotButton="0" quotePrefix="0" xfId="20">
      <alignment horizontal="general" vertical="top" wrapText="1"/>
    </xf>
    <xf numFmtId="0" fontId="25" fillId="11" borderId="1" applyAlignment="1" pivotButton="0" quotePrefix="0" xfId="20">
      <alignment horizontal="general" vertical="top" wrapText="1"/>
    </xf>
    <xf numFmtId="0" fontId="21" fillId="11" borderId="1" applyAlignment="1" pivotButton="0" quotePrefix="0" xfId="20">
      <alignment horizontal="general" vertical="top" wrapText="1"/>
    </xf>
    <xf numFmtId="0" fontId="25" fillId="12" borderId="1" applyAlignment="1" pivotButton="0" quotePrefix="0" xfId="20">
      <alignment horizontal="general" vertical="top" wrapText="1"/>
    </xf>
    <xf numFmtId="0" fontId="21" fillId="12" borderId="1" applyAlignment="1" pivotButton="0" quotePrefix="0" xfId="20">
      <alignment horizontal="general" vertical="top" wrapText="1"/>
    </xf>
    <xf numFmtId="0" fontId="27" fillId="9" borderId="1" applyAlignment="1" pivotButton="0" quotePrefix="0" xfId="20">
      <alignment horizontal="general" vertical="center" wrapText="1"/>
    </xf>
    <xf numFmtId="0" fontId="23" fillId="9" borderId="1" applyAlignment="1" pivotButton="0" quotePrefix="0" xfId="20">
      <alignment horizontal="general" vertical="center" wrapText="1"/>
    </xf>
    <xf numFmtId="0" fontId="24" fillId="7" borderId="1" applyAlignment="1" pivotButton="0" quotePrefix="0" xfId="20">
      <alignment horizontal="general" vertical="top"/>
    </xf>
    <xf numFmtId="164" fontId="25" fillId="7" borderId="1" applyAlignment="1" pivotButton="0" quotePrefix="0" xfId="20">
      <alignment horizontal="general" vertical="top"/>
    </xf>
    <xf numFmtId="0" fontId="24" fillId="10" borderId="1" applyAlignment="1" pivotButton="0" quotePrefix="0" xfId="20">
      <alignment horizontal="general" vertical="top"/>
    </xf>
    <xf numFmtId="164" fontId="25" fillId="10" borderId="1" applyAlignment="1" pivotButton="0" quotePrefix="0" xfId="20">
      <alignment horizontal="general" vertical="top"/>
    </xf>
    <xf numFmtId="0" fontId="24" fillId="12" borderId="1" applyAlignment="1" pivotButton="0" quotePrefix="0" xfId="20">
      <alignment horizontal="general" vertical="top"/>
    </xf>
    <xf numFmtId="164" fontId="25" fillId="12" borderId="1" applyAlignment="1" pivotButton="0" quotePrefix="0" xfId="20">
      <alignment horizontal="general" vertical="top"/>
    </xf>
    <xf numFmtId="0" fontId="24" fillId="11" borderId="1" applyAlignment="1" pivotButton="0" quotePrefix="0" xfId="20">
      <alignment horizontal="general" vertical="top"/>
    </xf>
    <xf numFmtId="164" fontId="25" fillId="11" borderId="1" applyAlignment="1" pivotButton="0" quotePrefix="0" xfId="20">
      <alignment horizontal="general" vertical="top"/>
    </xf>
    <xf numFmtId="0" fontId="25" fillId="13" borderId="1" applyAlignment="1" pivotButton="0" quotePrefix="0" xfId="20">
      <alignment horizontal="general" vertical="top" wrapText="1"/>
    </xf>
    <xf numFmtId="0" fontId="25" fillId="13" borderId="1" applyAlignment="1" pivotButton="0" quotePrefix="0" xfId="20">
      <alignment horizontal="general" vertical="top"/>
    </xf>
    <xf numFmtId="0" fontId="24" fillId="13" borderId="1" applyAlignment="1" pivotButton="0" quotePrefix="0" xfId="20">
      <alignment horizontal="general" vertical="top"/>
    </xf>
    <xf numFmtId="164" fontId="25" fillId="13" borderId="1" applyAlignment="1" pivotButton="0" quotePrefix="0" xfId="20">
      <alignment horizontal="general" vertical="top"/>
    </xf>
    <xf numFmtId="0" fontId="24" fillId="11" borderId="1" applyAlignment="1" pivotButton="0" quotePrefix="0" xfId="20">
      <alignment horizontal="general" vertical="top" wrapText="1"/>
    </xf>
    <xf numFmtId="0" fontId="29" fillId="7" borderId="1" applyAlignment="1" pivotButton="0" quotePrefix="0" xfId="20">
      <alignment horizontal="general" vertical="top" wrapText="1"/>
    </xf>
    <xf numFmtId="0" fontId="27" fillId="7" borderId="1" applyAlignment="1" pivotButton="0" quotePrefix="0" xfId="20">
      <alignment horizontal="general" vertical="top" wrapText="1"/>
    </xf>
    <xf numFmtId="0" fontId="31" fillId="7" borderId="1" applyAlignment="1" pivotButton="0" quotePrefix="0" xfId="20">
      <alignment horizontal="general" vertical="bottom"/>
    </xf>
    <xf numFmtId="0" fontId="21" fillId="7" borderId="1" applyAlignment="1" pivotButton="0" quotePrefix="0" xfId="20">
      <alignment horizontal="general" vertical="bottom"/>
    </xf>
    <xf numFmtId="0" fontId="21" fillId="10" borderId="1" applyAlignment="1" pivotButton="0" quotePrefix="0" xfId="20">
      <alignment horizontal="general" vertical="bottom"/>
    </xf>
    <xf numFmtId="0" fontId="25" fillId="7" borderId="1" applyAlignment="1" pivotButton="0" quotePrefix="0" xfId="20">
      <alignment horizontal="general" vertical="bottom"/>
    </xf>
    <xf numFmtId="0" fontId="21" fillId="11" borderId="1" applyAlignment="1" pivotButton="0" quotePrefix="0" xfId="20">
      <alignment horizontal="general" vertical="bottom"/>
    </xf>
    <xf numFmtId="0" fontId="21" fillId="12" borderId="1" applyAlignment="1" pivotButton="0" quotePrefix="0" xfId="20">
      <alignment horizontal="general" vertical="bottom"/>
    </xf>
    <xf numFmtId="0" fontId="17" fillId="7" borderId="1" applyAlignment="1" pivotButton="0" quotePrefix="0" xfId="20">
      <alignment horizontal="general" vertical="top"/>
    </xf>
    <xf numFmtId="0" fontId="17" fillId="11" borderId="1" applyAlignment="1" pivotButton="0" quotePrefix="0" xfId="20">
      <alignment horizontal="general" vertical="top"/>
    </xf>
    <xf numFmtId="0" fontId="17" fillId="12" borderId="1" applyAlignment="1" pivotButton="0" quotePrefix="0" xfId="20">
      <alignment horizontal="general" vertical="top" wrapText="1"/>
    </xf>
    <xf numFmtId="0" fontId="17" fillId="12" borderId="1" applyAlignment="1" pivotButton="0" quotePrefix="0" xfId="20">
      <alignment horizontal="general" vertical="top"/>
    </xf>
    <xf numFmtId="164" fontId="17" fillId="12" borderId="1" applyAlignment="1" pivotButton="0" quotePrefix="0" xfId="20">
      <alignment horizontal="general" vertical="top"/>
    </xf>
    <xf numFmtId="0" fontId="17" fillId="14" borderId="1" applyAlignment="1" pivotButton="0" quotePrefix="0" xfId="20">
      <alignment horizontal="general" vertical="top"/>
    </xf>
    <xf numFmtId="0" fontId="21" fillId="14" borderId="1" applyAlignment="1" pivotButton="0" quotePrefix="0" xfId="20">
      <alignment horizontal="general" vertical="top"/>
    </xf>
    <xf numFmtId="0" fontId="21" fillId="14" borderId="1" applyAlignment="1" pivotButton="0" quotePrefix="0" xfId="20">
      <alignment horizontal="general" vertical="top" wrapText="1"/>
    </xf>
    <xf numFmtId="0" fontId="24" fillId="14" borderId="1" applyAlignment="1" pivotButton="0" quotePrefix="0" xfId="20">
      <alignment horizontal="general" vertical="top"/>
    </xf>
    <xf numFmtId="0" fontId="24" fillId="14" borderId="1" applyAlignment="1" pivotButton="0" quotePrefix="0" xfId="20">
      <alignment horizontal="general" vertical="top" wrapText="1"/>
    </xf>
    <xf numFmtId="0" fontId="17" fillId="14" borderId="1" applyAlignment="1" pivotButton="0" quotePrefix="0" xfId="20">
      <alignment horizontal="general" vertical="top" wrapText="1"/>
    </xf>
    <xf numFmtId="164" fontId="17" fillId="14" borderId="1" applyAlignment="1" pivotButton="0" quotePrefix="0" xfId="20">
      <alignment horizontal="general" vertical="top"/>
    </xf>
    <xf numFmtId="0" fontId="17" fillId="15" borderId="1" applyAlignment="1" pivotButton="0" quotePrefix="0" xfId="20">
      <alignment horizontal="general" vertical="top"/>
    </xf>
    <xf numFmtId="0" fontId="21" fillId="15" borderId="1" applyAlignment="1" pivotButton="0" quotePrefix="0" xfId="20">
      <alignment horizontal="general" vertical="top"/>
    </xf>
    <xf numFmtId="0" fontId="21" fillId="15" borderId="1" applyAlignment="1" pivotButton="0" quotePrefix="0" xfId="20">
      <alignment horizontal="general" vertical="top" wrapText="1"/>
    </xf>
    <xf numFmtId="0" fontId="17" fillId="14" borderId="1" applyAlignment="1" pivotButton="0" quotePrefix="0" xfId="20">
      <alignment horizontal="general" vertical="top"/>
    </xf>
    <xf numFmtId="0" fontId="21" fillId="14" borderId="1" applyAlignment="1" pivotButton="0" quotePrefix="0" xfId="20">
      <alignment horizontal="general" vertical="top"/>
    </xf>
    <xf numFmtId="0" fontId="21" fillId="14" borderId="1" applyAlignment="1" pivotButton="0" quotePrefix="0" xfId="2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xf>
    <xf numFmtId="0" fontId="22" fillId="7" borderId="1" applyAlignment="1" pivotButton="0" quotePrefix="0" xfId="20">
      <alignment horizontal="general" vertical="top"/>
    </xf>
    <xf numFmtId="0" fontId="21" fillId="7" borderId="1" applyAlignment="1" pivotButton="0" quotePrefix="0" xfId="2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6" fillId="2" borderId="0" applyAlignment="1" pivotButton="0" quotePrefix="0" xfId="0">
      <alignment horizontal="center" vertical="center" wrapText="1"/>
    </xf>
    <xf numFmtId="0" fontId="9" fillId="0" borderId="0" applyAlignment="1" pivotButton="0" quotePrefix="0" xfId="0">
      <alignment horizontal="general" vertical="top"/>
    </xf>
    <xf numFmtId="0" fontId="5" fillId="0" borderId="0" applyAlignment="1" pivotButton="0" quotePrefix="0" xfId="0">
      <alignment horizontal="general" vertical="top"/>
    </xf>
    <xf numFmtId="0" fontId="9" fillId="3" borderId="0" applyAlignment="1" pivotButton="0" quotePrefix="0" xfId="0">
      <alignment horizontal="general" vertical="top"/>
    </xf>
    <xf numFmtId="0" fontId="5" fillId="3" borderId="0" applyAlignment="1" pivotButton="0" quotePrefix="0" xfId="0">
      <alignment horizontal="general" vertical="top"/>
    </xf>
    <xf numFmtId="0" fontId="9" fillId="4" borderId="0" applyAlignment="1" pivotButton="0" quotePrefix="0" xfId="0">
      <alignment horizontal="general" vertical="top"/>
    </xf>
    <xf numFmtId="0" fontId="5" fillId="4" borderId="0" applyAlignment="1" pivotButton="0" quotePrefix="0" xfId="0">
      <alignment horizontal="general" vertical="top"/>
    </xf>
    <xf numFmtId="0" fontId="9" fillId="5" borderId="0" applyAlignment="1" pivotButton="0" quotePrefix="0" xfId="0">
      <alignment horizontal="general" vertical="top"/>
    </xf>
    <xf numFmtId="0" fontId="5" fillId="5" borderId="0" applyAlignment="1" pivotButton="0" quotePrefix="0" xfId="0">
      <alignment horizontal="general" vertical="top"/>
    </xf>
    <xf numFmtId="0" fontId="17" fillId="14" borderId="1" applyAlignment="1" pivotButton="0" quotePrefix="0" xfId="20">
      <alignment horizontal="general" vertical="top"/>
    </xf>
    <xf numFmtId="0" fontId="21" fillId="14" borderId="1" applyAlignment="1" pivotButton="0" quotePrefix="0" xfId="20">
      <alignment horizontal="general" vertical="top"/>
    </xf>
    <xf numFmtId="0" fontId="21" fillId="14" borderId="1" applyAlignment="1" pivotButton="0" quotePrefix="0" xfId="20">
      <alignment horizontal="general" vertical="top" wrapText="1"/>
    </xf>
    <xf numFmtId="0" fontId="9" fillId="3" borderId="0" applyAlignment="1" pivotButton="0" quotePrefix="0" xfId="0">
      <alignment horizontal="general" vertical="top" wrapText="1"/>
    </xf>
    <xf numFmtId="0" fontId="5" fillId="3" borderId="0" applyAlignment="1" pivotButton="0" quotePrefix="0" xfId="0">
      <alignment horizontal="general" vertical="top" wrapText="1"/>
    </xf>
    <xf numFmtId="0" fontId="9" fillId="4" borderId="0" applyAlignment="1" pivotButton="0" quotePrefix="0" xfId="0">
      <alignment horizontal="general" vertical="top" wrapText="1"/>
    </xf>
    <xf numFmtId="0" fontId="5" fillId="4" borderId="0" applyAlignment="1" pivotButton="0" quotePrefix="0" xfId="0">
      <alignment horizontal="general" vertical="top" wrapText="1"/>
    </xf>
    <xf numFmtId="0" fontId="9" fillId="5" borderId="0" applyAlignment="1" pivotButton="0" quotePrefix="0" xfId="0">
      <alignment horizontal="general" vertical="top" wrapText="1"/>
    </xf>
    <xf numFmtId="0" fontId="5" fillId="5" borderId="0" applyAlignment="1" pivotButton="0" quotePrefix="0" xfId="0">
      <alignment horizontal="general" vertical="top" wrapText="1"/>
    </xf>
    <xf numFmtId="0" fontId="11" fillId="2" borderId="0" applyAlignment="1" pivotButton="0" quotePrefix="0" xfId="0">
      <alignment horizontal="general" vertical="center" wrapText="1"/>
    </xf>
    <xf numFmtId="0" fontId="7" fillId="2" borderId="0" applyAlignment="1" pivotButton="0" quotePrefix="0" xfId="0">
      <alignment horizontal="general" vertical="center" wrapText="1"/>
    </xf>
    <xf numFmtId="0" fontId="8" fillId="0" borderId="0" applyAlignment="1" pivotButton="0" quotePrefix="0" xfId="0">
      <alignment horizontal="general" vertical="top"/>
    </xf>
    <xf numFmtId="164" fontId="9" fillId="0" borderId="0" applyAlignment="1" pivotButton="0" quotePrefix="0" xfId="0">
      <alignment horizontal="general" vertical="top"/>
    </xf>
    <xf numFmtId="0" fontId="8" fillId="3" borderId="0" applyAlignment="1" pivotButton="0" quotePrefix="0" xfId="0">
      <alignment horizontal="general" vertical="top"/>
    </xf>
    <xf numFmtId="164" fontId="9" fillId="3" borderId="0" applyAlignment="1" pivotButton="0" quotePrefix="0" xfId="0">
      <alignment horizontal="general" vertical="top"/>
    </xf>
    <xf numFmtId="0" fontId="8" fillId="5" borderId="0" applyAlignment="1" pivotButton="0" quotePrefix="0" xfId="0">
      <alignment horizontal="general" vertical="top"/>
    </xf>
    <xf numFmtId="164" fontId="9" fillId="5" borderId="0" applyAlignment="1" pivotButton="0" quotePrefix="0" xfId="0">
      <alignment horizontal="general" vertical="top"/>
    </xf>
    <xf numFmtId="0" fontId="8" fillId="4" borderId="0" applyAlignment="1" pivotButton="0" quotePrefix="0" xfId="0">
      <alignment horizontal="general" vertical="top"/>
    </xf>
    <xf numFmtId="164" fontId="9" fillId="4" borderId="0" applyAlignment="1" pivotButton="0" quotePrefix="0" xfId="0">
      <alignment horizontal="general" vertical="top"/>
    </xf>
    <xf numFmtId="0" fontId="9" fillId="6" borderId="0" applyAlignment="1" pivotButton="0" quotePrefix="0" xfId="0">
      <alignment horizontal="general" vertical="top" wrapText="1"/>
    </xf>
    <xf numFmtId="0" fontId="9" fillId="6" borderId="0" applyAlignment="1" pivotButton="0" quotePrefix="0" xfId="0">
      <alignment horizontal="general" vertical="top"/>
    </xf>
    <xf numFmtId="0" fontId="8" fillId="6" borderId="0" applyAlignment="1" pivotButton="0" quotePrefix="0" xfId="0">
      <alignment horizontal="general" vertical="top"/>
    </xf>
    <xf numFmtId="164" fontId="9" fillId="6" borderId="0" applyAlignment="1" pivotButton="0" quotePrefix="0" xfId="0">
      <alignment horizontal="general" vertical="top"/>
    </xf>
    <xf numFmtId="0" fontId="8" fillId="4" borderId="0" applyAlignment="1" pivotButton="0" quotePrefix="0" xfId="0">
      <alignment horizontal="general" vertical="top" wrapText="1"/>
    </xf>
    <xf numFmtId="0" fontId="24" fillId="14" borderId="1" applyAlignment="1" pivotButton="0" quotePrefix="0" xfId="20">
      <alignment horizontal="general" vertical="top"/>
    </xf>
    <xf numFmtId="0" fontId="24" fillId="14" borderId="1" applyAlignment="1" pivotButton="0" quotePrefix="0" xfId="20">
      <alignment horizontal="general" vertical="top" wrapText="1"/>
    </xf>
    <xf numFmtId="0" fontId="17" fillId="14" borderId="1" applyAlignment="1" pivotButton="0" quotePrefix="0" xfId="20">
      <alignment horizontal="general" vertical="top" wrapText="1"/>
    </xf>
    <xf numFmtId="164" fontId="17" fillId="14" borderId="1" applyAlignment="1" pivotButton="0" quotePrefix="0" xfId="20">
      <alignment horizontal="general" vertical="top"/>
    </xf>
    <xf numFmtId="0" fontId="13"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27" fillId="7" borderId="1" applyAlignment="1" pivotButton="0" quotePrefix="0" xfId="20">
      <alignment horizontal="general" vertical="top" wrapText="1"/>
    </xf>
    <xf numFmtId="0" fontId="24" fillId="7" borderId="1" applyAlignment="1" pivotButton="0" quotePrefix="0" xfId="20">
      <alignment horizontal="general" vertical="top" wrapText="1"/>
    </xf>
    <xf numFmtId="0" fontId="15" fillId="0" borderId="0" applyAlignment="1" pivotButton="0" quotePrefix="0" xfId="0">
      <alignment horizontal="general" vertical="bottom"/>
    </xf>
    <xf numFmtId="0" fontId="5" fillId="0" borderId="0" applyAlignment="1" pivotButton="0" quotePrefix="0" xfId="0">
      <alignment horizontal="general" vertical="bottom"/>
    </xf>
    <xf numFmtId="0" fontId="5" fillId="3" borderId="0" applyAlignment="1" pivotButton="0" quotePrefix="0" xfId="0">
      <alignment horizontal="general" vertical="bottom"/>
    </xf>
    <xf numFmtId="0" fontId="9" fillId="0" borderId="0" applyAlignment="1" pivotButton="0" quotePrefix="0" xfId="0">
      <alignment horizontal="general" vertical="bottom"/>
    </xf>
    <xf numFmtId="0" fontId="5" fillId="4" borderId="0" applyAlignment="1" pivotButton="0" quotePrefix="0" xfId="0">
      <alignment horizontal="general" vertical="bottom"/>
    </xf>
    <xf numFmtId="0" fontId="5" fillId="5"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D9E1F2"/>
          <bgColor rgb="FF000000"/>
        </patternFill>
      </fill>
    </dxf>
    <dxf>
      <fill>
        <patternFill patternType="solid">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E4DFE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4DFEC"/>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110" min="1" max="1"/>
    <col width="110" customWidth="1" style="110" min="2" max="2"/>
  </cols>
  <sheetData>
    <row r="1" ht="18.75" customHeight="1" s="111">
      <c r="A1" s="112" t="inlineStr">
        <is>
          <t>Tau-U计算用表：因变量分组（393K，DSM-5-TR诊断标准A）</t>
        </is>
      </c>
      <c r="B1" s="113" t="n"/>
    </row>
    <row r="2" ht="15" customHeight="1" s="111">
      <c r="A2" s="114" t="n"/>
      <c r="B2" s="113" t="n"/>
    </row>
    <row r="3" ht="36" customHeight="1" s="111">
      <c r="A3" s="114" t="inlineStr">
        <is>
          <t>用途</t>
        </is>
      </c>
      <c r="B3" s="113" t="inlineStr">
        <is>
          <t>每个K一行，只列因变量的两级分组：领域（K分组表F列）和类型（G列）。按“领域”或“类型”分组，干预、维持、泛化分别合成Tau-U。</t>
        </is>
      </c>
    </row>
    <row r="4" ht="15" customHeight="1" s="111">
      <c r="A4" s="114" t="inlineStr">
        <is>
          <t>K范围</t>
        </is>
      </c>
      <c r="B4" s="113">
        <f>"共 "&amp;各组汇总!I24&amp;" 个K，来自 "&amp;TEXT(各组汇总!C25,"0")&amp;" 篇文献"</f>
        <v/>
      </c>
    </row>
    <row r="5" ht="36" customHeight="1" s="111">
      <c r="A5" s="114" t="inlineStr">
        <is>
          <t>数据</t>
        </is>
      </c>
      <c r="B5" s="113" t="inlineStr">
        <is>
          <t>“Tau-U数据”“Tau-U填写说明”与393K调节变量表同步。2026-10-24删除031滚雪球（20K）；044二次泛化按儿童×因变量合并（删除16K）；056滚雪球改取准确率。K与DV编号保留，取点核查和变更记录见调节变量表。</t>
        </is>
      </c>
    </row>
    <row r="6" ht="54" customHeight="1" s="111">
      <c r="A6" s="114" t="inlineStr">
        <is>
          <t>领域</t>
        </is>
      </c>
      <c r="B6" s="113" t="inlineStr">
        <is>
          <t>依据DSM-5-TR孤独症谱系障碍诊断标准A的三项（APA，2022），去掉“缺陷”的表述作为技能领域：社交情感互惠（A1）、非言语沟通（A2，全称“用于社交互动的非言语沟通行为”）、人际关系发展（A3，全称“发展、维持和理解人际关系”）。</t>
        </is>
      </c>
    </row>
    <row r="7" ht="54" customHeight="1" s="111">
      <c r="A7" s="114" t="inlineStr">
        <is>
          <t>类型</t>
        </is>
      </c>
      <c r="B7" s="113" t="inlineStr">
        <is>
          <t>在各领域内由因变量归纳，共14类：社交情感互惠5类（社交发起、社交应答、会话维持、需求表达、情感分享），非言语沟通4类（交往仪态、表情与手势、情绪表达、综合沟通），人际关系发展5类（群体融入、游戏邀请、游戏互动、亲社会行为、情境适应）。每类含义与包含因变量见“类型说明”。</t>
        </is>
      </c>
    </row>
    <row r="8" ht="54" customHeight="1" s="111">
      <c r="A8" s="114" t="inlineStr">
        <is>
          <t>归类单位</t>
        </is>
      </c>
      <c r="B8" s="113" t="inlineStr">
        <is>
          <t>按文献中实际计分行为归类，同一因变量下的K归同一领域和类型。现76个有K因变量，来自38篇文献。DV29–DV33随031滚雪球排除，编号留空。DV15、DV48、DV53随013二次、040二次、045二次排除，编号留空，不重排；本次恢复DV21、DV75。DV83为01补充总体和数，未取K。DV29归A1社交发起，DV72归A1需求表达。</t>
        </is>
      </c>
    </row>
    <row r="9" ht="72" customHeight="1" s="111">
      <c r="A9" s="114" t="inlineStr">
        <is>
          <t>几条归类规则</t>
        </is>
      </c>
      <c r="B9" s="113" t="inlineStr">
        <is>
          <t>按实际计分行为的沟通功能优先归类：引起同伴注意、问候或开始互动归“社交发起”；请求物品或行动归“需求表达”，不因含口语、图卡或动作而改归综合沟通。多成分综合沟通指标按已确认口径归“综合沟通”。分享物品、帮助他人归“亲社会行为”；分享兴趣情感、安慰与观点采择归“情感分享”；同伴、手足的游戏行为归A3；陌生成人问候、游戏规则及人际问题解决归“情境适应”。</t>
        </is>
      </c>
    </row>
    <row r="10" ht="36" customHeight="1" s="111">
      <c r="A10" s="114" t="inlineStr">
        <is>
          <t>反向K</t>
        </is>
      </c>
      <c r="B10" s="113" t="inlineStr">
        <is>
          <t>33个社会发起潜伏期K为“降低改善”（越短越好），计算时数值乘以−1或在计算器里选“降低”，详见“Tau-U填写说明”。</t>
        </is>
      </c>
    </row>
    <row r="11" ht="54" customHeight="1" s="111">
      <c r="A11" s="115" t="inlineStr">
        <is>
          <t>新增综合指标</t>
        </is>
      </c>
      <c r="B11" s="116" t="inlineStr">
        <is>
          <t>002-滚雪球DV84归人际关系发展—情境适应：六步骤含排队、问候、微笑、付款、致谢、取货。061-二次DV85归非言语沟通—综合沟通：口语请求拼图、合作积木、排队转换三项目标合计，未拆成分项K。 002仅保留Nick（12岁）的K564、K565。</t>
        </is>
      </c>
    </row>
    <row r="12" ht="54" customHeight="1" s="111">
      <c r="A12" s="117" t="inlineStr">
        <is>
          <t>归类修订</t>
        </is>
      </c>
      <c r="B12" s="118" t="inlineStr">
        <is>
          <t>2026-10-17：DV29（031滚雪球）7K改为A1社交发起，原文计入口语招呼、叫名及手势引起同伴注意；DV72（066二次）6K改为A1需求表达，原文计入口语、图卡及动作表达需要。DV与K编号、原始数组和阶段划分保留。 （DV29已于2026-10-24随031滚雪球排除。）</t>
        </is>
      </c>
    </row>
    <row r="13" ht="54" customHeight="1" s="111">
      <c r="A13" s="117" t="inlineStr">
        <is>
          <t>排除记录</t>
        </is>
      </c>
      <c r="B13" s="118" t="inlineStr">
        <is>
          <t>2026-10-18删除013二次12K、040二次24K；恢复018二次11K、080二次4K。450−12−24+11+4=429K，39篇：干预253、维持119、泛化57。045二次及002滚雪球Tom、Steve继续排除。保留其他K与DV编号、取点和分组。 2026-10-24按用户决定：①031滚雪球整篇排除（K200–K219共20K：干预11、维持7、泛化2；干预为视频反馈而非视频示范）；②044二次泛化K按儿童×因变量合并条件C–F（Jamie为D–F），22K并为6K，删除16K；③056滚雪球35K改取准确率（Accuracy），K数不变，并更正K473维持段。429−20−16=393K，38篇、123名儿童：干预242、维持112、泛化39。</t>
        </is>
      </c>
    </row>
    <row r="14" ht="54" customHeight="1" s="111">
      <c r="A14" s="117" t="inlineStr">
        <is>
          <t>年龄纳入标准</t>
        </is>
      </c>
      <c r="B14" s="118" t="inlineStr">
        <is>
          <t>保留12岁零几个月，满13岁排除。002滚雪球仅保留Nick12岁的K564、K565；Tom14岁、Steve15岁共4K不纳入。031滚雪球已于2026-10-24整篇排除。080二次仅报告六年级，沿用年级推定。当前393K、38篇。</t>
        </is>
      </c>
    </row>
    <row r="15" ht="15" customHeight="1" s="111">
      <c r="A15" s="117" t="n"/>
      <c r="B15" s="118" t="n"/>
    </row>
    <row r="16" ht="15" customHeight="1" s="111">
      <c r="A16" s="117" t="n"/>
      <c r="B16" s="119" t="n"/>
    </row>
    <row r="17" ht="15" customHeight="1" s="111">
      <c r="A17" s="117" t="n"/>
      <c r="B17" s="118" t="n"/>
    </row>
    <row r="18" ht="15" customHeight="1" s="111">
      <c r="A18" s="117" t="n"/>
      <c r="B18" s="118" t="n"/>
    </row>
    <row r="19" ht="15" customHeight="1" s="111">
      <c r="A19" s="117" t="n"/>
      <c r="B19" s="118" t="n"/>
    </row>
    <row r="20" ht="15" customHeight="1" s="111">
      <c r="A20" s="117" t="n"/>
      <c r="B20" s="118" t="n"/>
    </row>
    <row r="21" ht="15" customHeight="1" s="111">
      <c r="A21" s="117" t="n"/>
      <c r="B21" s="1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394"/>
  <sheetViews>
    <sheetView showFormulas="0" showGridLines="1" showRowColHeaders="1" showZeros="1" rightToLeft="0" tabSelected="0"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6796875" defaultRowHeight="15" zeroHeight="0" outlineLevelRow="0"/>
  <cols>
    <col width="7" customWidth="1" style="110" min="1" max="1"/>
    <col width="12" customWidth="1" style="110" min="2" max="3"/>
    <col width="7" customWidth="1" style="110" min="4" max="4"/>
    <col width="9" customWidth="1" style="110" min="5" max="5"/>
    <col width="12" customWidth="1" style="110" min="6" max="6"/>
    <col width="11" customWidth="1" style="110" min="7" max="7"/>
    <col width="9" customWidth="1" style="110" min="8" max="8"/>
    <col width="40" customWidth="1" style="110" min="9" max="9"/>
    <col width="34" customWidth="1" style="110" min="10" max="10"/>
  </cols>
  <sheetData>
    <row r="1" ht="30" customHeight="1" s="111">
      <c r="A1" s="120" t="inlineStr">
        <is>
          <t>K编号</t>
        </is>
      </c>
      <c r="B1" s="120" t="inlineStr">
        <is>
          <t>文献编号</t>
        </is>
      </c>
      <c r="C1" s="120" t="inlineStr">
        <is>
          <t>儿童</t>
        </is>
      </c>
      <c r="D1" s="120" t="inlineStr">
        <is>
          <t>比较类型</t>
        </is>
      </c>
      <c r="E1" s="120" t="inlineStr">
        <is>
          <t>DSM-5-TR条目</t>
        </is>
      </c>
      <c r="F1" s="120" t="inlineStr">
        <is>
          <t>领域</t>
        </is>
      </c>
      <c r="G1" s="120" t="inlineStr">
        <is>
          <t>类型</t>
        </is>
      </c>
      <c r="H1" s="120" t="inlineStr">
        <is>
          <t>因变量编号</t>
        </is>
      </c>
      <c r="I1" s="120" t="inlineStr">
        <is>
          <t>因变量（文献内）</t>
        </is>
      </c>
      <c r="J1" s="120" t="inlineStr">
        <is>
          <t>比较的两段（K清单）</t>
        </is>
      </c>
    </row>
    <row r="2" ht="15" customHeight="1" s="111">
      <c r="A2" s="121" t="inlineStr">
        <is>
          <t>K001</t>
        </is>
      </c>
      <c r="B2" s="122" t="inlineStr">
        <is>
          <t>001-二次</t>
        </is>
      </c>
      <c r="C2" s="121" t="inlineStr">
        <is>
          <t>Otto</t>
        </is>
      </c>
      <c r="D2" s="122" t="inlineStr">
        <is>
          <t>干预</t>
        </is>
      </c>
      <c r="E2" s="123" t="inlineStr">
        <is>
          <t>A1</t>
        </is>
      </c>
      <c r="F2" s="124" t="inlineStr">
        <is>
          <t>社交情感互惠</t>
        </is>
      </c>
      <c r="G2" s="124" t="inlineStr">
        <is>
          <t>会话维持</t>
        </is>
      </c>
      <c r="H2" s="121" t="inlineStr">
        <is>
          <t>DV01</t>
        </is>
      </c>
      <c r="I2" s="113" t="inlineStr">
        <is>
          <t>会话（Conversation）</t>
        </is>
      </c>
      <c r="J2" s="113" t="inlineStr">
        <is>
          <t>Baseline vs Video-only 段</t>
        </is>
      </c>
    </row>
    <row r="3" ht="15" customHeight="1" s="111">
      <c r="A3" s="121" t="inlineStr">
        <is>
          <t>K002</t>
        </is>
      </c>
      <c r="B3" s="122" t="inlineStr">
        <is>
          <t>001-二次</t>
        </is>
      </c>
      <c r="C3" s="121" t="inlineStr">
        <is>
          <t>Otto</t>
        </is>
      </c>
      <c r="D3" s="122" t="inlineStr">
        <is>
          <t>维持</t>
        </is>
      </c>
      <c r="E3" s="123" t="inlineStr">
        <is>
          <t>A1</t>
        </is>
      </c>
      <c r="F3" s="124" t="inlineStr">
        <is>
          <t>社交情感互惠</t>
        </is>
      </c>
      <c r="G3" s="124" t="inlineStr">
        <is>
          <t>会话维持</t>
        </is>
      </c>
      <c r="H3" s="121" t="inlineStr">
        <is>
          <t>DV01</t>
        </is>
      </c>
      <c r="I3" s="113" t="inlineStr">
        <is>
          <t>会话（Conversation）</t>
        </is>
      </c>
      <c r="J3" s="119" t="inlineStr">
        <is>
          <t>Baseline vs Maintenance</t>
        </is>
      </c>
    </row>
    <row r="4" ht="15" customHeight="1" s="111">
      <c r="A4" s="121" t="inlineStr">
        <is>
          <t>K004</t>
        </is>
      </c>
      <c r="B4" s="122" t="inlineStr">
        <is>
          <t>001-二次</t>
        </is>
      </c>
      <c r="C4" s="121" t="inlineStr">
        <is>
          <t>Otto</t>
        </is>
      </c>
      <c r="D4" s="122" t="inlineStr">
        <is>
          <t>干预</t>
        </is>
      </c>
      <c r="E4" s="123" t="inlineStr">
        <is>
          <t>A1</t>
        </is>
      </c>
      <c r="F4" s="124" t="inlineStr">
        <is>
          <t>社交情感互惠</t>
        </is>
      </c>
      <c r="G4" s="124" t="inlineStr">
        <is>
          <t>社交应答</t>
        </is>
      </c>
      <c r="H4" s="121" t="inlineStr">
        <is>
          <t>DV02</t>
        </is>
      </c>
      <c r="I4" s="113" t="inlineStr">
        <is>
          <t>回答问题（Responding to Questions）</t>
        </is>
      </c>
      <c r="J4" s="113" t="inlineStr">
        <is>
          <t>Baseline vs Video-only 段</t>
        </is>
      </c>
    </row>
    <row r="5" ht="15" customHeight="1" s="111">
      <c r="A5" s="121" t="inlineStr">
        <is>
          <t>K005</t>
        </is>
      </c>
      <c r="B5" s="122" t="inlineStr">
        <is>
          <t>001-二次</t>
        </is>
      </c>
      <c r="C5" s="121" t="inlineStr">
        <is>
          <t>Lars</t>
        </is>
      </c>
      <c r="D5" s="122" t="inlineStr">
        <is>
          <t>干预</t>
        </is>
      </c>
      <c r="E5" s="123" t="inlineStr">
        <is>
          <t>A1</t>
        </is>
      </c>
      <c r="F5" s="124" t="inlineStr">
        <is>
          <t>社交情感互惠</t>
        </is>
      </c>
      <c r="G5" s="124" t="inlineStr">
        <is>
          <t>会话维持</t>
        </is>
      </c>
      <c r="H5" s="121" t="inlineStr">
        <is>
          <t>DV01</t>
        </is>
      </c>
      <c r="I5" s="113" t="inlineStr">
        <is>
          <t>会话（Conversation）</t>
        </is>
      </c>
      <c r="J5" s="113" t="inlineStr">
        <is>
          <t>Baseline vs Video-only 段</t>
        </is>
      </c>
    </row>
    <row r="6" ht="15" customHeight="1" s="111">
      <c r="A6" s="121" t="inlineStr">
        <is>
          <t>K006</t>
        </is>
      </c>
      <c r="B6" s="122" t="inlineStr">
        <is>
          <t>001-二次</t>
        </is>
      </c>
      <c r="C6" s="121" t="inlineStr">
        <is>
          <t>Lars</t>
        </is>
      </c>
      <c r="D6" s="122" t="inlineStr">
        <is>
          <t>维持</t>
        </is>
      </c>
      <c r="E6" s="123" t="inlineStr">
        <is>
          <t>A1</t>
        </is>
      </c>
      <c r="F6" s="124" t="inlineStr">
        <is>
          <t>社交情感互惠</t>
        </is>
      </c>
      <c r="G6" s="124" t="inlineStr">
        <is>
          <t>会话维持</t>
        </is>
      </c>
      <c r="H6" s="121" t="inlineStr">
        <is>
          <t>DV01</t>
        </is>
      </c>
      <c r="I6" s="113" t="inlineStr">
        <is>
          <t>会话（Conversation）</t>
        </is>
      </c>
      <c r="J6" s="119" t="inlineStr">
        <is>
          <t>Baseline vs Maintenance</t>
        </is>
      </c>
    </row>
    <row r="7" ht="15" customHeight="1" s="111">
      <c r="A7" s="121" t="inlineStr">
        <is>
          <t>K008</t>
        </is>
      </c>
      <c r="B7" s="122" t="inlineStr">
        <is>
          <t>001-二次</t>
        </is>
      </c>
      <c r="C7" s="121" t="inlineStr">
        <is>
          <t>Lars</t>
        </is>
      </c>
      <c r="D7" s="122" t="inlineStr">
        <is>
          <t>干预</t>
        </is>
      </c>
      <c r="E7" s="123" t="inlineStr">
        <is>
          <t>A1</t>
        </is>
      </c>
      <c r="F7" s="124" t="inlineStr">
        <is>
          <t>社交情感互惠</t>
        </is>
      </c>
      <c r="G7" s="124" t="inlineStr">
        <is>
          <t>社交应答</t>
        </is>
      </c>
      <c r="H7" s="121" t="inlineStr">
        <is>
          <t>DV02</t>
        </is>
      </c>
      <c r="I7" s="113" t="inlineStr">
        <is>
          <t>回答问题（Responding to Questions）</t>
        </is>
      </c>
      <c r="J7" s="113" t="inlineStr">
        <is>
          <t>Baseline vs Video-only 段</t>
        </is>
      </c>
    </row>
    <row r="8" ht="15" customHeight="1" s="111">
      <c r="A8" s="121" t="inlineStr">
        <is>
          <t>K009</t>
        </is>
      </c>
      <c r="B8" s="122" t="inlineStr">
        <is>
          <t>001-二次</t>
        </is>
      </c>
      <c r="C8" s="121" t="inlineStr">
        <is>
          <t>Trish</t>
        </is>
      </c>
      <c r="D8" s="122" t="inlineStr">
        <is>
          <t>干预</t>
        </is>
      </c>
      <c r="E8" s="123" t="inlineStr">
        <is>
          <t>A1</t>
        </is>
      </c>
      <c r="F8" s="124" t="inlineStr">
        <is>
          <t>社交情感互惠</t>
        </is>
      </c>
      <c r="G8" s="124" t="inlineStr">
        <is>
          <t>会话维持</t>
        </is>
      </c>
      <c r="H8" s="121" t="inlineStr">
        <is>
          <t>DV01</t>
        </is>
      </c>
      <c r="I8" s="113" t="inlineStr">
        <is>
          <t>会话（Conversation）</t>
        </is>
      </c>
      <c r="J8" s="113" t="inlineStr">
        <is>
          <t>Baseline vs Video-only 段</t>
        </is>
      </c>
    </row>
    <row r="9" ht="15" customHeight="1" s="111">
      <c r="A9" s="121" t="inlineStr">
        <is>
          <t>K010</t>
        </is>
      </c>
      <c r="B9" s="122" t="inlineStr">
        <is>
          <t>001-二次</t>
        </is>
      </c>
      <c r="C9" s="121" t="inlineStr">
        <is>
          <t>Trish</t>
        </is>
      </c>
      <c r="D9" s="122" t="inlineStr">
        <is>
          <t>干预</t>
        </is>
      </c>
      <c r="E9" s="123" t="inlineStr">
        <is>
          <t>A1</t>
        </is>
      </c>
      <c r="F9" s="124" t="inlineStr">
        <is>
          <t>社交情感互惠</t>
        </is>
      </c>
      <c r="G9" s="124" t="inlineStr">
        <is>
          <t>社交应答</t>
        </is>
      </c>
      <c r="H9" s="121" t="inlineStr">
        <is>
          <t>DV02</t>
        </is>
      </c>
      <c r="I9" s="113" t="inlineStr">
        <is>
          <t>回答问题（Responding to Questions）</t>
        </is>
      </c>
      <c r="J9" s="113" t="inlineStr">
        <is>
          <t>Baseline vs Video-only 段</t>
        </is>
      </c>
    </row>
    <row r="10" ht="15" customHeight="1" s="111">
      <c r="A10" s="121" t="inlineStr">
        <is>
          <t>K011</t>
        </is>
      </c>
      <c r="B10" s="122" t="inlineStr">
        <is>
          <t>002-二次</t>
        </is>
      </c>
      <c r="C10" s="121" t="inlineStr">
        <is>
          <t>Taylor</t>
        </is>
      </c>
      <c r="D10" s="122" t="inlineStr">
        <is>
          <t>干预</t>
        </is>
      </c>
      <c r="E10" s="125" t="inlineStr">
        <is>
          <t>A2</t>
        </is>
      </c>
      <c r="F10" s="126" t="inlineStr">
        <is>
          <t>非言语沟通</t>
        </is>
      </c>
      <c r="G10" s="126" t="inlineStr">
        <is>
          <t>交往仪态</t>
        </is>
      </c>
      <c r="H10" s="121" t="inlineStr">
        <is>
          <t>DV03</t>
        </is>
      </c>
      <c r="I10" s="113" t="inlineStr">
        <is>
          <t>非言语基本技能（Body Basics）</t>
        </is>
      </c>
      <c r="J10" s="119" t="inlineStr">
        <is>
          <t>Training BL vs INT</t>
        </is>
      </c>
    </row>
    <row r="11" ht="15" customHeight="1" s="111">
      <c r="A11" s="121" t="inlineStr">
        <is>
          <t>K012</t>
        </is>
      </c>
      <c r="B11" s="122" t="inlineStr">
        <is>
          <t>002-二次</t>
        </is>
      </c>
      <c r="C11" s="121" t="inlineStr">
        <is>
          <t>Taylor</t>
        </is>
      </c>
      <c r="D11" s="122" t="inlineStr">
        <is>
          <t>维持</t>
        </is>
      </c>
      <c r="E11" s="125" t="inlineStr">
        <is>
          <t>A2</t>
        </is>
      </c>
      <c r="F11" s="126" t="inlineStr">
        <is>
          <t>非言语沟通</t>
        </is>
      </c>
      <c r="G11" s="126" t="inlineStr">
        <is>
          <t>交往仪态</t>
        </is>
      </c>
      <c r="H11" s="121" t="inlineStr">
        <is>
          <t>DV03</t>
        </is>
      </c>
      <c r="I11" s="113" t="inlineStr">
        <is>
          <t>非言语基本技能（Body Basics）</t>
        </is>
      </c>
      <c r="J11" s="119" t="inlineStr">
        <is>
          <t>Training BL vs MT</t>
        </is>
      </c>
    </row>
    <row r="12" ht="29.85" customHeight="1" s="111">
      <c r="A12" s="121" t="inlineStr">
        <is>
          <t>K013</t>
        </is>
      </c>
      <c r="B12" s="122" t="inlineStr">
        <is>
          <t>002-二次</t>
        </is>
      </c>
      <c r="C12" s="121" t="inlineStr">
        <is>
          <t>Taylor</t>
        </is>
      </c>
      <c r="D12" s="122" t="inlineStr">
        <is>
          <t>泛化</t>
        </is>
      </c>
      <c r="E12" s="125" t="inlineStr">
        <is>
          <t>A2</t>
        </is>
      </c>
      <c r="F12" s="126" t="inlineStr">
        <is>
          <t>非言语沟通</t>
        </is>
      </c>
      <c r="G12" s="126" t="inlineStr">
        <is>
          <t>交往仪态</t>
        </is>
      </c>
      <c r="H12" s="121" t="inlineStr">
        <is>
          <t>DV03</t>
        </is>
      </c>
      <c r="I12" s="113" t="inlineStr">
        <is>
          <t>非言语基本技能（Body Basics）</t>
        </is>
      </c>
      <c r="J12" s="113" t="inlineStr">
        <is>
          <t>Generalization BL（干预前）vs INT 期泛化探测</t>
        </is>
      </c>
    </row>
    <row r="13" ht="29.85" customHeight="1" s="111">
      <c r="A13" s="121" t="inlineStr">
        <is>
          <t>K014</t>
        </is>
      </c>
      <c r="B13" s="122" t="inlineStr">
        <is>
          <t>002-二次</t>
        </is>
      </c>
      <c r="C13" s="121" t="inlineStr">
        <is>
          <t>Taylor</t>
        </is>
      </c>
      <c r="D13" s="122" t="inlineStr">
        <is>
          <t>干预</t>
        </is>
      </c>
      <c r="E13" s="123" t="inlineStr">
        <is>
          <t>A1</t>
        </is>
      </c>
      <c r="F13" s="124" t="inlineStr">
        <is>
          <t>社交情感互惠</t>
        </is>
      </c>
      <c r="G13" s="124" t="inlineStr">
        <is>
          <t>需求表达</t>
        </is>
      </c>
      <c r="H13" s="121" t="inlineStr">
        <is>
          <t>DV04</t>
        </is>
      </c>
      <c r="I13" s="113" t="inlineStr">
        <is>
          <t>表达愿望和需求（Expressing Wants and Needs）</t>
        </is>
      </c>
      <c r="J13" s="119" t="inlineStr">
        <is>
          <t>Training BL vs INT</t>
        </is>
      </c>
    </row>
    <row r="14" ht="29.85" customHeight="1" s="111">
      <c r="A14" s="121" t="inlineStr">
        <is>
          <t>K015</t>
        </is>
      </c>
      <c r="B14" s="122" t="inlineStr">
        <is>
          <t>002-二次</t>
        </is>
      </c>
      <c r="C14" s="121" t="inlineStr">
        <is>
          <t>Taylor</t>
        </is>
      </c>
      <c r="D14" s="122" t="inlineStr">
        <is>
          <t>维持</t>
        </is>
      </c>
      <c r="E14" s="123" t="inlineStr">
        <is>
          <t>A1</t>
        </is>
      </c>
      <c r="F14" s="124" t="inlineStr">
        <is>
          <t>社交情感互惠</t>
        </is>
      </c>
      <c r="G14" s="124" t="inlineStr">
        <is>
          <t>需求表达</t>
        </is>
      </c>
      <c r="H14" s="121" t="inlineStr">
        <is>
          <t>DV04</t>
        </is>
      </c>
      <c r="I14" s="113" t="inlineStr">
        <is>
          <t>表达愿望和需求（Expressing Wants and Needs）</t>
        </is>
      </c>
      <c r="J14" s="119" t="inlineStr">
        <is>
          <t>Training BL vs MT</t>
        </is>
      </c>
    </row>
    <row r="15" ht="29.85" customHeight="1" s="111">
      <c r="A15" s="121" t="inlineStr">
        <is>
          <t>K016</t>
        </is>
      </c>
      <c r="B15" s="122" t="inlineStr">
        <is>
          <t>002-二次</t>
        </is>
      </c>
      <c r="C15" s="121" t="inlineStr">
        <is>
          <t>Taylor</t>
        </is>
      </c>
      <c r="D15" s="122" t="inlineStr">
        <is>
          <t>泛化</t>
        </is>
      </c>
      <c r="E15" s="123" t="inlineStr">
        <is>
          <t>A1</t>
        </is>
      </c>
      <c r="F15" s="124" t="inlineStr">
        <is>
          <t>社交情感互惠</t>
        </is>
      </c>
      <c r="G15" s="124" t="inlineStr">
        <is>
          <t>需求表达</t>
        </is>
      </c>
      <c r="H15" s="121" t="inlineStr">
        <is>
          <t>DV04</t>
        </is>
      </c>
      <c r="I15" s="113" t="inlineStr">
        <is>
          <t>表达愿望和需求（Expressing Wants and Needs）</t>
        </is>
      </c>
      <c r="J15" s="113" t="inlineStr">
        <is>
          <t>Generalization BL（干预前）vs INT 期泛化探测</t>
        </is>
      </c>
    </row>
    <row r="16" ht="29.85" customHeight="1" s="111">
      <c r="A16" s="121" t="inlineStr">
        <is>
          <t>K017</t>
        </is>
      </c>
      <c r="B16" s="122" t="inlineStr">
        <is>
          <t>002-二次</t>
        </is>
      </c>
      <c r="C16" s="121" t="inlineStr">
        <is>
          <t>Taylor</t>
        </is>
      </c>
      <c r="D16" s="122" t="inlineStr">
        <is>
          <t>干预</t>
        </is>
      </c>
      <c r="E16" s="123" t="inlineStr">
        <is>
          <t>A1</t>
        </is>
      </c>
      <c r="F16" s="124" t="inlineStr">
        <is>
          <t>社交情感互惠</t>
        </is>
      </c>
      <c r="G16" s="124" t="inlineStr">
        <is>
          <t>社交应答</t>
        </is>
      </c>
      <c r="H16" s="121" t="inlineStr">
        <is>
          <t>DV05</t>
        </is>
      </c>
      <c r="I16" s="113" t="inlineStr">
        <is>
          <t>回答问题和请求（Responding to Questions and Requests）</t>
        </is>
      </c>
      <c r="J16" s="119" t="inlineStr">
        <is>
          <t>Training BL vs INT</t>
        </is>
      </c>
    </row>
    <row r="17" ht="29.85" customHeight="1" s="111">
      <c r="A17" s="121" t="inlineStr">
        <is>
          <t>K018</t>
        </is>
      </c>
      <c r="B17" s="122" t="inlineStr">
        <is>
          <t>002-二次</t>
        </is>
      </c>
      <c r="C17" s="121" t="inlineStr">
        <is>
          <t>Taylor</t>
        </is>
      </c>
      <c r="D17" s="122" t="inlineStr">
        <is>
          <t>维持</t>
        </is>
      </c>
      <c r="E17" s="123" t="inlineStr">
        <is>
          <t>A1</t>
        </is>
      </c>
      <c r="F17" s="124" t="inlineStr">
        <is>
          <t>社交情感互惠</t>
        </is>
      </c>
      <c r="G17" s="124" t="inlineStr">
        <is>
          <t>社交应答</t>
        </is>
      </c>
      <c r="H17" s="121" t="inlineStr">
        <is>
          <t>DV05</t>
        </is>
      </c>
      <c r="I17" s="113" t="inlineStr">
        <is>
          <t>回答问题和请求（Responding to Questions and Requests）</t>
        </is>
      </c>
      <c r="J17" s="119" t="inlineStr">
        <is>
          <t>Training BL vs MT</t>
        </is>
      </c>
    </row>
    <row r="18" ht="29.85" customHeight="1" s="111">
      <c r="A18" s="121" t="inlineStr">
        <is>
          <t>K019</t>
        </is>
      </c>
      <c r="B18" s="122" t="inlineStr">
        <is>
          <t>002-二次</t>
        </is>
      </c>
      <c r="C18" s="121" t="inlineStr">
        <is>
          <t>Taylor</t>
        </is>
      </c>
      <c r="D18" s="122" t="inlineStr">
        <is>
          <t>泛化</t>
        </is>
      </c>
      <c r="E18" s="123" t="inlineStr">
        <is>
          <t>A1</t>
        </is>
      </c>
      <c r="F18" s="124" t="inlineStr">
        <is>
          <t>社交情感互惠</t>
        </is>
      </c>
      <c r="G18" s="124" t="inlineStr">
        <is>
          <t>社交应答</t>
        </is>
      </c>
      <c r="H18" s="121" t="inlineStr">
        <is>
          <t>DV05</t>
        </is>
      </c>
      <c r="I18" s="113" t="inlineStr">
        <is>
          <t>回答问题和请求（Responding to Questions and Requests）</t>
        </is>
      </c>
      <c r="J18" s="113" t="inlineStr">
        <is>
          <t>Generalization BL（干预前）vs INT 期泛化探测</t>
        </is>
      </c>
    </row>
    <row r="19" ht="15" customHeight="1" s="111">
      <c r="A19" s="121" t="inlineStr">
        <is>
          <t>K020</t>
        </is>
      </c>
      <c r="B19" s="122" t="inlineStr">
        <is>
          <t>002-二次</t>
        </is>
      </c>
      <c r="C19" s="121" t="inlineStr">
        <is>
          <t>Taylor</t>
        </is>
      </c>
      <c r="D19" s="122" t="inlineStr">
        <is>
          <t>干预</t>
        </is>
      </c>
      <c r="E19" s="123" t="inlineStr">
        <is>
          <t>A1</t>
        </is>
      </c>
      <c r="F19" s="124" t="inlineStr">
        <is>
          <t>社交情感互惠</t>
        </is>
      </c>
      <c r="G19" s="124" t="inlineStr">
        <is>
          <t>会话维持</t>
        </is>
      </c>
      <c r="H19" s="121" t="inlineStr">
        <is>
          <t>DV06</t>
        </is>
      </c>
      <c r="I19" s="113" t="inlineStr">
        <is>
          <t>维持会话（Conversation Maintenance）</t>
        </is>
      </c>
      <c r="J19" s="119" t="inlineStr">
        <is>
          <t>Training BL vs INT</t>
        </is>
      </c>
    </row>
    <row r="20" ht="29.85" customHeight="1" s="111">
      <c r="A20" s="121" t="inlineStr">
        <is>
          <t>K021</t>
        </is>
      </c>
      <c r="B20" s="122" t="inlineStr">
        <is>
          <t>002-二次</t>
        </is>
      </c>
      <c r="C20" s="121" t="inlineStr">
        <is>
          <t>Taylor</t>
        </is>
      </c>
      <c r="D20" s="122" t="inlineStr">
        <is>
          <t>泛化</t>
        </is>
      </c>
      <c r="E20" s="123" t="inlineStr">
        <is>
          <t>A1</t>
        </is>
      </c>
      <c r="F20" s="124" t="inlineStr">
        <is>
          <t>社交情感互惠</t>
        </is>
      </c>
      <c r="G20" s="124" t="inlineStr">
        <is>
          <t>会话维持</t>
        </is>
      </c>
      <c r="H20" s="121" t="inlineStr">
        <is>
          <t>DV06</t>
        </is>
      </c>
      <c r="I20" s="113" t="inlineStr">
        <is>
          <t>维持会话（Conversation Maintenance）</t>
        </is>
      </c>
      <c r="J20" s="113" t="inlineStr">
        <is>
          <t>Generalization BL（干预前）vs INT 期泛化探测</t>
        </is>
      </c>
    </row>
    <row r="21" ht="15" customHeight="1" s="111">
      <c r="A21" s="121" t="inlineStr">
        <is>
          <t>K022</t>
        </is>
      </c>
      <c r="B21" s="122" t="inlineStr">
        <is>
          <t>002-二次</t>
        </is>
      </c>
      <c r="C21" s="121" t="inlineStr">
        <is>
          <t>Robby</t>
        </is>
      </c>
      <c r="D21" s="122" t="inlineStr">
        <is>
          <t>干预</t>
        </is>
      </c>
      <c r="E21" s="125" t="inlineStr">
        <is>
          <t>A2</t>
        </is>
      </c>
      <c r="F21" s="126" t="inlineStr">
        <is>
          <t>非言语沟通</t>
        </is>
      </c>
      <c r="G21" s="126" t="inlineStr">
        <is>
          <t>交往仪态</t>
        </is>
      </c>
      <c r="H21" s="121" t="inlineStr">
        <is>
          <t>DV03</t>
        </is>
      </c>
      <c r="I21" s="113" t="inlineStr">
        <is>
          <t>非言语基本技能（Body Basics）</t>
        </is>
      </c>
      <c r="J21" s="119" t="inlineStr">
        <is>
          <t>Training BL vs INT</t>
        </is>
      </c>
    </row>
    <row r="22" ht="15" customHeight="1" s="111">
      <c r="A22" s="121" t="inlineStr">
        <is>
          <t>K023</t>
        </is>
      </c>
      <c r="B22" s="122" t="inlineStr">
        <is>
          <t>002-二次</t>
        </is>
      </c>
      <c r="C22" s="121" t="inlineStr">
        <is>
          <t>Robby</t>
        </is>
      </c>
      <c r="D22" s="122" t="inlineStr">
        <is>
          <t>维持</t>
        </is>
      </c>
      <c r="E22" s="125" t="inlineStr">
        <is>
          <t>A2</t>
        </is>
      </c>
      <c r="F22" s="126" t="inlineStr">
        <is>
          <t>非言语沟通</t>
        </is>
      </c>
      <c r="G22" s="126" t="inlineStr">
        <is>
          <t>交往仪态</t>
        </is>
      </c>
      <c r="H22" s="121" t="inlineStr">
        <is>
          <t>DV03</t>
        </is>
      </c>
      <c r="I22" s="113" t="inlineStr">
        <is>
          <t>非言语基本技能（Body Basics）</t>
        </is>
      </c>
      <c r="J22" s="119" t="inlineStr">
        <is>
          <t>Training BL vs MT</t>
        </is>
      </c>
    </row>
    <row r="23" ht="29.85" customHeight="1" s="111">
      <c r="A23" s="121" t="inlineStr">
        <is>
          <t>K024</t>
        </is>
      </c>
      <c r="B23" s="122" t="inlineStr">
        <is>
          <t>002-二次</t>
        </is>
      </c>
      <c r="C23" s="121" t="inlineStr">
        <is>
          <t>Robby</t>
        </is>
      </c>
      <c r="D23" s="122" t="inlineStr">
        <is>
          <t>泛化</t>
        </is>
      </c>
      <c r="E23" s="125" t="inlineStr">
        <is>
          <t>A2</t>
        </is>
      </c>
      <c r="F23" s="126" t="inlineStr">
        <is>
          <t>非言语沟通</t>
        </is>
      </c>
      <c r="G23" s="126" t="inlineStr">
        <is>
          <t>交往仪态</t>
        </is>
      </c>
      <c r="H23" s="121" t="inlineStr">
        <is>
          <t>DV03</t>
        </is>
      </c>
      <c r="I23" s="113" t="inlineStr">
        <is>
          <t>非言语基本技能（Body Basics）</t>
        </is>
      </c>
      <c r="J23" s="113" t="inlineStr">
        <is>
          <t>Generalization BL（干预前）vs INT 期泛化探测</t>
        </is>
      </c>
    </row>
    <row r="24" ht="29.85" customHeight="1" s="111">
      <c r="A24" s="121" t="inlineStr">
        <is>
          <t>K025</t>
        </is>
      </c>
      <c r="B24" s="122" t="inlineStr">
        <is>
          <t>002-二次</t>
        </is>
      </c>
      <c r="C24" s="121" t="inlineStr">
        <is>
          <t>Robby</t>
        </is>
      </c>
      <c r="D24" s="122" t="inlineStr">
        <is>
          <t>干预</t>
        </is>
      </c>
      <c r="E24" s="123" t="inlineStr">
        <is>
          <t>A1</t>
        </is>
      </c>
      <c r="F24" s="124" t="inlineStr">
        <is>
          <t>社交情感互惠</t>
        </is>
      </c>
      <c r="G24" s="124" t="inlineStr">
        <is>
          <t>需求表达</t>
        </is>
      </c>
      <c r="H24" s="121" t="inlineStr">
        <is>
          <t>DV04</t>
        </is>
      </c>
      <c r="I24" s="113" t="inlineStr">
        <is>
          <t>表达愿望和需求（Expressing Wants and Needs）</t>
        </is>
      </c>
      <c r="J24" s="119" t="inlineStr">
        <is>
          <t>Training BL vs INT</t>
        </is>
      </c>
    </row>
    <row r="25" ht="29.85" customHeight="1" s="111">
      <c r="A25" s="121" t="inlineStr">
        <is>
          <t>K026</t>
        </is>
      </c>
      <c r="B25" s="122" t="inlineStr">
        <is>
          <t>002-二次</t>
        </is>
      </c>
      <c r="C25" s="121" t="inlineStr">
        <is>
          <t>Robby</t>
        </is>
      </c>
      <c r="D25" s="122" t="inlineStr">
        <is>
          <t>维持</t>
        </is>
      </c>
      <c r="E25" s="123" t="inlineStr">
        <is>
          <t>A1</t>
        </is>
      </c>
      <c r="F25" s="124" t="inlineStr">
        <is>
          <t>社交情感互惠</t>
        </is>
      </c>
      <c r="G25" s="124" t="inlineStr">
        <is>
          <t>需求表达</t>
        </is>
      </c>
      <c r="H25" s="121" t="inlineStr">
        <is>
          <t>DV04</t>
        </is>
      </c>
      <c r="I25" s="113" t="inlineStr">
        <is>
          <t>表达愿望和需求（Expressing Wants and Needs）</t>
        </is>
      </c>
      <c r="J25" s="119" t="inlineStr">
        <is>
          <t>Training BL vs MT</t>
        </is>
      </c>
    </row>
    <row r="26" ht="29.85" customHeight="1" s="111">
      <c r="A26" s="121" t="inlineStr">
        <is>
          <t>K027</t>
        </is>
      </c>
      <c r="B26" s="122" t="inlineStr">
        <is>
          <t>002-二次</t>
        </is>
      </c>
      <c r="C26" s="121" t="inlineStr">
        <is>
          <t>Robby</t>
        </is>
      </c>
      <c r="D26" s="122" t="inlineStr">
        <is>
          <t>泛化</t>
        </is>
      </c>
      <c r="E26" s="123" t="inlineStr">
        <is>
          <t>A1</t>
        </is>
      </c>
      <c r="F26" s="124" t="inlineStr">
        <is>
          <t>社交情感互惠</t>
        </is>
      </c>
      <c r="G26" s="124" t="inlineStr">
        <is>
          <t>需求表达</t>
        </is>
      </c>
      <c r="H26" s="121" t="inlineStr">
        <is>
          <t>DV04</t>
        </is>
      </c>
      <c r="I26" s="113" t="inlineStr">
        <is>
          <t>表达愿望和需求（Expressing Wants and Needs）</t>
        </is>
      </c>
      <c r="J26" s="113" t="inlineStr">
        <is>
          <t>Generalization BL（干预前）vs INT 期泛化探测</t>
        </is>
      </c>
    </row>
    <row r="27" ht="29.85" customHeight="1" s="111">
      <c r="A27" s="121" t="inlineStr">
        <is>
          <t>K028</t>
        </is>
      </c>
      <c r="B27" s="122" t="inlineStr">
        <is>
          <t>002-二次</t>
        </is>
      </c>
      <c r="C27" s="121" t="inlineStr">
        <is>
          <t>Robby</t>
        </is>
      </c>
      <c r="D27" s="122" t="inlineStr">
        <is>
          <t>干预</t>
        </is>
      </c>
      <c r="E27" s="123" t="inlineStr">
        <is>
          <t>A1</t>
        </is>
      </c>
      <c r="F27" s="124" t="inlineStr">
        <is>
          <t>社交情感互惠</t>
        </is>
      </c>
      <c r="G27" s="124" t="inlineStr">
        <is>
          <t>社交应答</t>
        </is>
      </c>
      <c r="H27" s="121" t="inlineStr">
        <is>
          <t>DV05</t>
        </is>
      </c>
      <c r="I27" s="113" t="inlineStr">
        <is>
          <t>回答问题和请求（Responding to Questions and Requests）</t>
        </is>
      </c>
      <c r="J27" s="119" t="inlineStr">
        <is>
          <t>Training BL vs INT</t>
        </is>
      </c>
    </row>
    <row r="28" ht="29.85" customHeight="1" s="111">
      <c r="A28" s="121" t="inlineStr">
        <is>
          <t>K029</t>
        </is>
      </c>
      <c r="B28" s="122" t="inlineStr">
        <is>
          <t>002-二次</t>
        </is>
      </c>
      <c r="C28" s="121" t="inlineStr">
        <is>
          <t>Robby</t>
        </is>
      </c>
      <c r="D28" s="122" t="inlineStr">
        <is>
          <t>维持</t>
        </is>
      </c>
      <c r="E28" s="123" t="inlineStr">
        <is>
          <t>A1</t>
        </is>
      </c>
      <c r="F28" s="124" t="inlineStr">
        <is>
          <t>社交情感互惠</t>
        </is>
      </c>
      <c r="G28" s="124" t="inlineStr">
        <is>
          <t>社交应答</t>
        </is>
      </c>
      <c r="H28" s="121" t="inlineStr">
        <is>
          <t>DV05</t>
        </is>
      </c>
      <c r="I28" s="113" t="inlineStr">
        <is>
          <t>回答问题和请求（Responding to Questions and Requests）</t>
        </is>
      </c>
      <c r="J28" s="119" t="inlineStr">
        <is>
          <t>Training BL vs MT</t>
        </is>
      </c>
    </row>
    <row r="29" ht="29.85" customHeight="1" s="111">
      <c r="A29" s="121" t="inlineStr">
        <is>
          <t>K030</t>
        </is>
      </c>
      <c r="B29" s="122" t="inlineStr">
        <is>
          <t>002-二次</t>
        </is>
      </c>
      <c r="C29" s="121" t="inlineStr">
        <is>
          <t>Robby</t>
        </is>
      </c>
      <c r="D29" s="122" t="inlineStr">
        <is>
          <t>泛化</t>
        </is>
      </c>
      <c r="E29" s="123" t="inlineStr">
        <is>
          <t>A1</t>
        </is>
      </c>
      <c r="F29" s="124" t="inlineStr">
        <is>
          <t>社交情感互惠</t>
        </is>
      </c>
      <c r="G29" s="124" t="inlineStr">
        <is>
          <t>社交应答</t>
        </is>
      </c>
      <c r="H29" s="121" t="inlineStr">
        <is>
          <t>DV05</t>
        </is>
      </c>
      <c r="I29" s="113" t="inlineStr">
        <is>
          <t>回答问题和请求（Responding to Questions and Requests）</t>
        </is>
      </c>
      <c r="J29" s="113" t="inlineStr">
        <is>
          <t>Generalization BL（干预前）vs INT 期泛化探测</t>
        </is>
      </c>
    </row>
    <row r="30" ht="15" customHeight="1" s="111">
      <c r="A30" s="121" t="inlineStr">
        <is>
          <t>K031</t>
        </is>
      </c>
      <c r="B30" s="122" t="inlineStr">
        <is>
          <t>002-二次</t>
        </is>
      </c>
      <c r="C30" s="121" t="inlineStr">
        <is>
          <t>Robby</t>
        </is>
      </c>
      <c r="D30" s="122" t="inlineStr">
        <is>
          <t>干预</t>
        </is>
      </c>
      <c r="E30" s="123" t="inlineStr">
        <is>
          <t>A1</t>
        </is>
      </c>
      <c r="F30" s="124" t="inlineStr">
        <is>
          <t>社交情感互惠</t>
        </is>
      </c>
      <c r="G30" s="124" t="inlineStr">
        <is>
          <t>会话维持</t>
        </is>
      </c>
      <c r="H30" s="121" t="inlineStr">
        <is>
          <t>DV06</t>
        </is>
      </c>
      <c r="I30" s="113" t="inlineStr">
        <is>
          <t>维持会话（Conversation Maintenance）</t>
        </is>
      </c>
      <c r="J30" s="119" t="inlineStr">
        <is>
          <t>Training BL vs INT</t>
        </is>
      </c>
    </row>
    <row r="31" ht="29.85" customHeight="1" s="111">
      <c r="A31" s="121" t="inlineStr">
        <is>
          <t>K032</t>
        </is>
      </c>
      <c r="B31" s="122" t="inlineStr">
        <is>
          <t>002-二次</t>
        </is>
      </c>
      <c r="C31" s="121" t="inlineStr">
        <is>
          <t>Robby</t>
        </is>
      </c>
      <c r="D31" s="122" t="inlineStr">
        <is>
          <t>泛化</t>
        </is>
      </c>
      <c r="E31" s="123" t="inlineStr">
        <is>
          <t>A1</t>
        </is>
      </c>
      <c r="F31" s="124" t="inlineStr">
        <is>
          <t>社交情感互惠</t>
        </is>
      </c>
      <c r="G31" s="124" t="inlineStr">
        <is>
          <t>会话维持</t>
        </is>
      </c>
      <c r="H31" s="121" t="inlineStr">
        <is>
          <t>DV06</t>
        </is>
      </c>
      <c r="I31" s="113" t="inlineStr">
        <is>
          <t>维持会话（Conversation Maintenance）</t>
        </is>
      </c>
      <c r="J31" s="113" t="inlineStr">
        <is>
          <t>Generalization BL（干预前）vs INT 期泛化探测</t>
        </is>
      </c>
    </row>
    <row r="32" ht="29.85" customHeight="1" s="111">
      <c r="A32" s="121" t="inlineStr">
        <is>
          <t>K033</t>
        </is>
      </c>
      <c r="B32" s="122" t="inlineStr">
        <is>
          <t>004-二次</t>
        </is>
      </c>
      <c r="C32" s="121" t="inlineStr">
        <is>
          <t>Nick</t>
        </is>
      </c>
      <c r="D32" s="122" t="inlineStr">
        <is>
          <t>干预</t>
        </is>
      </c>
      <c r="E32" s="127" t="inlineStr">
        <is>
          <t>A3</t>
        </is>
      </c>
      <c r="F32" s="128" t="inlineStr">
        <is>
          <t>人际关系发展</t>
        </is>
      </c>
      <c r="G32" s="128" t="inlineStr">
        <is>
          <t>游戏邀请</t>
        </is>
      </c>
      <c r="H32" s="121" t="inlineStr">
        <is>
          <t>DV07</t>
        </is>
      </c>
      <c r="I32" s="113" t="inlineStr">
        <is>
          <t>被拒后坚持向同伴发起游戏邀请</t>
        </is>
      </c>
      <c r="J32" s="113" t="inlineStr">
        <is>
          <t>基线期 vs PVMI 干预期（原情境，实心圆）</t>
        </is>
      </c>
    </row>
    <row r="33" ht="29.85" customHeight="1" s="111">
      <c r="A33" s="121" t="inlineStr">
        <is>
          <t>K034</t>
        </is>
      </c>
      <c r="B33" s="122" t="inlineStr">
        <is>
          <t>004-二次</t>
        </is>
      </c>
      <c r="C33" s="121" t="inlineStr">
        <is>
          <t>Kelly</t>
        </is>
      </c>
      <c r="D33" s="122" t="inlineStr">
        <is>
          <t>干预</t>
        </is>
      </c>
      <c r="E33" s="127" t="inlineStr">
        <is>
          <t>A3</t>
        </is>
      </c>
      <c r="F33" s="128" t="inlineStr">
        <is>
          <t>人际关系发展</t>
        </is>
      </c>
      <c r="G33" s="128" t="inlineStr">
        <is>
          <t>游戏邀请</t>
        </is>
      </c>
      <c r="H33" s="121" t="inlineStr">
        <is>
          <t>DV07</t>
        </is>
      </c>
      <c r="I33" s="113" t="inlineStr">
        <is>
          <t>被拒后坚持向同伴发起游戏邀请</t>
        </is>
      </c>
      <c r="J33" s="113" t="inlineStr">
        <is>
          <t>基线期 vs PVMI 干预期（原情境，实心圆）</t>
        </is>
      </c>
    </row>
    <row r="34" ht="29.85" customHeight="1" s="111">
      <c r="A34" s="121" t="inlineStr">
        <is>
          <t>K035</t>
        </is>
      </c>
      <c r="B34" s="122" t="inlineStr">
        <is>
          <t>004-二次</t>
        </is>
      </c>
      <c r="C34" s="121" t="inlineStr">
        <is>
          <t>Mike</t>
        </is>
      </c>
      <c r="D34" s="122" t="inlineStr">
        <is>
          <t>干预</t>
        </is>
      </c>
      <c r="E34" s="127" t="inlineStr">
        <is>
          <t>A3</t>
        </is>
      </c>
      <c r="F34" s="128" t="inlineStr">
        <is>
          <t>人际关系发展</t>
        </is>
      </c>
      <c r="G34" s="128" t="inlineStr">
        <is>
          <t>游戏邀请</t>
        </is>
      </c>
      <c r="H34" s="121" t="inlineStr">
        <is>
          <t>DV07</t>
        </is>
      </c>
      <c r="I34" s="113" t="inlineStr">
        <is>
          <t>被拒后坚持向同伴发起游戏邀请</t>
        </is>
      </c>
      <c r="J34" s="113" t="inlineStr">
        <is>
          <t>基线期 vs PVMI 干预期（原情境，实心圆）</t>
        </is>
      </c>
    </row>
    <row r="35" ht="29.85" customHeight="1" s="111">
      <c r="A35" s="121" t="inlineStr">
        <is>
          <t>K036</t>
        </is>
      </c>
      <c r="B35" s="122" t="inlineStr">
        <is>
          <t>004-二次</t>
        </is>
      </c>
      <c r="C35" s="121" t="inlineStr">
        <is>
          <t>Jake</t>
        </is>
      </c>
      <c r="D35" s="122" t="inlineStr">
        <is>
          <t>干预</t>
        </is>
      </c>
      <c r="E35" s="127" t="inlineStr">
        <is>
          <t>A3</t>
        </is>
      </c>
      <c r="F35" s="128" t="inlineStr">
        <is>
          <t>人际关系发展</t>
        </is>
      </c>
      <c r="G35" s="128" t="inlineStr">
        <is>
          <t>游戏邀请</t>
        </is>
      </c>
      <c r="H35" s="121" t="inlineStr">
        <is>
          <t>DV07</t>
        </is>
      </c>
      <c r="I35" s="113" t="inlineStr">
        <is>
          <t>被拒后坚持向同伴发起游戏邀请</t>
        </is>
      </c>
      <c r="J35" s="113" t="inlineStr">
        <is>
          <t>基线期 vs PVMI 干预期（原情境，实心圆）</t>
        </is>
      </c>
    </row>
    <row r="36" ht="15" customHeight="1" s="111">
      <c r="A36" s="121" t="inlineStr">
        <is>
          <t>K039</t>
        </is>
      </c>
      <c r="B36" s="122" t="inlineStr">
        <is>
          <t>005-二次</t>
        </is>
      </c>
      <c r="C36" s="121" t="inlineStr">
        <is>
          <t>Anna</t>
        </is>
      </c>
      <c r="D36" s="122" t="inlineStr">
        <is>
          <t>干预</t>
        </is>
      </c>
      <c r="E36" s="123" t="inlineStr">
        <is>
          <t>A1</t>
        </is>
      </c>
      <c r="F36" s="124" t="inlineStr">
        <is>
          <t>社交情感互惠</t>
        </is>
      </c>
      <c r="G36" s="124" t="inlineStr">
        <is>
          <t>需求表达</t>
        </is>
      </c>
      <c r="H36" s="121" t="inlineStr">
        <is>
          <t>DV08</t>
        </is>
      </c>
      <c r="I36" s="113" t="inlineStr">
        <is>
          <t>条件请求（conditional mands）</t>
        </is>
      </c>
      <c r="J36" s="113" t="inlineStr">
        <is>
          <t>该任务基线期 vs 视频示范干预期</t>
        </is>
      </c>
    </row>
    <row r="37" ht="15" customHeight="1" s="111">
      <c r="A37" s="121" t="inlineStr">
        <is>
          <t>K040</t>
        </is>
      </c>
      <c r="B37" s="122" t="inlineStr">
        <is>
          <t>005-二次</t>
        </is>
      </c>
      <c r="C37" s="121" t="inlineStr">
        <is>
          <t>Brian</t>
        </is>
      </c>
      <c r="D37" s="122" t="inlineStr">
        <is>
          <t>干预</t>
        </is>
      </c>
      <c r="E37" s="123" t="inlineStr">
        <is>
          <t>A1</t>
        </is>
      </c>
      <c r="F37" s="124" t="inlineStr">
        <is>
          <t>社交情感互惠</t>
        </is>
      </c>
      <c r="G37" s="124" t="inlineStr">
        <is>
          <t>需求表达</t>
        </is>
      </c>
      <c r="H37" s="121" t="inlineStr">
        <is>
          <t>DV09</t>
        </is>
      </c>
      <c r="I37" s="113" t="inlineStr">
        <is>
          <t>提问（Where/Who问句）</t>
        </is>
      </c>
      <c r="J37" s="113" t="inlineStr">
        <is>
          <t>该任务基线期 vs 视频示范干预期</t>
        </is>
      </c>
    </row>
    <row r="38" ht="15" customHeight="1" s="111">
      <c r="A38" s="121" t="inlineStr">
        <is>
          <t>K041</t>
        </is>
      </c>
      <c r="B38" s="122" t="inlineStr">
        <is>
          <t>005-二次</t>
        </is>
      </c>
      <c r="C38" s="121" t="inlineStr">
        <is>
          <t>Brian</t>
        </is>
      </c>
      <c r="D38" s="122" t="inlineStr">
        <is>
          <t>干预</t>
        </is>
      </c>
      <c r="E38" s="123" t="inlineStr">
        <is>
          <t>A1</t>
        </is>
      </c>
      <c r="F38" s="124" t="inlineStr">
        <is>
          <t>社交情感互惠</t>
        </is>
      </c>
      <c r="G38" s="124" t="inlineStr">
        <is>
          <t>需求表达</t>
        </is>
      </c>
      <c r="H38" s="121" t="inlineStr">
        <is>
          <t>DV09</t>
        </is>
      </c>
      <c r="I38" s="113" t="inlineStr">
        <is>
          <t>提问（Where/Who问句）</t>
        </is>
      </c>
      <c r="J38" s="113" t="inlineStr">
        <is>
          <t>该任务基线期 vs 视频示范干预期</t>
        </is>
      </c>
    </row>
    <row r="39" ht="15" customHeight="1" s="111">
      <c r="A39" s="121" t="inlineStr">
        <is>
          <t>K042</t>
        </is>
      </c>
      <c r="B39" s="122" t="inlineStr">
        <is>
          <t>005-二次</t>
        </is>
      </c>
      <c r="C39" s="121" t="inlineStr">
        <is>
          <t>Jason</t>
        </is>
      </c>
      <c r="D39" s="122" t="inlineStr">
        <is>
          <t>干预</t>
        </is>
      </c>
      <c r="E39" s="123" t="inlineStr">
        <is>
          <t>A1</t>
        </is>
      </c>
      <c r="F39" s="124" t="inlineStr">
        <is>
          <t>社交情感互惠</t>
        </is>
      </c>
      <c r="G39" s="124" t="inlineStr">
        <is>
          <t>会话维持</t>
        </is>
      </c>
      <c r="H39" s="121" t="inlineStr">
        <is>
          <t>DV10</t>
        </is>
      </c>
      <c r="I39" s="113" t="inlineStr">
        <is>
          <t>话题对话（回答并就话题提问；学校/家庭话题）</t>
        </is>
      </c>
      <c r="J39" s="113" t="inlineStr">
        <is>
          <t>该任务基线期 vs 视频示范干预期</t>
        </is>
      </c>
    </row>
    <row r="40" ht="15" customHeight="1" s="111">
      <c r="A40" s="121" t="inlineStr">
        <is>
          <t>K043</t>
        </is>
      </c>
      <c r="B40" s="122" t="inlineStr">
        <is>
          <t>005-二次</t>
        </is>
      </c>
      <c r="C40" s="121" t="inlineStr">
        <is>
          <t>Jason</t>
        </is>
      </c>
      <c r="D40" s="122" t="inlineStr">
        <is>
          <t>干预</t>
        </is>
      </c>
      <c r="E40" s="123" t="inlineStr">
        <is>
          <t>A1</t>
        </is>
      </c>
      <c r="F40" s="124" t="inlineStr">
        <is>
          <t>社交情感互惠</t>
        </is>
      </c>
      <c r="G40" s="124" t="inlineStr">
        <is>
          <t>会话维持</t>
        </is>
      </c>
      <c r="H40" s="121" t="inlineStr">
        <is>
          <t>DV10</t>
        </is>
      </c>
      <c r="I40" s="113" t="inlineStr">
        <is>
          <t>话题对话（回答并就话题提问；学校/家庭话题）</t>
        </is>
      </c>
      <c r="J40" s="113" t="inlineStr">
        <is>
          <t>该任务基线期 vs 视频示范干预期</t>
        </is>
      </c>
    </row>
    <row r="41" ht="29.85" customHeight="1" s="111">
      <c r="A41" s="121" t="inlineStr">
        <is>
          <t>K044</t>
        </is>
      </c>
      <c r="B41" s="122" t="inlineStr">
        <is>
          <t>005-二次</t>
        </is>
      </c>
      <c r="C41" s="121" t="inlineStr">
        <is>
          <t>Riley</t>
        </is>
      </c>
      <c r="D41" s="122" t="inlineStr">
        <is>
          <t>干预</t>
        </is>
      </c>
      <c r="E41" s="127" t="inlineStr">
        <is>
          <t>A3</t>
        </is>
      </c>
      <c r="F41" s="128" t="inlineStr">
        <is>
          <t>人际关系发展</t>
        </is>
      </c>
      <c r="G41" s="128" t="inlineStr">
        <is>
          <t>情境适应</t>
        </is>
      </c>
      <c r="H41" s="121" t="inlineStr">
        <is>
          <t>DV11</t>
        </is>
      </c>
      <c r="I41" s="113" t="inlineStr">
        <is>
          <t>互动纸牌游戏（完成一轮并说出是否配对；Old Maid/Go Fish）</t>
        </is>
      </c>
      <c r="J41" s="113" t="inlineStr">
        <is>
          <t>该任务基线期 vs 视频示范干预期</t>
        </is>
      </c>
    </row>
    <row r="42" ht="29.85" customHeight="1" s="111">
      <c r="A42" s="121" t="inlineStr">
        <is>
          <t>K045</t>
        </is>
      </c>
      <c r="B42" s="122" t="inlineStr">
        <is>
          <t>005-二次</t>
        </is>
      </c>
      <c r="C42" s="121" t="inlineStr">
        <is>
          <t>Riley</t>
        </is>
      </c>
      <c r="D42" s="122" t="inlineStr">
        <is>
          <t>干预</t>
        </is>
      </c>
      <c r="E42" s="127" t="inlineStr">
        <is>
          <t>A3</t>
        </is>
      </c>
      <c r="F42" s="128" t="inlineStr">
        <is>
          <t>人际关系发展</t>
        </is>
      </c>
      <c r="G42" s="128" t="inlineStr">
        <is>
          <t>情境适应</t>
        </is>
      </c>
      <c r="H42" s="121" t="inlineStr">
        <is>
          <t>DV11</t>
        </is>
      </c>
      <c r="I42" s="113" t="inlineStr">
        <is>
          <t>互动纸牌游戏（完成一轮并说出是否配对；Old Maid/Go Fish）</t>
        </is>
      </c>
      <c r="J42" s="113" t="inlineStr">
        <is>
          <t>该任务基线期 vs 视频示范干预期</t>
        </is>
      </c>
    </row>
    <row r="43" ht="15" customHeight="1" s="111">
      <c r="A43" s="121" t="inlineStr">
        <is>
          <t>K083</t>
        </is>
      </c>
      <c r="B43" s="122" t="inlineStr">
        <is>
          <t>011-二次</t>
        </is>
      </c>
      <c r="C43" s="121" t="inlineStr">
        <is>
          <t>Max</t>
        </is>
      </c>
      <c r="D43" s="122" t="inlineStr">
        <is>
          <t>干预</t>
        </is>
      </c>
      <c r="E43" s="123" t="inlineStr">
        <is>
          <t>A1</t>
        </is>
      </c>
      <c r="F43" s="124" t="inlineStr">
        <is>
          <t>社交情感互惠</t>
        </is>
      </c>
      <c r="G43" s="124" t="inlineStr">
        <is>
          <t>情感分享</t>
        </is>
      </c>
      <c r="H43" s="121" t="inlineStr">
        <is>
          <t>DV12</t>
        </is>
      </c>
      <c r="I43" s="113" t="inlineStr">
        <is>
          <t>社交评论（Social Commenting）</t>
        </is>
      </c>
      <c r="J43" s="119" t="inlineStr">
        <is>
          <t>Baseline vs Video Modeling</t>
        </is>
      </c>
    </row>
    <row r="44" ht="15" customHeight="1" s="111">
      <c r="A44" s="121" t="inlineStr">
        <is>
          <t>K084</t>
        </is>
      </c>
      <c r="B44" s="122" t="inlineStr">
        <is>
          <t>011-二次</t>
        </is>
      </c>
      <c r="C44" s="121" t="inlineStr">
        <is>
          <t>Mike</t>
        </is>
      </c>
      <c r="D44" s="122" t="inlineStr">
        <is>
          <t>干预</t>
        </is>
      </c>
      <c r="E44" s="123" t="inlineStr">
        <is>
          <t>A1</t>
        </is>
      </c>
      <c r="F44" s="124" t="inlineStr">
        <is>
          <t>社交情感互惠</t>
        </is>
      </c>
      <c r="G44" s="124" t="inlineStr">
        <is>
          <t>社交应答</t>
        </is>
      </c>
      <c r="H44" s="121" t="inlineStr">
        <is>
          <t>DV13</t>
        </is>
      </c>
      <c r="I44" s="113" t="inlineStr">
        <is>
          <t>回应问候（Greetings）</t>
        </is>
      </c>
      <c r="J44" s="119" t="inlineStr">
        <is>
          <t>Baseline vs Video Modeling</t>
        </is>
      </c>
    </row>
    <row r="45" ht="15" customHeight="1" s="111">
      <c r="A45" s="121" t="inlineStr">
        <is>
          <t>K085</t>
        </is>
      </c>
      <c r="B45" s="122" t="inlineStr">
        <is>
          <t>011-二次</t>
        </is>
      </c>
      <c r="C45" s="121" t="inlineStr">
        <is>
          <t>Kendra</t>
        </is>
      </c>
      <c r="D45" s="122" t="inlineStr">
        <is>
          <t>干预</t>
        </is>
      </c>
      <c r="E45" s="127" t="inlineStr">
        <is>
          <t>A3</t>
        </is>
      </c>
      <c r="F45" s="128" t="inlineStr">
        <is>
          <t>人际关系发展</t>
        </is>
      </c>
      <c r="G45" s="128" t="inlineStr">
        <is>
          <t>亲社会行为</t>
        </is>
      </c>
      <c r="H45" s="121" t="inlineStr">
        <is>
          <t>DV14</t>
        </is>
      </c>
      <c r="I45" s="113" t="inlineStr">
        <is>
          <t>分享（Sharing）</t>
        </is>
      </c>
      <c r="J45" s="119" t="inlineStr">
        <is>
          <t>Baseline vs Video Modeling</t>
        </is>
      </c>
    </row>
    <row r="46" ht="15" customHeight="1" s="111">
      <c r="A46" s="121" t="inlineStr">
        <is>
          <t>K098</t>
        </is>
      </c>
      <c r="B46" s="122" t="inlineStr">
        <is>
          <t>013-滚雪球</t>
        </is>
      </c>
      <c r="C46" s="121" t="inlineStr">
        <is>
          <t>Clay</t>
        </is>
      </c>
      <c r="D46" s="122" t="inlineStr">
        <is>
          <t>干预</t>
        </is>
      </c>
      <c r="E46" s="123" t="inlineStr">
        <is>
          <t>A1</t>
        </is>
      </c>
      <c r="F46" s="124" t="inlineStr">
        <is>
          <t>社交情感互惠</t>
        </is>
      </c>
      <c r="G46" s="124" t="inlineStr">
        <is>
          <t>社交发起</t>
        </is>
      </c>
      <c r="H46" s="121" t="inlineStr">
        <is>
          <t>DV16</t>
        </is>
      </c>
      <c r="I46" s="113" t="inlineStr">
        <is>
          <t>介绍自己（Introducing Self）</t>
        </is>
      </c>
      <c r="J46" s="119" t="inlineStr">
        <is>
          <t>BL vs INT</t>
        </is>
      </c>
    </row>
    <row r="47" ht="15" customHeight="1" s="111">
      <c r="A47" s="121" t="inlineStr">
        <is>
          <t>K099</t>
        </is>
      </c>
      <c r="B47" s="122" t="inlineStr">
        <is>
          <t>013-滚雪球</t>
        </is>
      </c>
      <c r="C47" s="121" t="inlineStr">
        <is>
          <t>Clay</t>
        </is>
      </c>
      <c r="D47" s="122" t="inlineStr">
        <is>
          <t>维持</t>
        </is>
      </c>
      <c r="E47" s="123" t="inlineStr">
        <is>
          <t>A1</t>
        </is>
      </c>
      <c r="F47" s="124" t="inlineStr">
        <is>
          <t>社交情感互惠</t>
        </is>
      </c>
      <c r="G47" s="124" t="inlineStr">
        <is>
          <t>社交发起</t>
        </is>
      </c>
      <c r="H47" s="121" t="inlineStr">
        <is>
          <t>DV16</t>
        </is>
      </c>
      <c r="I47" s="113" t="inlineStr">
        <is>
          <t>介绍自己（Introducing Self）</t>
        </is>
      </c>
      <c r="J47" s="113" t="inlineStr">
        <is>
          <t>BL vs MAIN＋6WK FU（合并）</t>
        </is>
      </c>
    </row>
    <row r="48" ht="15" customHeight="1" s="111">
      <c r="A48" s="121" t="inlineStr">
        <is>
          <t>K102</t>
        </is>
      </c>
      <c r="B48" s="122" t="inlineStr">
        <is>
          <t>013-滚雪球</t>
        </is>
      </c>
      <c r="C48" s="121" t="inlineStr">
        <is>
          <t>Clay</t>
        </is>
      </c>
      <c r="D48" s="122" t="inlineStr">
        <is>
          <t>干预</t>
        </is>
      </c>
      <c r="E48" s="127" t="inlineStr">
        <is>
          <t>A3</t>
        </is>
      </c>
      <c r="F48" s="128" t="inlineStr">
        <is>
          <t>人际关系发展</t>
        </is>
      </c>
      <c r="G48" s="128" t="inlineStr">
        <is>
          <t>群体融入</t>
        </is>
      </c>
      <c r="H48" s="121" t="inlineStr">
        <is>
          <t>DV17</t>
        </is>
      </c>
      <c r="I48" s="113" t="inlineStr">
        <is>
          <t>参与（Participate）</t>
        </is>
      </c>
      <c r="J48" s="119" t="inlineStr">
        <is>
          <t>BL vs INT</t>
        </is>
      </c>
    </row>
    <row r="49" ht="15" customHeight="1" s="111">
      <c r="A49" s="121" t="inlineStr">
        <is>
          <t>K103</t>
        </is>
      </c>
      <c r="B49" s="122" t="inlineStr">
        <is>
          <t>013-滚雪球</t>
        </is>
      </c>
      <c r="C49" s="121" t="inlineStr">
        <is>
          <t>Clay</t>
        </is>
      </c>
      <c r="D49" s="122" t="inlineStr">
        <is>
          <t>维持</t>
        </is>
      </c>
      <c r="E49" s="127" t="inlineStr">
        <is>
          <t>A3</t>
        </is>
      </c>
      <c r="F49" s="128" t="inlineStr">
        <is>
          <t>人际关系发展</t>
        </is>
      </c>
      <c r="G49" s="128" t="inlineStr">
        <is>
          <t>群体融入</t>
        </is>
      </c>
      <c r="H49" s="121" t="inlineStr">
        <is>
          <t>DV17</t>
        </is>
      </c>
      <c r="I49" s="113" t="inlineStr">
        <is>
          <t>参与（Participate）</t>
        </is>
      </c>
      <c r="J49" s="113" t="inlineStr">
        <is>
          <t>BL vs MAIN＋6WK FU（合并）</t>
        </is>
      </c>
    </row>
    <row r="50" ht="15" customHeight="1" s="111">
      <c r="A50" s="121" t="inlineStr">
        <is>
          <t>K104</t>
        </is>
      </c>
      <c r="B50" s="122" t="inlineStr">
        <is>
          <t>013-滚雪球</t>
        </is>
      </c>
      <c r="C50" s="121" t="inlineStr">
        <is>
          <t>Clay</t>
        </is>
      </c>
      <c r="D50" s="122" t="inlineStr">
        <is>
          <t>干预</t>
        </is>
      </c>
      <c r="E50" s="125" t="inlineStr">
        <is>
          <t>A2</t>
        </is>
      </c>
      <c r="F50" s="126" t="inlineStr">
        <is>
          <t>非言语沟通</t>
        </is>
      </c>
      <c r="G50" s="126" t="inlineStr">
        <is>
          <t>交往仪态</t>
        </is>
      </c>
      <c r="H50" s="121" t="inlineStr">
        <is>
          <t>DV18</t>
        </is>
      </c>
      <c r="I50" s="113" t="inlineStr">
        <is>
          <t>非言语基本技能（Body Basics）</t>
        </is>
      </c>
      <c r="J50" s="119" t="inlineStr">
        <is>
          <t>BL vs INT</t>
        </is>
      </c>
    </row>
    <row r="51" ht="15" customHeight="1" s="111">
      <c r="A51" s="121" t="inlineStr">
        <is>
          <t>K105</t>
        </is>
      </c>
      <c r="B51" s="122" t="inlineStr">
        <is>
          <t>013-滚雪球</t>
        </is>
      </c>
      <c r="C51" s="121" t="inlineStr">
        <is>
          <t>Clay</t>
        </is>
      </c>
      <c r="D51" s="122" t="inlineStr">
        <is>
          <t>维持</t>
        </is>
      </c>
      <c r="E51" s="125" t="inlineStr">
        <is>
          <t>A2</t>
        </is>
      </c>
      <c r="F51" s="126" t="inlineStr">
        <is>
          <t>非言语沟通</t>
        </is>
      </c>
      <c r="G51" s="126" t="inlineStr">
        <is>
          <t>交往仪态</t>
        </is>
      </c>
      <c r="H51" s="121" t="inlineStr">
        <is>
          <t>DV18</t>
        </is>
      </c>
      <c r="I51" s="113" t="inlineStr">
        <is>
          <t>非言语基本技能（Body Basics）</t>
        </is>
      </c>
      <c r="J51" s="119" t="inlineStr">
        <is>
          <t>BL vs 6WK FU</t>
        </is>
      </c>
    </row>
    <row r="52" ht="15" customHeight="1" s="111">
      <c r="A52" s="121" t="inlineStr">
        <is>
          <t>K106</t>
        </is>
      </c>
      <c r="B52" s="122" t="inlineStr">
        <is>
          <t>013-滚雪球</t>
        </is>
      </c>
      <c r="C52" s="121" t="inlineStr">
        <is>
          <t>Jack</t>
        </is>
      </c>
      <c r="D52" s="122" t="inlineStr">
        <is>
          <t>干预</t>
        </is>
      </c>
      <c r="E52" s="123" t="inlineStr">
        <is>
          <t>A1</t>
        </is>
      </c>
      <c r="F52" s="124" t="inlineStr">
        <is>
          <t>社交情感互惠</t>
        </is>
      </c>
      <c r="G52" s="124" t="inlineStr">
        <is>
          <t>社交发起</t>
        </is>
      </c>
      <c r="H52" s="121" t="inlineStr">
        <is>
          <t>DV16</t>
        </is>
      </c>
      <c r="I52" s="113" t="inlineStr">
        <is>
          <t>介绍自己（Introducing Self）</t>
        </is>
      </c>
      <c r="J52" s="119" t="inlineStr">
        <is>
          <t>BL vs INT</t>
        </is>
      </c>
    </row>
    <row r="53" ht="15" customHeight="1" s="111">
      <c r="A53" s="121" t="inlineStr">
        <is>
          <t>K107</t>
        </is>
      </c>
      <c r="B53" s="122" t="inlineStr">
        <is>
          <t>013-滚雪球</t>
        </is>
      </c>
      <c r="C53" s="121" t="inlineStr">
        <is>
          <t>Jack</t>
        </is>
      </c>
      <c r="D53" s="122" t="inlineStr">
        <is>
          <t>维持</t>
        </is>
      </c>
      <c r="E53" s="123" t="inlineStr">
        <is>
          <t>A1</t>
        </is>
      </c>
      <c r="F53" s="124" t="inlineStr">
        <is>
          <t>社交情感互惠</t>
        </is>
      </c>
      <c r="G53" s="124" t="inlineStr">
        <is>
          <t>社交发起</t>
        </is>
      </c>
      <c r="H53" s="121" t="inlineStr">
        <is>
          <t>DV16</t>
        </is>
      </c>
      <c r="I53" s="113" t="inlineStr">
        <is>
          <t>介绍自己（Introducing Self）</t>
        </is>
      </c>
      <c r="J53" s="113" t="inlineStr">
        <is>
          <t>BL vs MAIN＋6WK FU（合并）</t>
        </is>
      </c>
    </row>
    <row r="54" ht="15" customHeight="1" s="111">
      <c r="A54" s="121" t="inlineStr">
        <is>
          <t>K110</t>
        </is>
      </c>
      <c r="B54" s="122" t="inlineStr">
        <is>
          <t>013-滚雪球</t>
        </is>
      </c>
      <c r="C54" s="121" t="inlineStr">
        <is>
          <t>Jack</t>
        </is>
      </c>
      <c r="D54" s="122" t="inlineStr">
        <is>
          <t>干预</t>
        </is>
      </c>
      <c r="E54" s="127" t="inlineStr">
        <is>
          <t>A3</t>
        </is>
      </c>
      <c r="F54" s="128" t="inlineStr">
        <is>
          <t>人际关系发展</t>
        </is>
      </c>
      <c r="G54" s="128" t="inlineStr">
        <is>
          <t>群体融入</t>
        </is>
      </c>
      <c r="H54" s="121" t="inlineStr">
        <is>
          <t>DV17</t>
        </is>
      </c>
      <c r="I54" s="113" t="inlineStr">
        <is>
          <t>参与（Participate）</t>
        </is>
      </c>
      <c r="J54" s="119" t="inlineStr">
        <is>
          <t>BL vs INT</t>
        </is>
      </c>
    </row>
    <row r="55" ht="15" customHeight="1" s="111">
      <c r="A55" s="121" t="inlineStr">
        <is>
          <t>K111</t>
        </is>
      </c>
      <c r="B55" s="122" t="inlineStr">
        <is>
          <t>013-滚雪球</t>
        </is>
      </c>
      <c r="C55" s="121" t="inlineStr">
        <is>
          <t>Jack</t>
        </is>
      </c>
      <c r="D55" s="122" t="inlineStr">
        <is>
          <t>维持</t>
        </is>
      </c>
      <c r="E55" s="127" t="inlineStr">
        <is>
          <t>A3</t>
        </is>
      </c>
      <c r="F55" s="128" t="inlineStr">
        <is>
          <t>人际关系发展</t>
        </is>
      </c>
      <c r="G55" s="128" t="inlineStr">
        <is>
          <t>群体融入</t>
        </is>
      </c>
      <c r="H55" s="121" t="inlineStr">
        <is>
          <t>DV17</t>
        </is>
      </c>
      <c r="I55" s="113" t="inlineStr">
        <is>
          <t>参与（Participate）</t>
        </is>
      </c>
      <c r="J55" s="113" t="inlineStr">
        <is>
          <t>BL vs MAIN＋6WK FU（合并）</t>
        </is>
      </c>
    </row>
    <row r="56" ht="15" customHeight="1" s="111">
      <c r="A56" s="121" t="inlineStr">
        <is>
          <t>K112</t>
        </is>
      </c>
      <c r="B56" s="122" t="inlineStr">
        <is>
          <t>013-滚雪球</t>
        </is>
      </c>
      <c r="C56" s="121" t="inlineStr">
        <is>
          <t>Jack</t>
        </is>
      </c>
      <c r="D56" s="122" t="inlineStr">
        <is>
          <t>干预</t>
        </is>
      </c>
      <c r="E56" s="125" t="inlineStr">
        <is>
          <t>A2</t>
        </is>
      </c>
      <c r="F56" s="126" t="inlineStr">
        <is>
          <t>非言语沟通</t>
        </is>
      </c>
      <c r="G56" s="126" t="inlineStr">
        <is>
          <t>交往仪态</t>
        </is>
      </c>
      <c r="H56" s="121" t="inlineStr">
        <is>
          <t>DV18</t>
        </is>
      </c>
      <c r="I56" s="113" t="inlineStr">
        <is>
          <t>非言语基本技能（Body Basics）</t>
        </is>
      </c>
      <c r="J56" s="119" t="inlineStr">
        <is>
          <t>BL vs INT</t>
        </is>
      </c>
    </row>
    <row r="57" ht="15" customHeight="1" s="111">
      <c r="A57" s="121" t="inlineStr">
        <is>
          <t>K113</t>
        </is>
      </c>
      <c r="B57" s="122" t="inlineStr">
        <is>
          <t>013-滚雪球</t>
        </is>
      </c>
      <c r="C57" s="121" t="inlineStr">
        <is>
          <t>Jack</t>
        </is>
      </c>
      <c r="D57" s="122" t="inlineStr">
        <is>
          <t>维持</t>
        </is>
      </c>
      <c r="E57" s="125" t="inlineStr">
        <is>
          <t>A2</t>
        </is>
      </c>
      <c r="F57" s="126" t="inlineStr">
        <is>
          <t>非言语沟通</t>
        </is>
      </c>
      <c r="G57" s="126" t="inlineStr">
        <is>
          <t>交往仪态</t>
        </is>
      </c>
      <c r="H57" s="121" t="inlineStr">
        <is>
          <t>DV18</t>
        </is>
      </c>
      <c r="I57" s="113" t="inlineStr">
        <is>
          <t>非言语基本技能（Body Basics）</t>
        </is>
      </c>
      <c r="J57" s="119" t="inlineStr">
        <is>
          <t>BL vs 6WK FU</t>
        </is>
      </c>
    </row>
    <row r="58" ht="29.85" customHeight="1" s="111">
      <c r="A58" s="121" t="inlineStr">
        <is>
          <t>K125</t>
        </is>
      </c>
      <c r="B58" s="122" t="inlineStr">
        <is>
          <t>017-二次</t>
        </is>
      </c>
      <c r="C58" s="121" t="inlineStr">
        <is>
          <t>Vito</t>
        </is>
      </c>
      <c r="D58" s="122" t="inlineStr">
        <is>
          <t>干预</t>
        </is>
      </c>
      <c r="E58" s="127" t="inlineStr">
        <is>
          <t>A3</t>
        </is>
      </c>
      <c r="F58" s="128" t="inlineStr">
        <is>
          <t>人际关系发展</t>
        </is>
      </c>
      <c r="G58" s="128" t="inlineStr">
        <is>
          <t>群体融入</t>
        </is>
      </c>
      <c r="H58" s="121" t="inlineStr">
        <is>
          <t>DV19</t>
        </is>
      </c>
      <c r="I58" s="113" t="inlineStr">
        <is>
          <t>加入（Joining in）</t>
        </is>
      </c>
      <c r="J58" s="113" t="inlineStr">
        <is>
          <t>Baseline vs Intervention（Intervention + Prompts 段不用）</t>
        </is>
      </c>
    </row>
    <row r="59" ht="15" customHeight="1" s="111">
      <c r="A59" s="121" t="inlineStr">
        <is>
          <t>K126</t>
        </is>
      </c>
      <c r="B59" s="122" t="inlineStr">
        <is>
          <t>017-二次</t>
        </is>
      </c>
      <c r="C59" s="121" t="inlineStr">
        <is>
          <t>Vito</t>
        </is>
      </c>
      <c r="D59" s="122" t="inlineStr">
        <is>
          <t>维持</t>
        </is>
      </c>
      <c r="E59" s="127" t="inlineStr">
        <is>
          <t>A3</t>
        </is>
      </c>
      <c r="F59" s="128" t="inlineStr">
        <is>
          <t>人际关系发展</t>
        </is>
      </c>
      <c r="G59" s="128" t="inlineStr">
        <is>
          <t>群体融入</t>
        </is>
      </c>
      <c r="H59" s="121" t="inlineStr">
        <is>
          <t>DV19</t>
        </is>
      </c>
      <c r="I59" s="113" t="inlineStr">
        <is>
          <t>加入（Joining in）</t>
        </is>
      </c>
      <c r="J59" s="119" t="inlineStr">
        <is>
          <t>Baseline vs Follow-Up</t>
        </is>
      </c>
    </row>
    <row r="60" ht="29.85" customHeight="1" s="111">
      <c r="A60" s="121" t="inlineStr">
        <is>
          <t>K127</t>
        </is>
      </c>
      <c r="B60" s="122" t="inlineStr">
        <is>
          <t>017-二次</t>
        </is>
      </c>
      <c r="C60" s="121" t="inlineStr">
        <is>
          <t>Vito</t>
        </is>
      </c>
      <c r="D60" s="122" t="inlineStr">
        <is>
          <t>泛化</t>
        </is>
      </c>
      <c r="E60" s="127" t="inlineStr">
        <is>
          <t>A3</t>
        </is>
      </c>
      <c r="F60" s="128" t="inlineStr">
        <is>
          <t>人际关系发展</t>
        </is>
      </c>
      <c r="G60" s="128" t="inlineStr">
        <is>
          <t>群体融入</t>
        </is>
      </c>
      <c r="H60" s="121" t="inlineStr">
        <is>
          <t>DV19</t>
        </is>
      </c>
      <c r="I60" s="113" t="inlineStr">
        <is>
          <t>加入（Joining in）</t>
        </is>
      </c>
      <c r="J60" s="113" t="inlineStr">
        <is>
          <t>泛化 Baseline vs Intervention 段泛化探测（空心圆）</t>
        </is>
      </c>
    </row>
    <row r="61" ht="29.85" customHeight="1" s="111">
      <c r="A61" s="121" t="inlineStr">
        <is>
          <t>K128</t>
        </is>
      </c>
      <c r="B61" s="122" t="inlineStr">
        <is>
          <t>017-二次</t>
        </is>
      </c>
      <c r="C61" s="121" t="inlineStr">
        <is>
          <t>Michael</t>
        </is>
      </c>
      <c r="D61" s="122" t="inlineStr">
        <is>
          <t>干预</t>
        </is>
      </c>
      <c r="E61" s="127" t="inlineStr">
        <is>
          <t>A3</t>
        </is>
      </c>
      <c r="F61" s="128" t="inlineStr">
        <is>
          <t>人际关系发展</t>
        </is>
      </c>
      <c r="G61" s="128" t="inlineStr">
        <is>
          <t>群体融入</t>
        </is>
      </c>
      <c r="H61" s="121" t="inlineStr">
        <is>
          <t>DV19</t>
        </is>
      </c>
      <c r="I61" s="113" t="inlineStr">
        <is>
          <t>加入（Joining in）</t>
        </is>
      </c>
      <c r="J61" s="113" t="inlineStr">
        <is>
          <t>Baseline vs Intervention（Intervention + Prompts 段不用）</t>
        </is>
      </c>
    </row>
    <row r="62" ht="15" customHeight="1" s="111">
      <c r="A62" s="121" t="inlineStr">
        <is>
          <t>K129</t>
        </is>
      </c>
      <c r="B62" s="122" t="inlineStr">
        <is>
          <t>017-二次</t>
        </is>
      </c>
      <c r="C62" s="121" t="inlineStr">
        <is>
          <t>Michael</t>
        </is>
      </c>
      <c r="D62" s="122" t="inlineStr">
        <is>
          <t>维持</t>
        </is>
      </c>
      <c r="E62" s="127" t="inlineStr">
        <is>
          <t>A3</t>
        </is>
      </c>
      <c r="F62" s="128" t="inlineStr">
        <is>
          <t>人际关系发展</t>
        </is>
      </c>
      <c r="G62" s="128" t="inlineStr">
        <is>
          <t>群体融入</t>
        </is>
      </c>
      <c r="H62" s="121" t="inlineStr">
        <is>
          <t>DV19</t>
        </is>
      </c>
      <c r="I62" s="113" t="inlineStr">
        <is>
          <t>加入（Joining in）</t>
        </is>
      </c>
      <c r="J62" s="119" t="inlineStr">
        <is>
          <t>Baseline vs Follow-Up</t>
        </is>
      </c>
    </row>
    <row r="63" ht="29.85" customHeight="1" s="111">
      <c r="A63" s="121" t="inlineStr">
        <is>
          <t>K130</t>
        </is>
      </c>
      <c r="B63" s="122" t="inlineStr">
        <is>
          <t>017-二次</t>
        </is>
      </c>
      <c r="C63" s="121" t="inlineStr">
        <is>
          <t>Michael</t>
        </is>
      </c>
      <c r="D63" s="122" t="inlineStr">
        <is>
          <t>泛化</t>
        </is>
      </c>
      <c r="E63" s="127" t="inlineStr">
        <is>
          <t>A3</t>
        </is>
      </c>
      <c r="F63" s="128" t="inlineStr">
        <is>
          <t>人际关系发展</t>
        </is>
      </c>
      <c r="G63" s="128" t="inlineStr">
        <is>
          <t>群体融入</t>
        </is>
      </c>
      <c r="H63" s="121" t="inlineStr">
        <is>
          <t>DV19</t>
        </is>
      </c>
      <c r="I63" s="113" t="inlineStr">
        <is>
          <t>加入（Joining in）</t>
        </is>
      </c>
      <c r="J63" s="113" t="inlineStr">
        <is>
          <t>泛化 Baseline vs Intervention 段泛化探测（空心圆）</t>
        </is>
      </c>
    </row>
    <row r="64" ht="15" customHeight="1" s="111">
      <c r="A64" s="121" t="inlineStr">
        <is>
          <t>K131</t>
        </is>
      </c>
      <c r="B64" s="122" t="inlineStr">
        <is>
          <t>017-二次</t>
        </is>
      </c>
      <c r="C64" s="121" t="inlineStr">
        <is>
          <t>Santino</t>
        </is>
      </c>
      <c r="D64" s="122" t="inlineStr">
        <is>
          <t>干预</t>
        </is>
      </c>
      <c r="E64" s="123" t="inlineStr">
        <is>
          <t>A1</t>
        </is>
      </c>
      <c r="F64" s="124" t="inlineStr">
        <is>
          <t>社交情感互惠</t>
        </is>
      </c>
      <c r="G64" s="124" t="inlineStr">
        <is>
          <t>会话维持</t>
        </is>
      </c>
      <c r="H64" s="121" t="inlineStr">
        <is>
          <t>DV20</t>
        </is>
      </c>
      <c r="I64" s="113" t="inlineStr">
        <is>
          <t>维持会话（Maintaining conversations）</t>
        </is>
      </c>
      <c r="J64" s="119" t="inlineStr">
        <is>
          <t>Baseline vs Intervention</t>
        </is>
      </c>
    </row>
    <row r="65" ht="15" customHeight="1" s="111">
      <c r="A65" s="121" t="inlineStr">
        <is>
          <t>K132</t>
        </is>
      </c>
      <c r="B65" s="122" t="inlineStr">
        <is>
          <t>017-二次</t>
        </is>
      </c>
      <c r="C65" s="121" t="inlineStr">
        <is>
          <t>Santino</t>
        </is>
      </c>
      <c r="D65" s="122" t="inlineStr">
        <is>
          <t>维持</t>
        </is>
      </c>
      <c r="E65" s="123" t="inlineStr">
        <is>
          <t>A1</t>
        </is>
      </c>
      <c r="F65" s="124" t="inlineStr">
        <is>
          <t>社交情感互惠</t>
        </is>
      </c>
      <c r="G65" s="124" t="inlineStr">
        <is>
          <t>会话维持</t>
        </is>
      </c>
      <c r="H65" s="121" t="inlineStr">
        <is>
          <t>DV20</t>
        </is>
      </c>
      <c r="I65" s="113" t="inlineStr">
        <is>
          <t>维持会话（Maintaining conversations）</t>
        </is>
      </c>
      <c r="J65" s="119" t="inlineStr">
        <is>
          <t>Baseline vs Follow-Up</t>
        </is>
      </c>
    </row>
    <row r="66" ht="29.85" customHeight="1" s="111">
      <c r="A66" s="121" t="inlineStr">
        <is>
          <t>K133</t>
        </is>
      </c>
      <c r="B66" s="122" t="inlineStr">
        <is>
          <t>017-二次</t>
        </is>
      </c>
      <c r="C66" s="121" t="inlineStr">
        <is>
          <t>Santino</t>
        </is>
      </c>
      <c r="D66" s="122" t="inlineStr">
        <is>
          <t>泛化</t>
        </is>
      </c>
      <c r="E66" s="123" t="inlineStr">
        <is>
          <t>A1</t>
        </is>
      </c>
      <c r="F66" s="124" t="inlineStr">
        <is>
          <t>社交情感互惠</t>
        </is>
      </c>
      <c r="G66" s="124" t="inlineStr">
        <is>
          <t>会话维持</t>
        </is>
      </c>
      <c r="H66" s="121" t="inlineStr">
        <is>
          <t>DV20</t>
        </is>
      </c>
      <c r="I66" s="113" t="inlineStr">
        <is>
          <t>维持会话（Maintaining conversations）</t>
        </is>
      </c>
      <c r="J66" s="113" t="inlineStr">
        <is>
          <t>泛化 Baseline vs Intervention 段泛化探测（空心圆）</t>
        </is>
      </c>
    </row>
    <row r="67" ht="15" customHeight="1" s="111">
      <c r="A67" s="121" t="inlineStr">
        <is>
          <t>K134</t>
        </is>
      </c>
      <c r="B67" s="122" t="inlineStr">
        <is>
          <t>018-二次</t>
        </is>
      </c>
      <c r="C67" s="121" t="inlineStr">
        <is>
          <t>Luke</t>
        </is>
      </c>
      <c r="D67" s="122" t="inlineStr">
        <is>
          <t>干预</t>
        </is>
      </c>
      <c r="E67" s="123" t="inlineStr">
        <is>
          <t>A1</t>
        </is>
      </c>
      <c r="F67" s="124" t="inlineStr">
        <is>
          <t>社交情感互惠</t>
        </is>
      </c>
      <c r="G67" s="124" t="inlineStr">
        <is>
          <t>会话维持</t>
        </is>
      </c>
      <c r="H67" s="121" t="inlineStr">
        <is>
          <t>DV21</t>
        </is>
      </c>
      <c r="I67" s="113" t="inlineStr">
        <is>
          <t>会话：回答问题并反问</t>
        </is>
      </c>
      <c r="J67" s="119" t="inlineStr">
        <is>
          <t>Baseline vs Video Treatment</t>
        </is>
      </c>
    </row>
    <row r="68" ht="15" customHeight="1" s="111">
      <c r="A68" s="121" t="inlineStr">
        <is>
          <t>K135</t>
        </is>
      </c>
      <c r="B68" s="122" t="inlineStr">
        <is>
          <t>018-二次</t>
        </is>
      </c>
      <c r="C68" s="121" t="inlineStr">
        <is>
          <t>Luke</t>
        </is>
      </c>
      <c r="D68" s="122" t="inlineStr">
        <is>
          <t>干预</t>
        </is>
      </c>
      <c r="E68" s="123" t="inlineStr">
        <is>
          <t>A1</t>
        </is>
      </c>
      <c r="F68" s="124" t="inlineStr">
        <is>
          <t>社交情感互惠</t>
        </is>
      </c>
      <c r="G68" s="124" t="inlineStr">
        <is>
          <t>会话维持</t>
        </is>
      </c>
      <c r="H68" s="121" t="inlineStr">
        <is>
          <t>DV21</t>
        </is>
      </c>
      <c r="I68" s="113" t="inlineStr">
        <is>
          <t>会话：回答问题并反问</t>
        </is>
      </c>
      <c r="J68" s="119" t="inlineStr">
        <is>
          <t>Baseline vs Video Treatment</t>
        </is>
      </c>
    </row>
    <row r="69" ht="15" customHeight="1" s="111">
      <c r="A69" s="121" t="inlineStr">
        <is>
          <t>K136</t>
        </is>
      </c>
      <c r="B69" s="122" t="inlineStr">
        <is>
          <t>018-二次</t>
        </is>
      </c>
      <c r="C69" s="121" t="inlineStr">
        <is>
          <t>Sam</t>
        </is>
      </c>
      <c r="D69" s="122" t="inlineStr">
        <is>
          <t>干预</t>
        </is>
      </c>
      <c r="E69" s="123" t="inlineStr">
        <is>
          <t>A1</t>
        </is>
      </c>
      <c r="F69" s="124" t="inlineStr">
        <is>
          <t>社交情感互惠</t>
        </is>
      </c>
      <c r="G69" s="124" t="inlineStr">
        <is>
          <t>会话维持</t>
        </is>
      </c>
      <c r="H69" s="121" t="inlineStr">
        <is>
          <t>DV21</t>
        </is>
      </c>
      <c r="I69" s="113" t="inlineStr">
        <is>
          <t>会话：回答问题并反问</t>
        </is>
      </c>
      <c r="J69" s="119" t="inlineStr">
        <is>
          <t>Baseline vs Video Treatment</t>
        </is>
      </c>
    </row>
    <row r="70" ht="15" customHeight="1" s="111">
      <c r="A70" s="121" t="inlineStr">
        <is>
          <t>K137</t>
        </is>
      </c>
      <c r="B70" s="122" t="inlineStr">
        <is>
          <t>018-二次</t>
        </is>
      </c>
      <c r="C70" s="121" t="inlineStr">
        <is>
          <t>Sam</t>
        </is>
      </c>
      <c r="D70" s="122" t="inlineStr">
        <is>
          <t>干预</t>
        </is>
      </c>
      <c r="E70" s="123" t="inlineStr">
        <is>
          <t>A1</t>
        </is>
      </c>
      <c r="F70" s="124" t="inlineStr">
        <is>
          <t>社交情感互惠</t>
        </is>
      </c>
      <c r="G70" s="124" t="inlineStr">
        <is>
          <t>会话维持</t>
        </is>
      </c>
      <c r="H70" s="121" t="inlineStr">
        <is>
          <t>DV21</t>
        </is>
      </c>
      <c r="I70" s="113" t="inlineStr">
        <is>
          <t>会话：回答问题并反问</t>
        </is>
      </c>
      <c r="J70" s="119" t="inlineStr">
        <is>
          <t>Baseline vs Video Treatment</t>
        </is>
      </c>
    </row>
    <row r="71" ht="15" customHeight="1" s="111">
      <c r="A71" s="121" t="inlineStr">
        <is>
          <t>K138</t>
        </is>
      </c>
      <c r="B71" s="122" t="inlineStr">
        <is>
          <t>018-二次</t>
        </is>
      </c>
      <c r="C71" s="121" t="inlineStr">
        <is>
          <t>Joey</t>
        </is>
      </c>
      <c r="D71" s="122" t="inlineStr">
        <is>
          <t>干预</t>
        </is>
      </c>
      <c r="E71" s="123" t="inlineStr">
        <is>
          <t>A1</t>
        </is>
      </c>
      <c r="F71" s="124" t="inlineStr">
        <is>
          <t>社交情感互惠</t>
        </is>
      </c>
      <c r="G71" s="124" t="inlineStr">
        <is>
          <t>会话维持</t>
        </is>
      </c>
      <c r="H71" s="121" t="inlineStr">
        <is>
          <t>DV21</t>
        </is>
      </c>
      <c r="I71" s="113" t="inlineStr">
        <is>
          <t>会话：回答问题并反问</t>
        </is>
      </c>
      <c r="J71" s="119" t="inlineStr">
        <is>
          <t>Baseline vs Video Treatment</t>
        </is>
      </c>
    </row>
    <row r="72" ht="15" customHeight="1" s="111">
      <c r="A72" s="121" t="inlineStr">
        <is>
          <t>K139</t>
        </is>
      </c>
      <c r="B72" s="122" t="inlineStr">
        <is>
          <t>018-二次</t>
        </is>
      </c>
      <c r="C72" s="121" t="inlineStr">
        <is>
          <t>Joey</t>
        </is>
      </c>
      <c r="D72" s="122" t="inlineStr">
        <is>
          <t>干预</t>
        </is>
      </c>
      <c r="E72" s="123" t="inlineStr">
        <is>
          <t>A1</t>
        </is>
      </c>
      <c r="F72" s="124" t="inlineStr">
        <is>
          <t>社交情感互惠</t>
        </is>
      </c>
      <c r="G72" s="124" t="inlineStr">
        <is>
          <t>会话维持</t>
        </is>
      </c>
      <c r="H72" s="121" t="inlineStr">
        <is>
          <t>DV21</t>
        </is>
      </c>
      <c r="I72" s="113" t="inlineStr">
        <is>
          <t>会话：回答问题并反问</t>
        </is>
      </c>
      <c r="J72" s="119" t="inlineStr">
        <is>
          <t>Baseline vs Video Treatment</t>
        </is>
      </c>
    </row>
    <row r="73" ht="15" customHeight="1" s="111">
      <c r="A73" s="121" t="inlineStr">
        <is>
          <t>K140</t>
        </is>
      </c>
      <c r="B73" s="122" t="inlineStr">
        <is>
          <t>018-二次</t>
        </is>
      </c>
      <c r="C73" s="121" t="inlineStr">
        <is>
          <t>Jack</t>
        </is>
      </c>
      <c r="D73" s="122" t="inlineStr">
        <is>
          <t>干预</t>
        </is>
      </c>
      <c r="E73" s="123" t="inlineStr">
        <is>
          <t>A1</t>
        </is>
      </c>
      <c r="F73" s="124" t="inlineStr">
        <is>
          <t>社交情感互惠</t>
        </is>
      </c>
      <c r="G73" s="124" t="inlineStr">
        <is>
          <t>会话维持</t>
        </is>
      </c>
      <c r="H73" s="121" t="inlineStr">
        <is>
          <t>DV21</t>
        </is>
      </c>
      <c r="I73" s="113" t="inlineStr">
        <is>
          <t>会话：回答问题并反问</t>
        </is>
      </c>
      <c r="J73" s="119" t="inlineStr">
        <is>
          <t>Baseline vs Video Treatment</t>
        </is>
      </c>
    </row>
    <row r="74" ht="15" customHeight="1" s="111">
      <c r="A74" s="121" t="inlineStr">
        <is>
          <t>K141</t>
        </is>
      </c>
      <c r="B74" s="122" t="inlineStr">
        <is>
          <t>018-二次</t>
        </is>
      </c>
      <c r="C74" s="121" t="inlineStr">
        <is>
          <t>Jack</t>
        </is>
      </c>
      <c r="D74" s="122" t="inlineStr">
        <is>
          <t>干预</t>
        </is>
      </c>
      <c r="E74" s="123" t="inlineStr">
        <is>
          <t>A1</t>
        </is>
      </c>
      <c r="F74" s="124" t="inlineStr">
        <is>
          <t>社交情感互惠</t>
        </is>
      </c>
      <c r="G74" s="124" t="inlineStr">
        <is>
          <t>会话维持</t>
        </is>
      </c>
      <c r="H74" s="121" t="inlineStr">
        <is>
          <t>DV21</t>
        </is>
      </c>
      <c r="I74" s="113" t="inlineStr">
        <is>
          <t>会话：回答问题并反问</t>
        </is>
      </c>
      <c r="J74" s="119" t="inlineStr">
        <is>
          <t>Baseline vs Video Treatment</t>
        </is>
      </c>
    </row>
    <row r="75" ht="15" customHeight="1" s="111">
      <c r="A75" s="121" t="inlineStr">
        <is>
          <t>K142</t>
        </is>
      </c>
      <c r="B75" s="122" t="inlineStr">
        <is>
          <t>018-二次</t>
        </is>
      </c>
      <c r="C75" s="121" t="inlineStr">
        <is>
          <t>Jack</t>
        </is>
      </c>
      <c r="D75" s="122" t="inlineStr">
        <is>
          <t>维持</t>
        </is>
      </c>
      <c r="E75" s="123" t="inlineStr">
        <is>
          <t>A1</t>
        </is>
      </c>
      <c r="F75" s="124" t="inlineStr">
        <is>
          <t>社交情感互惠</t>
        </is>
      </c>
      <c r="G75" s="124" t="inlineStr">
        <is>
          <t>会话维持</t>
        </is>
      </c>
      <c r="H75" s="121" t="inlineStr">
        <is>
          <t>DV21</t>
        </is>
      </c>
      <c r="I75" s="113" t="inlineStr">
        <is>
          <t>会话：回答问题并反问</t>
        </is>
      </c>
      <c r="J75" s="113" t="inlineStr">
        <is>
          <t>Baseline vs 2 个月 Follow-up</t>
        </is>
      </c>
    </row>
    <row r="76" ht="15" customHeight="1" s="111">
      <c r="A76" s="121" t="inlineStr">
        <is>
          <t>K143</t>
        </is>
      </c>
      <c r="B76" s="122" t="inlineStr">
        <is>
          <t>018-二次</t>
        </is>
      </c>
      <c r="C76" s="121" t="inlineStr">
        <is>
          <t>Chuck</t>
        </is>
      </c>
      <c r="D76" s="122" t="inlineStr">
        <is>
          <t>干预</t>
        </is>
      </c>
      <c r="E76" s="123" t="inlineStr">
        <is>
          <t>A1</t>
        </is>
      </c>
      <c r="F76" s="124" t="inlineStr">
        <is>
          <t>社交情感互惠</t>
        </is>
      </c>
      <c r="G76" s="124" t="inlineStr">
        <is>
          <t>会话维持</t>
        </is>
      </c>
      <c r="H76" s="121" t="inlineStr">
        <is>
          <t>DV21</t>
        </is>
      </c>
      <c r="I76" s="113" t="inlineStr">
        <is>
          <t>会话：回答问题并反问</t>
        </is>
      </c>
      <c r="J76" s="119" t="inlineStr">
        <is>
          <t>Baseline vs Video Treatment</t>
        </is>
      </c>
    </row>
    <row r="77" ht="15" customHeight="1" s="111">
      <c r="A77" s="121" t="inlineStr">
        <is>
          <t>K144</t>
        </is>
      </c>
      <c r="B77" s="122" t="inlineStr">
        <is>
          <t>018-二次</t>
        </is>
      </c>
      <c r="C77" s="121" t="inlineStr">
        <is>
          <t>Chuck</t>
        </is>
      </c>
      <c r="D77" s="122" t="inlineStr">
        <is>
          <t>干预</t>
        </is>
      </c>
      <c r="E77" s="123" t="inlineStr">
        <is>
          <t>A1</t>
        </is>
      </c>
      <c r="F77" s="124" t="inlineStr">
        <is>
          <t>社交情感互惠</t>
        </is>
      </c>
      <c r="G77" s="124" t="inlineStr">
        <is>
          <t>会话维持</t>
        </is>
      </c>
      <c r="H77" s="121" t="inlineStr">
        <is>
          <t>DV21</t>
        </is>
      </c>
      <c r="I77" s="113" t="inlineStr">
        <is>
          <t>会话：回答问题并反问</t>
        </is>
      </c>
      <c r="J77" s="119" t="inlineStr">
        <is>
          <t>Baseline vs Video Treatment</t>
        </is>
      </c>
    </row>
    <row r="78" ht="15" customHeight="1" s="111">
      <c r="A78" s="121" t="inlineStr">
        <is>
          <t>K169</t>
        </is>
      </c>
      <c r="B78" s="122" t="inlineStr">
        <is>
          <t>026-二次</t>
        </is>
      </c>
      <c r="C78" s="121" t="inlineStr">
        <is>
          <t>Taylor</t>
        </is>
      </c>
      <c r="D78" s="122" t="inlineStr">
        <is>
          <t>干预</t>
        </is>
      </c>
      <c r="E78" s="123" t="inlineStr">
        <is>
          <t>A1</t>
        </is>
      </c>
      <c r="F78" s="124" t="inlineStr">
        <is>
          <t>社交情感互惠</t>
        </is>
      </c>
      <c r="G78" s="124" t="inlineStr">
        <is>
          <t>社交发起</t>
        </is>
      </c>
      <c r="H78" s="121" t="inlineStr">
        <is>
          <t>DV22</t>
        </is>
      </c>
      <c r="I78" s="113" t="inlineStr">
        <is>
          <t>向同伴社会发起（身体发起＋发声发起）</t>
        </is>
      </c>
      <c r="J78" s="119" t="inlineStr">
        <is>
          <t>Baseline vs VSM</t>
        </is>
      </c>
    </row>
    <row r="79" ht="15" customHeight="1" s="111">
      <c r="A79" s="121" t="inlineStr">
        <is>
          <t>K170</t>
        </is>
      </c>
      <c r="B79" s="122" t="inlineStr">
        <is>
          <t>026-二次</t>
        </is>
      </c>
      <c r="C79" s="121" t="inlineStr">
        <is>
          <t>Taylor</t>
        </is>
      </c>
      <c r="D79" s="122" t="inlineStr">
        <is>
          <t>维持</t>
        </is>
      </c>
      <c r="E79" s="123" t="inlineStr">
        <is>
          <t>A1</t>
        </is>
      </c>
      <c r="F79" s="124" t="inlineStr">
        <is>
          <t>社交情感互惠</t>
        </is>
      </c>
      <c r="G79" s="124" t="inlineStr">
        <is>
          <t>社交发起</t>
        </is>
      </c>
      <c r="H79" s="121" t="inlineStr">
        <is>
          <t>DV22</t>
        </is>
      </c>
      <c r="I79" s="113" t="inlineStr">
        <is>
          <t>向同伴社会发起（身体发起＋发声发起）</t>
        </is>
      </c>
      <c r="J79" s="119" t="inlineStr">
        <is>
          <t>Baseline vs Maintenance</t>
        </is>
      </c>
    </row>
    <row r="80" ht="15" customHeight="1" s="111">
      <c r="A80" s="121" t="inlineStr">
        <is>
          <t>K171</t>
        </is>
      </c>
      <c r="B80" s="122" t="inlineStr">
        <is>
          <t>026-二次</t>
        </is>
      </c>
      <c r="C80" s="121" t="inlineStr">
        <is>
          <t>Corey</t>
        </is>
      </c>
      <c r="D80" s="122" t="inlineStr">
        <is>
          <t>干预</t>
        </is>
      </c>
      <c r="E80" s="123" t="inlineStr">
        <is>
          <t>A1</t>
        </is>
      </c>
      <c r="F80" s="124" t="inlineStr">
        <is>
          <t>社交情感互惠</t>
        </is>
      </c>
      <c r="G80" s="124" t="inlineStr">
        <is>
          <t>社交发起</t>
        </is>
      </c>
      <c r="H80" s="121" t="inlineStr">
        <is>
          <t>DV22</t>
        </is>
      </c>
      <c r="I80" s="113" t="inlineStr">
        <is>
          <t>向同伴社会发起（身体发起＋发声发起）</t>
        </is>
      </c>
      <c r="J80" s="119" t="inlineStr">
        <is>
          <t>Baseline vs VSM</t>
        </is>
      </c>
    </row>
    <row r="81" ht="15" customHeight="1" s="111">
      <c r="A81" s="121" t="inlineStr">
        <is>
          <t>K172</t>
        </is>
      </c>
      <c r="B81" s="122" t="inlineStr">
        <is>
          <t>026-二次</t>
        </is>
      </c>
      <c r="C81" s="121" t="inlineStr">
        <is>
          <t>Corey</t>
        </is>
      </c>
      <c r="D81" s="122" t="inlineStr">
        <is>
          <t>维持</t>
        </is>
      </c>
      <c r="E81" s="123" t="inlineStr">
        <is>
          <t>A1</t>
        </is>
      </c>
      <c r="F81" s="124" t="inlineStr">
        <is>
          <t>社交情感互惠</t>
        </is>
      </c>
      <c r="G81" s="124" t="inlineStr">
        <is>
          <t>社交发起</t>
        </is>
      </c>
      <c r="H81" s="121" t="inlineStr">
        <is>
          <t>DV22</t>
        </is>
      </c>
      <c r="I81" s="113" t="inlineStr">
        <is>
          <t>向同伴社会发起（身体发起＋发声发起）</t>
        </is>
      </c>
      <c r="J81" s="119" t="inlineStr">
        <is>
          <t>Baseline vs Maintenance</t>
        </is>
      </c>
    </row>
    <row r="82" ht="15" customHeight="1" s="111">
      <c r="A82" s="121" t="inlineStr">
        <is>
          <t>K173</t>
        </is>
      </c>
      <c r="B82" s="122" t="inlineStr">
        <is>
          <t>026-二次</t>
        </is>
      </c>
      <c r="C82" s="121" t="inlineStr">
        <is>
          <t>Jonathan</t>
        </is>
      </c>
      <c r="D82" s="122" t="inlineStr">
        <is>
          <t>干预</t>
        </is>
      </c>
      <c r="E82" s="123" t="inlineStr">
        <is>
          <t>A1</t>
        </is>
      </c>
      <c r="F82" s="124" t="inlineStr">
        <is>
          <t>社交情感互惠</t>
        </is>
      </c>
      <c r="G82" s="124" t="inlineStr">
        <is>
          <t>社交发起</t>
        </is>
      </c>
      <c r="H82" s="121" t="inlineStr">
        <is>
          <t>DV22</t>
        </is>
      </c>
      <c r="I82" s="113" t="inlineStr">
        <is>
          <t>向同伴社会发起（身体发起＋发声发起）</t>
        </is>
      </c>
      <c r="J82" s="119" t="inlineStr">
        <is>
          <t>Baseline vs VSM</t>
        </is>
      </c>
    </row>
    <row r="83" ht="15" customHeight="1" s="111">
      <c r="A83" s="121" t="inlineStr">
        <is>
          <t>K174</t>
        </is>
      </c>
      <c r="B83" s="122" t="inlineStr">
        <is>
          <t>026-二次</t>
        </is>
      </c>
      <c r="C83" s="121" t="inlineStr">
        <is>
          <t>Jonathan</t>
        </is>
      </c>
      <c r="D83" s="122" t="inlineStr">
        <is>
          <t>维持</t>
        </is>
      </c>
      <c r="E83" s="123" t="inlineStr">
        <is>
          <t>A1</t>
        </is>
      </c>
      <c r="F83" s="124" t="inlineStr">
        <is>
          <t>社交情感互惠</t>
        </is>
      </c>
      <c r="G83" s="124" t="inlineStr">
        <is>
          <t>社交发起</t>
        </is>
      </c>
      <c r="H83" s="121" t="inlineStr">
        <is>
          <t>DV22</t>
        </is>
      </c>
      <c r="I83" s="113" t="inlineStr">
        <is>
          <t>向同伴社会发起（身体发起＋发声发起）</t>
        </is>
      </c>
      <c r="J83" s="119" t="inlineStr">
        <is>
          <t>Baseline vs Maintenance</t>
        </is>
      </c>
    </row>
    <row r="84" ht="15" customHeight="1" s="111">
      <c r="A84" s="121" t="inlineStr">
        <is>
          <t>K175</t>
        </is>
      </c>
      <c r="B84" s="122" t="inlineStr">
        <is>
          <t>027-二次</t>
        </is>
      </c>
      <c r="C84" s="121" t="inlineStr">
        <is>
          <t>Lucy</t>
        </is>
      </c>
      <c r="D84" s="122" t="inlineStr">
        <is>
          <t>干预</t>
        </is>
      </c>
      <c r="E84" s="123" t="inlineStr">
        <is>
          <t>A1</t>
        </is>
      </c>
      <c r="F84" s="124" t="inlineStr">
        <is>
          <t>社交情感互惠</t>
        </is>
      </c>
      <c r="G84" s="124" t="inlineStr">
        <is>
          <t>社交发起</t>
        </is>
      </c>
      <c r="H84" s="121" t="inlineStr">
        <is>
          <t>DV23</t>
        </is>
      </c>
      <c r="I84" s="113" t="inlineStr">
        <is>
          <t>向同伴社会发起（身体发起＋发声发起）</t>
        </is>
      </c>
      <c r="J84" s="119" t="inlineStr">
        <is>
          <t>Baseline vs VSM</t>
        </is>
      </c>
    </row>
    <row r="85" ht="15" customHeight="1" s="111">
      <c r="A85" s="121" t="inlineStr">
        <is>
          <t>K176</t>
        </is>
      </c>
      <c r="B85" s="122" t="inlineStr">
        <is>
          <t>027-二次</t>
        </is>
      </c>
      <c r="C85" s="121" t="inlineStr">
        <is>
          <t>Lucy</t>
        </is>
      </c>
      <c r="D85" s="122" t="inlineStr">
        <is>
          <t>维持</t>
        </is>
      </c>
      <c r="E85" s="123" t="inlineStr">
        <is>
          <t>A1</t>
        </is>
      </c>
      <c r="F85" s="124" t="inlineStr">
        <is>
          <t>社交情感互惠</t>
        </is>
      </c>
      <c r="G85" s="124" t="inlineStr">
        <is>
          <t>社交发起</t>
        </is>
      </c>
      <c r="H85" s="121" t="inlineStr">
        <is>
          <t>DV23</t>
        </is>
      </c>
      <c r="I85" s="113" t="inlineStr">
        <is>
          <t>向同伴社会发起（身体发起＋发声发起）</t>
        </is>
      </c>
      <c r="J85" s="119" t="inlineStr">
        <is>
          <t>Baseline vs Maintenance</t>
        </is>
      </c>
    </row>
    <row r="86" ht="15" customHeight="1" s="111">
      <c r="A86" s="121" t="inlineStr">
        <is>
          <t>K177</t>
        </is>
      </c>
      <c r="B86" s="122" t="inlineStr">
        <is>
          <t>027-二次</t>
        </is>
      </c>
      <c r="C86" s="121" t="inlineStr">
        <is>
          <t>Tim</t>
        </is>
      </c>
      <c r="D86" s="122" t="inlineStr">
        <is>
          <t>干预</t>
        </is>
      </c>
      <c r="E86" s="123" t="inlineStr">
        <is>
          <t>A1</t>
        </is>
      </c>
      <c r="F86" s="124" t="inlineStr">
        <is>
          <t>社交情感互惠</t>
        </is>
      </c>
      <c r="G86" s="124" t="inlineStr">
        <is>
          <t>社交发起</t>
        </is>
      </c>
      <c r="H86" s="121" t="inlineStr">
        <is>
          <t>DV23</t>
        </is>
      </c>
      <c r="I86" s="113" t="inlineStr">
        <is>
          <t>向同伴社会发起（身体发起＋发声发起）</t>
        </is>
      </c>
      <c r="J86" s="119" t="inlineStr">
        <is>
          <t>Baseline vs VSM</t>
        </is>
      </c>
    </row>
    <row r="87" ht="15" customHeight="1" s="111">
      <c r="A87" s="121" t="inlineStr">
        <is>
          <t>K178</t>
        </is>
      </c>
      <c r="B87" s="122" t="inlineStr">
        <is>
          <t>027-二次</t>
        </is>
      </c>
      <c r="C87" s="121" t="inlineStr">
        <is>
          <t>Tim</t>
        </is>
      </c>
      <c r="D87" s="122" t="inlineStr">
        <is>
          <t>维持</t>
        </is>
      </c>
      <c r="E87" s="123" t="inlineStr">
        <is>
          <t>A1</t>
        </is>
      </c>
      <c r="F87" s="124" t="inlineStr">
        <is>
          <t>社交情感互惠</t>
        </is>
      </c>
      <c r="G87" s="124" t="inlineStr">
        <is>
          <t>社交发起</t>
        </is>
      </c>
      <c r="H87" s="121" t="inlineStr">
        <is>
          <t>DV23</t>
        </is>
      </c>
      <c r="I87" s="113" t="inlineStr">
        <is>
          <t>向同伴社会发起（身体发起＋发声发起）</t>
        </is>
      </c>
      <c r="J87" s="119" t="inlineStr">
        <is>
          <t>Baseline vs Maintenance</t>
        </is>
      </c>
    </row>
    <row r="88" ht="15" customHeight="1" s="111">
      <c r="A88" s="121" t="inlineStr">
        <is>
          <t>K179</t>
        </is>
      </c>
      <c r="B88" s="122" t="inlineStr">
        <is>
          <t>027-二次</t>
        </is>
      </c>
      <c r="C88" s="121" t="inlineStr">
        <is>
          <t>John</t>
        </is>
      </c>
      <c r="D88" s="122" t="inlineStr">
        <is>
          <t>干预</t>
        </is>
      </c>
      <c r="E88" s="123" t="inlineStr">
        <is>
          <t>A1</t>
        </is>
      </c>
      <c r="F88" s="124" t="inlineStr">
        <is>
          <t>社交情感互惠</t>
        </is>
      </c>
      <c r="G88" s="124" t="inlineStr">
        <is>
          <t>社交发起</t>
        </is>
      </c>
      <c r="H88" s="121" t="inlineStr">
        <is>
          <t>DV23</t>
        </is>
      </c>
      <c r="I88" s="113" t="inlineStr">
        <is>
          <t>向同伴社会发起（身体发起＋发声发起）</t>
        </is>
      </c>
      <c r="J88" s="119" t="inlineStr">
        <is>
          <t>Baseline vs VSM</t>
        </is>
      </c>
    </row>
    <row r="89" ht="15" customHeight="1" s="111">
      <c r="A89" s="121" t="inlineStr">
        <is>
          <t>K180</t>
        </is>
      </c>
      <c r="B89" s="122" t="inlineStr">
        <is>
          <t>027-二次</t>
        </is>
      </c>
      <c r="C89" s="121" t="inlineStr">
        <is>
          <t>John</t>
        </is>
      </c>
      <c r="D89" s="122" t="inlineStr">
        <is>
          <t>维持</t>
        </is>
      </c>
      <c r="E89" s="123" t="inlineStr">
        <is>
          <t>A1</t>
        </is>
      </c>
      <c r="F89" s="124" t="inlineStr">
        <is>
          <t>社交情感互惠</t>
        </is>
      </c>
      <c r="G89" s="124" t="inlineStr">
        <is>
          <t>社交发起</t>
        </is>
      </c>
      <c r="H89" s="121" t="inlineStr">
        <is>
          <t>DV23</t>
        </is>
      </c>
      <c r="I89" s="113" t="inlineStr">
        <is>
          <t>向同伴社会发起（身体发起＋发声发起）</t>
        </is>
      </c>
      <c r="J89" s="119" t="inlineStr">
        <is>
          <t>Baseline vs Maintenance</t>
        </is>
      </c>
    </row>
    <row r="90" ht="15" customHeight="1" s="111">
      <c r="A90" s="121" t="inlineStr">
        <is>
          <t>K181</t>
        </is>
      </c>
      <c r="B90" s="122" t="inlineStr">
        <is>
          <t>027-二次</t>
        </is>
      </c>
      <c r="C90" s="121" t="inlineStr">
        <is>
          <t>Helen</t>
        </is>
      </c>
      <c r="D90" s="122" t="inlineStr">
        <is>
          <t>干预</t>
        </is>
      </c>
      <c r="E90" s="123" t="inlineStr">
        <is>
          <t>A1</t>
        </is>
      </c>
      <c r="F90" s="124" t="inlineStr">
        <is>
          <t>社交情感互惠</t>
        </is>
      </c>
      <c r="G90" s="124" t="inlineStr">
        <is>
          <t>社交发起</t>
        </is>
      </c>
      <c r="H90" s="121" t="inlineStr">
        <is>
          <t>DV23</t>
        </is>
      </c>
      <c r="I90" s="113" t="inlineStr">
        <is>
          <t>向同伴社会发起（身体发起＋发声发起）</t>
        </is>
      </c>
      <c r="J90" s="119" t="inlineStr">
        <is>
          <t>Baseline vs VSM</t>
        </is>
      </c>
    </row>
    <row r="91" ht="15" customHeight="1" s="111">
      <c r="A91" s="121" t="inlineStr">
        <is>
          <t>K182</t>
        </is>
      </c>
      <c r="B91" s="122" t="inlineStr">
        <is>
          <t>027-二次</t>
        </is>
      </c>
      <c r="C91" s="121" t="inlineStr">
        <is>
          <t>Helen</t>
        </is>
      </c>
      <c r="D91" s="122" t="inlineStr">
        <is>
          <t>维持</t>
        </is>
      </c>
      <c r="E91" s="123" t="inlineStr">
        <is>
          <t>A1</t>
        </is>
      </c>
      <c r="F91" s="124" t="inlineStr">
        <is>
          <t>社交情感互惠</t>
        </is>
      </c>
      <c r="G91" s="124" t="inlineStr">
        <is>
          <t>社交发起</t>
        </is>
      </c>
      <c r="H91" s="121" t="inlineStr">
        <is>
          <t>DV23</t>
        </is>
      </c>
      <c r="I91" s="113" t="inlineStr">
        <is>
          <t>向同伴社会发起（身体发起＋发声发起）</t>
        </is>
      </c>
      <c r="J91" s="119" t="inlineStr">
        <is>
          <t>Baseline vs Maintenance</t>
        </is>
      </c>
    </row>
    <row r="92" ht="15" customHeight="1" s="111">
      <c r="A92" s="121" t="inlineStr">
        <is>
          <t>K183</t>
        </is>
      </c>
      <c r="B92" s="122" t="inlineStr">
        <is>
          <t>029-二次</t>
        </is>
      </c>
      <c r="C92" s="121" t="inlineStr">
        <is>
          <t>Jerry</t>
        </is>
      </c>
      <c r="D92" s="122" t="inlineStr">
        <is>
          <t>干预</t>
        </is>
      </c>
      <c r="E92" s="123" t="inlineStr">
        <is>
          <t>A1</t>
        </is>
      </c>
      <c r="F92" s="124" t="inlineStr">
        <is>
          <t>社交情感互惠</t>
        </is>
      </c>
      <c r="G92" s="124" t="inlineStr">
        <is>
          <t>社交发起</t>
        </is>
      </c>
      <c r="H92" s="121" t="inlineStr">
        <is>
          <t>DV24</t>
        </is>
      </c>
      <c r="I92" s="113" t="inlineStr">
        <is>
          <t>向同伴自发发起游戏互动</t>
        </is>
      </c>
      <c r="J92" s="119" t="inlineStr">
        <is>
          <t>Baseline vs VSM</t>
        </is>
      </c>
    </row>
    <row r="93" ht="15" customHeight="1" s="111">
      <c r="A93" s="121" t="inlineStr">
        <is>
          <t>K184</t>
        </is>
      </c>
      <c r="B93" s="122" t="inlineStr">
        <is>
          <t>029-二次</t>
        </is>
      </c>
      <c r="C93" s="121" t="inlineStr">
        <is>
          <t>Bob</t>
        </is>
      </c>
      <c r="D93" s="122" t="inlineStr">
        <is>
          <t>干预</t>
        </is>
      </c>
      <c r="E93" s="123" t="inlineStr">
        <is>
          <t>A1</t>
        </is>
      </c>
      <c r="F93" s="124" t="inlineStr">
        <is>
          <t>社交情感互惠</t>
        </is>
      </c>
      <c r="G93" s="124" t="inlineStr">
        <is>
          <t>社交发起</t>
        </is>
      </c>
      <c r="H93" s="121" t="inlineStr">
        <is>
          <t>DV24</t>
        </is>
      </c>
      <c r="I93" s="113" t="inlineStr">
        <is>
          <t>向同伴自发发起游戏互动</t>
        </is>
      </c>
      <c r="J93" s="119" t="inlineStr">
        <is>
          <t>Baseline vs VSM</t>
        </is>
      </c>
    </row>
    <row r="94" ht="15" customHeight="1" s="111">
      <c r="A94" s="121" t="inlineStr">
        <is>
          <t>K185</t>
        </is>
      </c>
      <c r="B94" s="122" t="inlineStr">
        <is>
          <t>029-二次</t>
        </is>
      </c>
      <c r="C94" s="121" t="inlineStr">
        <is>
          <t>Phil</t>
        </is>
      </c>
      <c r="D94" s="122" t="inlineStr">
        <is>
          <t>干预</t>
        </is>
      </c>
      <c r="E94" s="123" t="inlineStr">
        <is>
          <t>A1</t>
        </is>
      </c>
      <c r="F94" s="124" t="inlineStr">
        <is>
          <t>社交情感互惠</t>
        </is>
      </c>
      <c r="G94" s="124" t="inlineStr">
        <is>
          <t>社交发起</t>
        </is>
      </c>
      <c r="H94" s="121" t="inlineStr">
        <is>
          <t>DV24</t>
        </is>
      </c>
      <c r="I94" s="113" t="inlineStr">
        <is>
          <t>向同伴自发发起游戏互动</t>
        </is>
      </c>
      <c r="J94" s="119" t="inlineStr">
        <is>
          <t>Baseline vs VSM</t>
        </is>
      </c>
    </row>
    <row r="95" ht="15" customHeight="1" s="111">
      <c r="A95" s="121" t="inlineStr">
        <is>
          <t>K186</t>
        </is>
      </c>
      <c r="B95" s="122" t="inlineStr">
        <is>
          <t>030-滚雪球</t>
        </is>
      </c>
      <c r="C95" s="121" t="inlineStr">
        <is>
          <t>Cameron</t>
        </is>
      </c>
      <c r="D95" s="122" t="inlineStr">
        <is>
          <t>干预</t>
        </is>
      </c>
      <c r="E95" s="127" t="inlineStr">
        <is>
          <t>A3</t>
        </is>
      </c>
      <c r="F95" s="128" t="inlineStr">
        <is>
          <t>人际关系发展</t>
        </is>
      </c>
      <c r="G95" s="128" t="inlineStr">
        <is>
          <t>群体融入</t>
        </is>
      </c>
      <c r="H95" s="121" t="inlineStr">
        <is>
          <t>DV25</t>
        </is>
      </c>
      <c r="I95" s="113" t="inlineStr">
        <is>
          <t>参与（Participation）</t>
        </is>
      </c>
      <c r="J95" s="119" t="inlineStr">
        <is>
          <t>Baseline vs Intervention</t>
        </is>
      </c>
    </row>
    <row r="96" ht="15" customHeight="1" s="111">
      <c r="A96" s="121" t="inlineStr">
        <is>
          <t>K187</t>
        </is>
      </c>
      <c r="B96" s="122" t="inlineStr">
        <is>
          <t>030-滚雪球</t>
        </is>
      </c>
      <c r="C96" s="121" t="inlineStr">
        <is>
          <t>Cameron</t>
        </is>
      </c>
      <c r="D96" s="122" t="inlineStr">
        <is>
          <t>维持</t>
        </is>
      </c>
      <c r="E96" s="127" t="inlineStr">
        <is>
          <t>A3</t>
        </is>
      </c>
      <c r="F96" s="128" t="inlineStr">
        <is>
          <t>人际关系发展</t>
        </is>
      </c>
      <c r="G96" s="128" t="inlineStr">
        <is>
          <t>群体融入</t>
        </is>
      </c>
      <c r="H96" s="121" t="inlineStr">
        <is>
          <t>DV25</t>
        </is>
      </c>
      <c r="I96" s="113" t="inlineStr">
        <is>
          <t>参与（Participation）</t>
        </is>
      </c>
      <c r="J96" s="113" t="inlineStr">
        <is>
          <t>Baseline vs Maintenance（训练情境）</t>
        </is>
      </c>
    </row>
    <row r="97" ht="15" customHeight="1" s="111">
      <c r="A97" s="121" t="inlineStr">
        <is>
          <t>K188</t>
        </is>
      </c>
      <c r="B97" s="122" t="inlineStr">
        <is>
          <t>030-滚雪球</t>
        </is>
      </c>
      <c r="C97" s="121" t="inlineStr">
        <is>
          <t>Cameron</t>
        </is>
      </c>
      <c r="D97" s="122" t="inlineStr">
        <is>
          <t>干预</t>
        </is>
      </c>
      <c r="E97" s="123" t="inlineStr">
        <is>
          <t>A1</t>
        </is>
      </c>
      <c r="F97" s="124" t="inlineStr">
        <is>
          <t>社交情感互惠</t>
        </is>
      </c>
      <c r="G97" s="124" t="inlineStr">
        <is>
          <t>会话维持</t>
        </is>
      </c>
      <c r="H97" s="121" t="inlineStr">
        <is>
          <t>DV26</t>
        </is>
      </c>
      <c r="I97" s="113" t="inlineStr">
        <is>
          <t>会话（Conversation）</t>
        </is>
      </c>
      <c r="J97" s="119" t="inlineStr">
        <is>
          <t>Baseline vs Intervention</t>
        </is>
      </c>
    </row>
    <row r="98" ht="15" customHeight="1" s="111">
      <c r="A98" s="121" t="inlineStr">
        <is>
          <t>K189</t>
        </is>
      </c>
      <c r="B98" s="122" t="inlineStr">
        <is>
          <t>030-滚雪球</t>
        </is>
      </c>
      <c r="C98" s="121" t="inlineStr">
        <is>
          <t>Cameron</t>
        </is>
      </c>
      <c r="D98" s="122" t="inlineStr">
        <is>
          <t>维持</t>
        </is>
      </c>
      <c r="E98" s="123" t="inlineStr">
        <is>
          <t>A1</t>
        </is>
      </c>
      <c r="F98" s="124" t="inlineStr">
        <is>
          <t>社交情感互惠</t>
        </is>
      </c>
      <c r="G98" s="124" t="inlineStr">
        <is>
          <t>会话维持</t>
        </is>
      </c>
      <c r="H98" s="121" t="inlineStr">
        <is>
          <t>DV26</t>
        </is>
      </c>
      <c r="I98" s="113" t="inlineStr">
        <is>
          <t>会话（Conversation）</t>
        </is>
      </c>
      <c r="J98" s="113" t="inlineStr">
        <is>
          <t>Baseline vs Maintenance（训练情境）</t>
        </is>
      </c>
    </row>
    <row r="99" ht="15" customHeight="1" s="111">
      <c r="A99" s="121" t="inlineStr">
        <is>
          <t>K190</t>
        </is>
      </c>
      <c r="B99" s="122" t="inlineStr">
        <is>
          <t>030-滚雪球</t>
        </is>
      </c>
      <c r="C99" s="121" t="inlineStr">
        <is>
          <t>Cameron</t>
        </is>
      </c>
      <c r="D99" s="122" t="inlineStr">
        <is>
          <t>干预</t>
        </is>
      </c>
      <c r="E99" s="123" t="inlineStr">
        <is>
          <t>A1</t>
        </is>
      </c>
      <c r="F99" s="124" t="inlineStr">
        <is>
          <t>社交情感互惠</t>
        </is>
      </c>
      <c r="G99" s="124" t="inlineStr">
        <is>
          <t>情感分享</t>
        </is>
      </c>
      <c r="H99" s="121" t="inlineStr">
        <is>
          <t>DV27</t>
        </is>
      </c>
      <c r="I99" s="113" t="inlineStr">
        <is>
          <t>观点采择（Perspective Taking）</t>
        </is>
      </c>
      <c r="J99" s="119" t="inlineStr">
        <is>
          <t>Baseline vs Intervention</t>
        </is>
      </c>
    </row>
    <row r="100" ht="15" customHeight="1" s="111">
      <c r="A100" s="121" t="inlineStr">
        <is>
          <t>K191</t>
        </is>
      </c>
      <c r="B100" s="122" t="inlineStr">
        <is>
          <t>030-滚雪球</t>
        </is>
      </c>
      <c r="C100" s="121" t="inlineStr">
        <is>
          <t>Cameron</t>
        </is>
      </c>
      <c r="D100" s="122" t="inlineStr">
        <is>
          <t>维持</t>
        </is>
      </c>
      <c r="E100" s="123" t="inlineStr">
        <is>
          <t>A1</t>
        </is>
      </c>
      <c r="F100" s="124" t="inlineStr">
        <is>
          <t>社交情感互惠</t>
        </is>
      </c>
      <c r="G100" s="124" t="inlineStr">
        <is>
          <t>情感分享</t>
        </is>
      </c>
      <c r="H100" s="121" t="inlineStr">
        <is>
          <t>DV27</t>
        </is>
      </c>
      <c r="I100" s="113" t="inlineStr">
        <is>
          <t>观点采择（Perspective Taking）</t>
        </is>
      </c>
      <c r="J100" s="113" t="inlineStr">
        <is>
          <t>Baseline vs Maintenance（训练情境）</t>
        </is>
      </c>
    </row>
    <row r="101" ht="15" customHeight="1" s="111">
      <c r="A101" s="121" t="inlineStr">
        <is>
          <t>K192</t>
        </is>
      </c>
      <c r="B101" s="122" t="inlineStr">
        <is>
          <t>030-滚雪球</t>
        </is>
      </c>
      <c r="C101" s="121" t="inlineStr">
        <is>
          <t>Cameron</t>
        </is>
      </c>
      <c r="D101" s="122" t="inlineStr">
        <is>
          <t>干预</t>
        </is>
      </c>
      <c r="E101" s="127" t="inlineStr">
        <is>
          <t>A3</t>
        </is>
      </c>
      <c r="F101" s="128" t="inlineStr">
        <is>
          <t>人际关系发展</t>
        </is>
      </c>
      <c r="G101" s="128" t="inlineStr">
        <is>
          <t>情境适应</t>
        </is>
      </c>
      <c r="H101" s="121" t="inlineStr">
        <is>
          <t>DV28</t>
        </is>
      </c>
      <c r="I101" s="113" t="inlineStr">
        <is>
          <t>问题解决（Problem Solving）</t>
        </is>
      </c>
      <c r="J101" s="119" t="inlineStr">
        <is>
          <t>Baseline vs Intervention</t>
        </is>
      </c>
    </row>
    <row r="102" ht="15" customHeight="1" s="111">
      <c r="A102" s="121" t="inlineStr">
        <is>
          <t>K193</t>
        </is>
      </c>
      <c r="B102" s="122" t="inlineStr">
        <is>
          <t>030-滚雪球</t>
        </is>
      </c>
      <c r="C102" s="121" t="inlineStr">
        <is>
          <t>Ferris</t>
        </is>
      </c>
      <c r="D102" s="122" t="inlineStr">
        <is>
          <t>干预</t>
        </is>
      </c>
      <c r="E102" s="127" t="inlineStr">
        <is>
          <t>A3</t>
        </is>
      </c>
      <c r="F102" s="128" t="inlineStr">
        <is>
          <t>人际关系发展</t>
        </is>
      </c>
      <c r="G102" s="128" t="inlineStr">
        <is>
          <t>群体融入</t>
        </is>
      </c>
      <c r="H102" s="121" t="inlineStr">
        <is>
          <t>DV25</t>
        </is>
      </c>
      <c r="I102" s="113" t="inlineStr">
        <is>
          <t>参与（Participation）</t>
        </is>
      </c>
      <c r="J102" s="119" t="inlineStr">
        <is>
          <t>Baseline vs Intervention</t>
        </is>
      </c>
    </row>
    <row r="103" ht="15" customHeight="1" s="111">
      <c r="A103" s="121" t="inlineStr">
        <is>
          <t>K194</t>
        </is>
      </c>
      <c r="B103" s="122" t="inlineStr">
        <is>
          <t>030-滚雪球</t>
        </is>
      </c>
      <c r="C103" s="121" t="inlineStr">
        <is>
          <t>Ferris</t>
        </is>
      </c>
      <c r="D103" s="122" t="inlineStr">
        <is>
          <t>维持</t>
        </is>
      </c>
      <c r="E103" s="127" t="inlineStr">
        <is>
          <t>A3</t>
        </is>
      </c>
      <c r="F103" s="128" t="inlineStr">
        <is>
          <t>人际关系发展</t>
        </is>
      </c>
      <c r="G103" s="128" t="inlineStr">
        <is>
          <t>群体融入</t>
        </is>
      </c>
      <c r="H103" s="121" t="inlineStr">
        <is>
          <t>DV25</t>
        </is>
      </c>
      <c r="I103" s="113" t="inlineStr">
        <is>
          <t>参与（Participation）</t>
        </is>
      </c>
      <c r="J103" s="113" t="inlineStr">
        <is>
          <t>Baseline vs Maintenance（训练情境）</t>
        </is>
      </c>
    </row>
    <row r="104" ht="15" customHeight="1" s="111">
      <c r="A104" s="121" t="inlineStr">
        <is>
          <t>K195</t>
        </is>
      </c>
      <c r="B104" s="122" t="inlineStr">
        <is>
          <t>030-滚雪球</t>
        </is>
      </c>
      <c r="C104" s="121" t="inlineStr">
        <is>
          <t>Ferris</t>
        </is>
      </c>
      <c r="D104" s="122" t="inlineStr">
        <is>
          <t>干预</t>
        </is>
      </c>
      <c r="E104" s="123" t="inlineStr">
        <is>
          <t>A1</t>
        </is>
      </c>
      <c r="F104" s="124" t="inlineStr">
        <is>
          <t>社交情感互惠</t>
        </is>
      </c>
      <c r="G104" s="124" t="inlineStr">
        <is>
          <t>会话维持</t>
        </is>
      </c>
      <c r="H104" s="121" t="inlineStr">
        <is>
          <t>DV26</t>
        </is>
      </c>
      <c r="I104" s="113" t="inlineStr">
        <is>
          <t>会话（Conversation）</t>
        </is>
      </c>
      <c r="J104" s="119" t="inlineStr">
        <is>
          <t>Baseline vs Intervention</t>
        </is>
      </c>
    </row>
    <row r="105" ht="15" customHeight="1" s="111">
      <c r="A105" s="121" t="inlineStr">
        <is>
          <t>K196</t>
        </is>
      </c>
      <c r="B105" s="122" t="inlineStr">
        <is>
          <t>030-滚雪球</t>
        </is>
      </c>
      <c r="C105" s="121" t="inlineStr">
        <is>
          <t>Ferris</t>
        </is>
      </c>
      <c r="D105" s="122" t="inlineStr">
        <is>
          <t>维持</t>
        </is>
      </c>
      <c r="E105" s="123" t="inlineStr">
        <is>
          <t>A1</t>
        </is>
      </c>
      <c r="F105" s="124" t="inlineStr">
        <is>
          <t>社交情感互惠</t>
        </is>
      </c>
      <c r="G105" s="124" t="inlineStr">
        <is>
          <t>会话维持</t>
        </is>
      </c>
      <c r="H105" s="121" t="inlineStr">
        <is>
          <t>DV26</t>
        </is>
      </c>
      <c r="I105" s="113" t="inlineStr">
        <is>
          <t>会话（Conversation）</t>
        </is>
      </c>
      <c r="J105" s="113" t="inlineStr">
        <is>
          <t>Baseline vs Maintenance（训练情境）</t>
        </is>
      </c>
    </row>
    <row r="106" ht="15" customHeight="1" s="111">
      <c r="A106" s="121" t="inlineStr">
        <is>
          <t>K197</t>
        </is>
      </c>
      <c r="B106" s="122" t="inlineStr">
        <is>
          <t>030-滚雪球</t>
        </is>
      </c>
      <c r="C106" s="121" t="inlineStr">
        <is>
          <t>Ferris</t>
        </is>
      </c>
      <c r="D106" s="122" t="inlineStr">
        <is>
          <t>干预</t>
        </is>
      </c>
      <c r="E106" s="123" t="inlineStr">
        <is>
          <t>A1</t>
        </is>
      </c>
      <c r="F106" s="124" t="inlineStr">
        <is>
          <t>社交情感互惠</t>
        </is>
      </c>
      <c r="G106" s="124" t="inlineStr">
        <is>
          <t>情感分享</t>
        </is>
      </c>
      <c r="H106" s="121" t="inlineStr">
        <is>
          <t>DV27</t>
        </is>
      </c>
      <c r="I106" s="113" t="inlineStr">
        <is>
          <t>观点采择（Perspective Taking）</t>
        </is>
      </c>
      <c r="J106" s="119" t="inlineStr">
        <is>
          <t>Baseline vs Intervention</t>
        </is>
      </c>
    </row>
    <row r="107" ht="15" customHeight="1" s="111">
      <c r="A107" s="121" t="inlineStr">
        <is>
          <t>K198</t>
        </is>
      </c>
      <c r="B107" s="122" t="inlineStr">
        <is>
          <t>030-滚雪球</t>
        </is>
      </c>
      <c r="C107" s="121" t="inlineStr">
        <is>
          <t>Ferris</t>
        </is>
      </c>
      <c r="D107" s="122" t="inlineStr">
        <is>
          <t>维持</t>
        </is>
      </c>
      <c r="E107" s="123" t="inlineStr">
        <is>
          <t>A1</t>
        </is>
      </c>
      <c r="F107" s="124" t="inlineStr">
        <is>
          <t>社交情感互惠</t>
        </is>
      </c>
      <c r="G107" s="124" t="inlineStr">
        <is>
          <t>情感分享</t>
        </is>
      </c>
      <c r="H107" s="121" t="inlineStr">
        <is>
          <t>DV27</t>
        </is>
      </c>
      <c r="I107" s="113" t="inlineStr">
        <is>
          <t>观点采择（Perspective Taking）</t>
        </is>
      </c>
      <c r="J107" s="113" t="inlineStr">
        <is>
          <t>Baseline vs Maintenance（训练情境）</t>
        </is>
      </c>
    </row>
    <row r="108" ht="15" customHeight="1" s="111">
      <c r="A108" s="121" t="inlineStr">
        <is>
          <t>K199</t>
        </is>
      </c>
      <c r="B108" s="122" t="inlineStr">
        <is>
          <t>030-滚雪球</t>
        </is>
      </c>
      <c r="C108" s="121" t="inlineStr">
        <is>
          <t>Ferris</t>
        </is>
      </c>
      <c r="D108" s="122" t="inlineStr">
        <is>
          <t>干预</t>
        </is>
      </c>
      <c r="E108" s="127" t="inlineStr">
        <is>
          <t>A3</t>
        </is>
      </c>
      <c r="F108" s="128" t="inlineStr">
        <is>
          <t>人际关系发展</t>
        </is>
      </c>
      <c r="G108" s="128" t="inlineStr">
        <is>
          <t>情境适应</t>
        </is>
      </c>
      <c r="H108" s="121" t="inlineStr">
        <is>
          <t>DV28</t>
        </is>
      </c>
      <c r="I108" s="113" t="inlineStr">
        <is>
          <t>问题解决（Problem Solving）</t>
        </is>
      </c>
      <c r="J108" s="119" t="inlineStr">
        <is>
          <t>Baseline vs Intervention</t>
        </is>
      </c>
    </row>
    <row r="109" ht="15" customHeight="1" s="111">
      <c r="A109" s="121" t="inlineStr">
        <is>
          <t>K220</t>
        </is>
      </c>
      <c r="B109" s="122" t="inlineStr">
        <is>
          <t>032-二次</t>
        </is>
      </c>
      <c r="C109" s="121" t="inlineStr">
        <is>
          <t>Jacob</t>
        </is>
      </c>
      <c r="D109" s="122" t="inlineStr">
        <is>
          <t>干预</t>
        </is>
      </c>
      <c r="E109" s="127" t="inlineStr">
        <is>
          <t>A3</t>
        </is>
      </c>
      <c r="F109" s="128" t="inlineStr">
        <is>
          <t>人际关系发展</t>
        </is>
      </c>
      <c r="G109" s="128" t="inlineStr">
        <is>
          <t>群体融入</t>
        </is>
      </c>
      <c r="H109" s="121" t="inlineStr">
        <is>
          <t>DV34</t>
        </is>
      </c>
      <c r="I109" s="113" t="inlineStr">
        <is>
          <t>课间社交参与（与同伴直接互动或参加有组织活动）</t>
        </is>
      </c>
      <c r="J109" s="119" t="inlineStr">
        <is>
          <t>BL vs INT</t>
        </is>
      </c>
    </row>
    <row r="110" ht="15" customHeight="1" s="111">
      <c r="A110" s="121" t="inlineStr">
        <is>
          <t>K221</t>
        </is>
      </c>
      <c r="B110" s="122" t="inlineStr">
        <is>
          <t>032-二次</t>
        </is>
      </c>
      <c r="C110" s="121" t="inlineStr">
        <is>
          <t>Jacob</t>
        </is>
      </c>
      <c r="D110" s="122" t="inlineStr">
        <is>
          <t>维持</t>
        </is>
      </c>
      <c r="E110" s="127" t="inlineStr">
        <is>
          <t>A3</t>
        </is>
      </c>
      <c r="F110" s="128" t="inlineStr">
        <is>
          <t>人际关系发展</t>
        </is>
      </c>
      <c r="G110" s="128" t="inlineStr">
        <is>
          <t>群体融入</t>
        </is>
      </c>
      <c r="H110" s="121" t="inlineStr">
        <is>
          <t>DV34</t>
        </is>
      </c>
      <c r="I110" s="113" t="inlineStr">
        <is>
          <t>课间社交参与（与同伴直接互动或参加有组织活动）</t>
        </is>
      </c>
      <c r="J110" s="113" t="inlineStr">
        <is>
          <t>BL vs FU（课程结束约5周后）</t>
        </is>
      </c>
    </row>
    <row r="111" ht="15" customHeight="1" s="111">
      <c r="A111" s="121" t="inlineStr">
        <is>
          <t>K222</t>
        </is>
      </c>
      <c r="B111" s="122" t="inlineStr">
        <is>
          <t>032-二次</t>
        </is>
      </c>
      <c r="C111" s="121" t="inlineStr">
        <is>
          <t>Carl</t>
        </is>
      </c>
      <c r="D111" s="122" t="inlineStr">
        <is>
          <t>干预</t>
        </is>
      </c>
      <c r="E111" s="127" t="inlineStr">
        <is>
          <t>A3</t>
        </is>
      </c>
      <c r="F111" s="128" t="inlineStr">
        <is>
          <t>人际关系发展</t>
        </is>
      </c>
      <c r="G111" s="128" t="inlineStr">
        <is>
          <t>群体融入</t>
        </is>
      </c>
      <c r="H111" s="121" t="inlineStr">
        <is>
          <t>DV34</t>
        </is>
      </c>
      <c r="I111" s="113" t="inlineStr">
        <is>
          <t>课间社交参与（与同伴直接互动或参加有组织活动）</t>
        </is>
      </c>
      <c r="J111" s="119" t="inlineStr">
        <is>
          <t>BL vs INT</t>
        </is>
      </c>
    </row>
    <row r="112" ht="15" customHeight="1" s="111">
      <c r="A112" s="121" t="inlineStr">
        <is>
          <t>K223</t>
        </is>
      </c>
      <c r="B112" s="122" t="inlineStr">
        <is>
          <t>032-二次</t>
        </is>
      </c>
      <c r="C112" s="121" t="inlineStr">
        <is>
          <t>Carl</t>
        </is>
      </c>
      <c r="D112" s="122" t="inlineStr">
        <is>
          <t>维持</t>
        </is>
      </c>
      <c r="E112" s="127" t="inlineStr">
        <is>
          <t>A3</t>
        </is>
      </c>
      <c r="F112" s="128" t="inlineStr">
        <is>
          <t>人际关系发展</t>
        </is>
      </c>
      <c r="G112" s="128" t="inlineStr">
        <is>
          <t>群体融入</t>
        </is>
      </c>
      <c r="H112" s="121" t="inlineStr">
        <is>
          <t>DV34</t>
        </is>
      </c>
      <c r="I112" s="113" t="inlineStr">
        <is>
          <t>课间社交参与（与同伴直接互动或参加有组织活动）</t>
        </is>
      </c>
      <c r="J112" s="113" t="inlineStr">
        <is>
          <t>BL vs FU（课程结束约5周后）</t>
        </is>
      </c>
    </row>
    <row r="113" ht="15" customHeight="1" s="111">
      <c r="A113" s="121" t="inlineStr">
        <is>
          <t>K224</t>
        </is>
      </c>
      <c r="B113" s="122" t="inlineStr">
        <is>
          <t>032-二次</t>
        </is>
      </c>
      <c r="C113" s="121" t="inlineStr">
        <is>
          <t>Edgar</t>
        </is>
      </c>
      <c r="D113" s="122" t="inlineStr">
        <is>
          <t>干预</t>
        </is>
      </c>
      <c r="E113" s="127" t="inlineStr">
        <is>
          <t>A3</t>
        </is>
      </c>
      <c r="F113" s="128" t="inlineStr">
        <is>
          <t>人际关系发展</t>
        </is>
      </c>
      <c r="G113" s="128" t="inlineStr">
        <is>
          <t>群体融入</t>
        </is>
      </c>
      <c r="H113" s="121" t="inlineStr">
        <is>
          <t>DV34</t>
        </is>
      </c>
      <c r="I113" s="113" t="inlineStr">
        <is>
          <t>课间社交参与（与同伴直接互动或参加有组织活动）</t>
        </is>
      </c>
      <c r="J113" s="119" t="inlineStr">
        <is>
          <t>BL vs INT</t>
        </is>
      </c>
    </row>
    <row r="114" ht="44" customHeight="1" s="111">
      <c r="A114" s="121" t="inlineStr">
        <is>
          <t>K225</t>
        </is>
      </c>
      <c r="B114" s="122" t="inlineStr">
        <is>
          <t>032-二次</t>
        </is>
      </c>
      <c r="C114" s="121" t="inlineStr">
        <is>
          <t>Edgar</t>
        </is>
      </c>
      <c r="D114" s="122" t="inlineStr">
        <is>
          <t>维持</t>
        </is>
      </c>
      <c r="E114" s="127" t="inlineStr">
        <is>
          <t>A3</t>
        </is>
      </c>
      <c r="F114" s="128" t="inlineStr">
        <is>
          <t>人际关系发展</t>
        </is>
      </c>
      <c r="G114" s="128" t="inlineStr">
        <is>
          <t>群体融入</t>
        </is>
      </c>
      <c r="H114" s="121" t="inlineStr">
        <is>
          <t>DV34</t>
        </is>
      </c>
      <c r="I114" s="113" t="inlineStr">
        <is>
          <t>课间社交参与（与同伴直接互动或参加有组织活动）</t>
        </is>
      </c>
      <c r="J114" s="113" t="inlineStr">
        <is>
          <t>BL vs FU（课程结束约5周后）</t>
        </is>
      </c>
    </row>
    <row r="115" ht="15" customHeight="1" s="111">
      <c r="A115" s="121" t="inlineStr">
        <is>
          <t>K226</t>
        </is>
      </c>
      <c r="B115" s="122" t="inlineStr">
        <is>
          <t>032-二次</t>
        </is>
      </c>
      <c r="C115" s="121" t="inlineStr">
        <is>
          <t>Dylan</t>
        </is>
      </c>
      <c r="D115" s="122" t="inlineStr">
        <is>
          <t>干预</t>
        </is>
      </c>
      <c r="E115" s="127" t="inlineStr">
        <is>
          <t>A3</t>
        </is>
      </c>
      <c r="F115" s="128" t="inlineStr">
        <is>
          <t>人际关系发展</t>
        </is>
      </c>
      <c r="G115" s="128" t="inlineStr">
        <is>
          <t>群体融入</t>
        </is>
      </c>
      <c r="H115" s="121" t="inlineStr">
        <is>
          <t>DV34</t>
        </is>
      </c>
      <c r="I115" s="113" t="inlineStr">
        <is>
          <t>课间社交参与（与同伴直接互动或参加有组织活动）</t>
        </is>
      </c>
      <c r="J115" s="119" t="inlineStr">
        <is>
          <t>BL vs INT</t>
        </is>
      </c>
    </row>
    <row r="116" ht="44" customHeight="1" s="111">
      <c r="A116" s="121" t="inlineStr">
        <is>
          <t>K227</t>
        </is>
      </c>
      <c r="B116" s="122" t="inlineStr">
        <is>
          <t>032-二次</t>
        </is>
      </c>
      <c r="C116" s="121" t="inlineStr">
        <is>
          <t>Dylan</t>
        </is>
      </c>
      <c r="D116" s="122" t="inlineStr">
        <is>
          <t>维持</t>
        </is>
      </c>
      <c r="E116" s="127" t="inlineStr">
        <is>
          <t>A3</t>
        </is>
      </c>
      <c r="F116" s="128" t="inlineStr">
        <is>
          <t>人际关系发展</t>
        </is>
      </c>
      <c r="G116" s="128" t="inlineStr">
        <is>
          <t>群体融入</t>
        </is>
      </c>
      <c r="H116" s="121" t="inlineStr">
        <is>
          <t>DV34</t>
        </is>
      </c>
      <c r="I116" s="113" t="inlineStr">
        <is>
          <t>课间社交参与（与同伴直接互动或参加有组织活动）</t>
        </is>
      </c>
      <c r="J116" s="113" t="inlineStr">
        <is>
          <t>BL vs FU（课程结束约5周后）</t>
        </is>
      </c>
    </row>
    <row r="117" ht="15" customHeight="1" s="111">
      <c r="A117" s="121" t="inlineStr">
        <is>
          <t>K228</t>
        </is>
      </c>
      <c r="B117" s="122" t="inlineStr">
        <is>
          <t>032-二次</t>
        </is>
      </c>
      <c r="C117" s="121" t="inlineStr">
        <is>
          <t>Louis</t>
        </is>
      </c>
      <c r="D117" s="122" t="inlineStr">
        <is>
          <t>干预</t>
        </is>
      </c>
      <c r="E117" s="127" t="inlineStr">
        <is>
          <t>A3</t>
        </is>
      </c>
      <c r="F117" s="128" t="inlineStr">
        <is>
          <t>人际关系发展</t>
        </is>
      </c>
      <c r="G117" s="128" t="inlineStr">
        <is>
          <t>群体融入</t>
        </is>
      </c>
      <c r="H117" s="121" t="inlineStr">
        <is>
          <t>DV34</t>
        </is>
      </c>
      <c r="I117" s="113" t="inlineStr">
        <is>
          <t>课间社交参与（与同伴直接互动或参加有组织活动）</t>
        </is>
      </c>
      <c r="J117" s="119" t="inlineStr">
        <is>
          <t>BL vs INT</t>
        </is>
      </c>
    </row>
    <row r="118" ht="44" customHeight="1" s="111">
      <c r="A118" s="121" t="inlineStr">
        <is>
          <t>K229</t>
        </is>
      </c>
      <c r="B118" s="122" t="inlineStr">
        <is>
          <t>034-二次</t>
        </is>
      </c>
      <c r="C118" s="121" t="inlineStr">
        <is>
          <t>Matthew</t>
        </is>
      </c>
      <c r="D118" s="122" t="inlineStr">
        <is>
          <t>干预</t>
        </is>
      </c>
      <c r="E118" s="125" t="inlineStr">
        <is>
          <t>A2</t>
        </is>
      </c>
      <c r="F118" s="126" t="inlineStr">
        <is>
          <t>非言语沟通</t>
        </is>
      </c>
      <c r="G118" s="126" t="inlineStr">
        <is>
          <t>交往仪态</t>
        </is>
      </c>
      <c r="H118" s="121" t="inlineStr">
        <is>
          <t>DV35</t>
        </is>
      </c>
      <c r="I118" s="113" t="inlineStr">
        <is>
          <t>目光接触</t>
        </is>
      </c>
      <c r="J118" s="113" t="inlineStr">
        <is>
          <t>诊室基线 vs Social Stories＋Video Modeling 期</t>
        </is>
      </c>
    </row>
    <row r="119" ht="44" customHeight="1" s="111">
      <c r="A119" s="121" t="inlineStr">
        <is>
          <t>K230</t>
        </is>
      </c>
      <c r="B119" s="122" t="inlineStr">
        <is>
          <t>034-二次</t>
        </is>
      </c>
      <c r="C119" s="121" t="inlineStr">
        <is>
          <t>Matthew</t>
        </is>
      </c>
      <c r="D119" s="122" t="inlineStr">
        <is>
          <t>干预</t>
        </is>
      </c>
      <c r="E119" s="125" t="inlineStr">
        <is>
          <t>A2</t>
        </is>
      </c>
      <c r="F119" s="126" t="inlineStr">
        <is>
          <t>非言语沟通</t>
        </is>
      </c>
      <c r="G119" s="126" t="inlineStr">
        <is>
          <t>表情与手势</t>
        </is>
      </c>
      <c r="H119" s="121" t="inlineStr">
        <is>
          <t>DV36</t>
        </is>
      </c>
      <c r="I119" s="113" t="inlineStr">
        <is>
          <t>微笑</t>
        </is>
      </c>
      <c r="J119" s="113" t="inlineStr">
        <is>
          <t>诊室基线 vs Social Stories＋Video Modeling 期</t>
        </is>
      </c>
    </row>
    <row r="120" ht="15" customHeight="1" s="111">
      <c r="A120" s="121" t="inlineStr">
        <is>
          <t>K231</t>
        </is>
      </c>
      <c r="B120" s="122" t="inlineStr">
        <is>
          <t>034-二次</t>
        </is>
      </c>
      <c r="C120" s="121" t="inlineStr">
        <is>
          <t>Matthew</t>
        </is>
      </c>
      <c r="D120" s="122" t="inlineStr">
        <is>
          <t>干预</t>
        </is>
      </c>
      <c r="E120" s="123" t="inlineStr">
        <is>
          <t>A1</t>
        </is>
      </c>
      <c r="F120" s="124" t="inlineStr">
        <is>
          <t>社交情感互惠</t>
        </is>
      </c>
      <c r="G120" s="124" t="inlineStr">
        <is>
          <t>社交发起</t>
        </is>
      </c>
      <c r="H120" s="121" t="inlineStr">
        <is>
          <t>DV37</t>
        </is>
      </c>
      <c r="I120" s="113" t="inlineStr">
        <is>
          <t>主动发起问题或评论</t>
        </is>
      </c>
      <c r="J120" s="113" t="inlineStr">
        <is>
          <t>诊室基线 vs Social Stories＋Video Modeling 期</t>
        </is>
      </c>
    </row>
    <row r="121" ht="44" customHeight="1" s="111">
      <c r="A121" s="121" t="inlineStr">
        <is>
          <t>K232</t>
        </is>
      </c>
      <c r="B121" s="122" t="inlineStr">
        <is>
          <t>035-二次</t>
        </is>
      </c>
      <c r="C121" s="121" t="inlineStr">
        <is>
          <t>James</t>
        </is>
      </c>
      <c r="D121" s="122" t="inlineStr">
        <is>
          <t>干预</t>
        </is>
      </c>
      <c r="E121" s="125" t="inlineStr">
        <is>
          <t>A2</t>
        </is>
      </c>
      <c r="F121" s="126" t="inlineStr">
        <is>
          <t>非言语沟通</t>
        </is>
      </c>
      <c r="G121" s="126" t="inlineStr">
        <is>
          <t>交往仪态</t>
        </is>
      </c>
      <c r="H121" s="121" t="inlineStr">
        <is>
          <t>DV38</t>
        </is>
      </c>
      <c r="I121" s="113" t="inlineStr">
        <is>
          <t>非言语基本技能（Body Basics）</t>
        </is>
      </c>
      <c r="J121" s="119" t="inlineStr">
        <is>
          <t>BL vs INT</t>
        </is>
      </c>
    </row>
    <row r="122" ht="15" customHeight="1" s="111">
      <c r="A122" s="121" t="inlineStr">
        <is>
          <t>K233</t>
        </is>
      </c>
      <c r="B122" s="122" t="inlineStr">
        <is>
          <t>035-二次</t>
        </is>
      </c>
      <c r="C122" s="121" t="inlineStr">
        <is>
          <t>James</t>
        </is>
      </c>
      <c r="D122" s="122" t="inlineStr">
        <is>
          <t>维持</t>
        </is>
      </c>
      <c r="E122" s="125" t="inlineStr">
        <is>
          <t>A2</t>
        </is>
      </c>
      <c r="F122" s="126" t="inlineStr">
        <is>
          <t>非言语沟通</t>
        </is>
      </c>
      <c r="G122" s="126" t="inlineStr">
        <is>
          <t>交往仪态</t>
        </is>
      </c>
      <c r="H122" s="121" t="inlineStr">
        <is>
          <t>DV38</t>
        </is>
      </c>
      <c r="I122" s="113" t="inlineStr">
        <is>
          <t>非言语基本技能（Body Basics）</t>
        </is>
      </c>
      <c r="J122" s="113" t="inlineStr">
        <is>
          <t>BL vs MT（训练情境）</t>
        </is>
      </c>
    </row>
    <row r="123" ht="44" customHeight="1" s="111">
      <c r="A123" s="121" t="inlineStr">
        <is>
          <t>K234</t>
        </is>
      </c>
      <c r="B123" s="122" t="inlineStr">
        <is>
          <t>035-二次</t>
        </is>
      </c>
      <c r="C123" s="121" t="inlineStr">
        <is>
          <t>James</t>
        </is>
      </c>
      <c r="D123" s="122" t="inlineStr">
        <is>
          <t>泛化</t>
        </is>
      </c>
      <c r="E123" s="125" t="inlineStr">
        <is>
          <t>A2</t>
        </is>
      </c>
      <c r="F123" s="126" t="inlineStr">
        <is>
          <t>非言语沟通</t>
        </is>
      </c>
      <c r="G123" s="126" t="inlineStr">
        <is>
          <t>交往仪态</t>
        </is>
      </c>
      <c r="H123" s="121" t="inlineStr">
        <is>
          <t>DV38</t>
        </is>
      </c>
      <c r="I123" s="113" t="inlineStr">
        <is>
          <t>非言语基本技能（Body Basics）</t>
        </is>
      </c>
      <c r="J123" s="113" t="inlineStr">
        <is>
          <t>泛化 BL vs INT 期泛化探测（空心符号）</t>
        </is>
      </c>
    </row>
    <row r="124" ht="29.85" customHeight="1" s="111">
      <c r="A124" s="121" t="inlineStr">
        <is>
          <t>K235</t>
        </is>
      </c>
      <c r="B124" s="122" t="inlineStr">
        <is>
          <t>035-二次</t>
        </is>
      </c>
      <c r="C124" s="121" t="inlineStr">
        <is>
          <t>James</t>
        </is>
      </c>
      <c r="D124" s="122" t="inlineStr">
        <is>
          <t>干预</t>
        </is>
      </c>
      <c r="E124" s="127" t="inlineStr">
        <is>
          <t>A3</t>
        </is>
      </c>
      <c r="F124" s="128" t="inlineStr">
        <is>
          <t>人际关系发展</t>
        </is>
      </c>
      <c r="G124" s="128" t="inlineStr">
        <is>
          <t>群体融入</t>
        </is>
      </c>
      <c r="H124" s="121" t="inlineStr">
        <is>
          <t>DV39</t>
        </is>
      </c>
      <c r="I124" s="113" t="inlineStr">
        <is>
          <t>参与（Participate）</t>
        </is>
      </c>
      <c r="J124" s="119" t="inlineStr">
        <is>
          <t>BL vs INT</t>
        </is>
      </c>
    </row>
    <row r="125" ht="15" customHeight="1" s="111">
      <c r="A125" s="121" t="inlineStr">
        <is>
          <t>K236</t>
        </is>
      </c>
      <c r="B125" s="122" t="inlineStr">
        <is>
          <t>035-二次</t>
        </is>
      </c>
      <c r="C125" s="121" t="inlineStr">
        <is>
          <t>James</t>
        </is>
      </c>
      <c r="D125" s="122" t="inlineStr">
        <is>
          <t>维持</t>
        </is>
      </c>
      <c r="E125" s="127" t="inlineStr">
        <is>
          <t>A3</t>
        </is>
      </c>
      <c r="F125" s="128" t="inlineStr">
        <is>
          <t>人际关系发展</t>
        </is>
      </c>
      <c r="G125" s="128" t="inlineStr">
        <is>
          <t>群体融入</t>
        </is>
      </c>
      <c r="H125" s="121" t="inlineStr">
        <is>
          <t>DV39</t>
        </is>
      </c>
      <c r="I125" s="113" t="inlineStr">
        <is>
          <t>参与（Participate）</t>
        </is>
      </c>
      <c r="J125" s="113" t="inlineStr">
        <is>
          <t>BL vs MT（训练情境）</t>
        </is>
      </c>
    </row>
    <row r="126" ht="15" customHeight="1" s="111">
      <c r="A126" s="121" t="inlineStr">
        <is>
          <t>K237</t>
        </is>
      </c>
      <c r="B126" s="122" t="inlineStr">
        <is>
          <t>035-二次</t>
        </is>
      </c>
      <c r="C126" s="121" t="inlineStr">
        <is>
          <t>James</t>
        </is>
      </c>
      <c r="D126" s="122" t="inlineStr">
        <is>
          <t>泛化</t>
        </is>
      </c>
      <c r="E126" s="127" t="inlineStr">
        <is>
          <t>A3</t>
        </is>
      </c>
      <c r="F126" s="128" t="inlineStr">
        <is>
          <t>人际关系发展</t>
        </is>
      </c>
      <c r="G126" s="128" t="inlineStr">
        <is>
          <t>群体融入</t>
        </is>
      </c>
      <c r="H126" s="121" t="inlineStr">
        <is>
          <t>DV39</t>
        </is>
      </c>
      <c r="I126" s="113" t="inlineStr">
        <is>
          <t>参与（Participate）</t>
        </is>
      </c>
      <c r="J126" s="113" t="inlineStr">
        <is>
          <t>泛化 BL vs INT 期泛化探测（空心符号）</t>
        </is>
      </c>
    </row>
    <row r="127" ht="29.85" customHeight="1" s="111">
      <c r="A127" s="121" t="inlineStr">
        <is>
          <t>K238</t>
        </is>
      </c>
      <c r="B127" s="122" t="inlineStr">
        <is>
          <t>035-二次</t>
        </is>
      </c>
      <c r="C127" s="121" t="inlineStr">
        <is>
          <t>James</t>
        </is>
      </c>
      <c r="D127" s="122" t="inlineStr">
        <is>
          <t>干预</t>
        </is>
      </c>
      <c r="E127" s="123" t="inlineStr">
        <is>
          <t>A1</t>
        </is>
      </c>
      <c r="F127" s="124" t="inlineStr">
        <is>
          <t>社交情感互惠</t>
        </is>
      </c>
      <c r="G127" s="124" t="inlineStr">
        <is>
          <t>需求表达</t>
        </is>
      </c>
      <c r="H127" s="121" t="inlineStr">
        <is>
          <t>DV40</t>
        </is>
      </c>
      <c r="I127" s="113" t="inlineStr">
        <is>
          <t>表达需求（Wants and Needs）</t>
        </is>
      </c>
      <c r="J127" s="119" t="inlineStr">
        <is>
          <t>BL vs INT</t>
        </is>
      </c>
    </row>
    <row r="128" ht="29.85" customHeight="1" s="111">
      <c r="A128" s="121" t="inlineStr">
        <is>
          <t>K239</t>
        </is>
      </c>
      <c r="B128" s="122" t="inlineStr">
        <is>
          <t>035-二次</t>
        </is>
      </c>
      <c r="C128" s="121" t="inlineStr">
        <is>
          <t>James</t>
        </is>
      </c>
      <c r="D128" s="122" t="inlineStr">
        <is>
          <t>维持</t>
        </is>
      </c>
      <c r="E128" s="123" t="inlineStr">
        <is>
          <t>A1</t>
        </is>
      </c>
      <c r="F128" s="124" t="inlineStr">
        <is>
          <t>社交情感互惠</t>
        </is>
      </c>
      <c r="G128" s="124" t="inlineStr">
        <is>
          <t>需求表达</t>
        </is>
      </c>
      <c r="H128" s="121" t="inlineStr">
        <is>
          <t>DV40</t>
        </is>
      </c>
      <c r="I128" s="113" t="inlineStr">
        <is>
          <t>表达需求（Wants and Needs）</t>
        </is>
      </c>
      <c r="J128" s="113" t="inlineStr">
        <is>
          <t>BL vs MT（训练情境）</t>
        </is>
      </c>
    </row>
    <row r="129" ht="29.85" customHeight="1" s="111">
      <c r="A129" s="121" t="inlineStr">
        <is>
          <t>K240</t>
        </is>
      </c>
      <c r="B129" s="122" t="inlineStr">
        <is>
          <t>035-二次</t>
        </is>
      </c>
      <c r="C129" s="121" t="inlineStr">
        <is>
          <t>James</t>
        </is>
      </c>
      <c r="D129" s="122" t="inlineStr">
        <is>
          <t>泛化</t>
        </is>
      </c>
      <c r="E129" s="123" t="inlineStr">
        <is>
          <t>A1</t>
        </is>
      </c>
      <c r="F129" s="124" t="inlineStr">
        <is>
          <t>社交情感互惠</t>
        </is>
      </c>
      <c r="G129" s="124" t="inlineStr">
        <is>
          <t>需求表达</t>
        </is>
      </c>
      <c r="H129" s="121" t="inlineStr">
        <is>
          <t>DV40</t>
        </is>
      </c>
      <c r="I129" s="113" t="inlineStr">
        <is>
          <t>表达需求（Wants and Needs）</t>
        </is>
      </c>
      <c r="J129" s="113" t="inlineStr">
        <is>
          <t>泛化 BL vs INT 期泛化探测（空心符号）</t>
        </is>
      </c>
    </row>
    <row r="130" ht="29.85" customHeight="1" s="111">
      <c r="A130" s="121" t="inlineStr">
        <is>
          <t>K241</t>
        </is>
      </c>
      <c r="B130" s="122" t="inlineStr">
        <is>
          <t>035-二次</t>
        </is>
      </c>
      <c r="C130" s="121" t="inlineStr">
        <is>
          <t>James</t>
        </is>
      </c>
      <c r="D130" s="122" t="inlineStr">
        <is>
          <t>干预</t>
        </is>
      </c>
      <c r="E130" s="123" t="inlineStr">
        <is>
          <t>A1</t>
        </is>
      </c>
      <c r="F130" s="124" t="inlineStr">
        <is>
          <t>社交情感互惠</t>
        </is>
      </c>
      <c r="G130" s="124" t="inlineStr">
        <is>
          <t>社交发起</t>
        </is>
      </c>
      <c r="H130" s="121" t="inlineStr">
        <is>
          <t>DV41</t>
        </is>
      </c>
      <c r="I130" s="113" t="inlineStr">
        <is>
          <t>开始交谈（Conversation）</t>
        </is>
      </c>
      <c r="J130" s="119" t="inlineStr">
        <is>
          <t>BL vs INT</t>
        </is>
      </c>
    </row>
    <row r="131" ht="29.85" customHeight="1" s="111">
      <c r="A131" s="121" t="inlineStr">
        <is>
          <t>K242</t>
        </is>
      </c>
      <c r="B131" s="122" t="inlineStr">
        <is>
          <t>035-二次</t>
        </is>
      </c>
      <c r="C131" s="121" t="inlineStr">
        <is>
          <t>James</t>
        </is>
      </c>
      <c r="D131" s="122" t="inlineStr">
        <is>
          <t>泛化</t>
        </is>
      </c>
      <c r="E131" s="123" t="inlineStr">
        <is>
          <t>A1</t>
        </is>
      </c>
      <c r="F131" s="124" t="inlineStr">
        <is>
          <t>社交情感互惠</t>
        </is>
      </c>
      <c r="G131" s="124" t="inlineStr">
        <is>
          <t>社交发起</t>
        </is>
      </c>
      <c r="H131" s="121" t="inlineStr">
        <is>
          <t>DV41</t>
        </is>
      </c>
      <c r="I131" s="113" t="inlineStr">
        <is>
          <t>开始交谈（Conversation）</t>
        </is>
      </c>
      <c r="J131" s="113" t="inlineStr">
        <is>
          <t>泛化 BL vs INT 期泛化探测（空心符号）</t>
        </is>
      </c>
    </row>
    <row r="132" ht="29.85" customHeight="1" s="111">
      <c r="A132" s="121" t="inlineStr">
        <is>
          <t>K243</t>
        </is>
      </c>
      <c r="B132" s="122" t="inlineStr">
        <is>
          <t>035-二次</t>
        </is>
      </c>
      <c r="C132" s="121" t="inlineStr">
        <is>
          <t>Ryan</t>
        </is>
      </c>
      <c r="D132" s="122" t="inlineStr">
        <is>
          <t>干预</t>
        </is>
      </c>
      <c r="E132" s="125" t="inlineStr">
        <is>
          <t>A2</t>
        </is>
      </c>
      <c r="F132" s="126" t="inlineStr">
        <is>
          <t>非言语沟通</t>
        </is>
      </c>
      <c r="G132" s="126" t="inlineStr">
        <is>
          <t>交往仪态</t>
        </is>
      </c>
      <c r="H132" s="121" t="inlineStr">
        <is>
          <t>DV38</t>
        </is>
      </c>
      <c r="I132" s="113" t="inlineStr">
        <is>
          <t>非言语基本技能（Body Basics）</t>
        </is>
      </c>
      <c r="J132" s="119" t="inlineStr">
        <is>
          <t>BL vs INT</t>
        </is>
      </c>
    </row>
    <row r="133" ht="29.85" customHeight="1" s="111">
      <c r="A133" s="121" t="inlineStr">
        <is>
          <t>K244</t>
        </is>
      </c>
      <c r="B133" s="122" t="inlineStr">
        <is>
          <t>035-二次</t>
        </is>
      </c>
      <c r="C133" s="121" t="inlineStr">
        <is>
          <t>Ryan</t>
        </is>
      </c>
      <c r="D133" s="122" t="inlineStr">
        <is>
          <t>维持</t>
        </is>
      </c>
      <c r="E133" s="125" t="inlineStr">
        <is>
          <t>A2</t>
        </is>
      </c>
      <c r="F133" s="126" t="inlineStr">
        <is>
          <t>非言语沟通</t>
        </is>
      </c>
      <c r="G133" s="126" t="inlineStr">
        <is>
          <t>交往仪态</t>
        </is>
      </c>
      <c r="H133" s="121" t="inlineStr">
        <is>
          <t>DV38</t>
        </is>
      </c>
      <c r="I133" s="113" t="inlineStr">
        <is>
          <t>非言语基本技能（Body Basics）</t>
        </is>
      </c>
      <c r="J133" s="113" t="inlineStr">
        <is>
          <t>BL vs MT（训练情境）</t>
        </is>
      </c>
    </row>
    <row r="134" ht="29.85" customHeight="1" s="111">
      <c r="A134" s="121" t="inlineStr">
        <is>
          <t>K245</t>
        </is>
      </c>
      <c r="B134" s="122" t="inlineStr">
        <is>
          <t>035-二次</t>
        </is>
      </c>
      <c r="C134" s="121" t="inlineStr">
        <is>
          <t>Ryan</t>
        </is>
      </c>
      <c r="D134" s="122" t="inlineStr">
        <is>
          <t>泛化</t>
        </is>
      </c>
      <c r="E134" s="125" t="inlineStr">
        <is>
          <t>A2</t>
        </is>
      </c>
      <c r="F134" s="126" t="inlineStr">
        <is>
          <t>非言语沟通</t>
        </is>
      </c>
      <c r="G134" s="126" t="inlineStr">
        <is>
          <t>交往仪态</t>
        </is>
      </c>
      <c r="H134" s="121" t="inlineStr">
        <is>
          <t>DV38</t>
        </is>
      </c>
      <c r="I134" s="113" t="inlineStr">
        <is>
          <t>非言语基本技能（Body Basics）</t>
        </is>
      </c>
      <c r="J134" s="113" t="inlineStr">
        <is>
          <t>泛化 BL vs INT 期泛化探测（空心符号）</t>
        </is>
      </c>
    </row>
    <row r="135" ht="29.85" customHeight="1" s="111">
      <c r="A135" s="121" t="inlineStr">
        <is>
          <t>K246</t>
        </is>
      </c>
      <c r="B135" s="122" t="inlineStr">
        <is>
          <t>035-二次</t>
        </is>
      </c>
      <c r="C135" s="121" t="inlineStr">
        <is>
          <t>Ryan</t>
        </is>
      </c>
      <c r="D135" s="122" t="inlineStr">
        <is>
          <t>干预</t>
        </is>
      </c>
      <c r="E135" s="127" t="inlineStr">
        <is>
          <t>A3</t>
        </is>
      </c>
      <c r="F135" s="128" t="inlineStr">
        <is>
          <t>人际关系发展</t>
        </is>
      </c>
      <c r="G135" s="128" t="inlineStr">
        <is>
          <t>群体融入</t>
        </is>
      </c>
      <c r="H135" s="121" t="inlineStr">
        <is>
          <t>DV39</t>
        </is>
      </c>
      <c r="I135" s="113" t="inlineStr">
        <is>
          <t>参与（Participate）</t>
        </is>
      </c>
      <c r="J135" s="119" t="inlineStr">
        <is>
          <t>BL vs INT</t>
        </is>
      </c>
    </row>
    <row r="136" ht="29.85" customHeight="1" s="111">
      <c r="A136" s="121" t="inlineStr">
        <is>
          <t>K247</t>
        </is>
      </c>
      <c r="B136" s="122" t="inlineStr">
        <is>
          <t>035-二次</t>
        </is>
      </c>
      <c r="C136" s="121" t="inlineStr">
        <is>
          <t>Ryan</t>
        </is>
      </c>
      <c r="D136" s="122" t="inlineStr">
        <is>
          <t>维持</t>
        </is>
      </c>
      <c r="E136" s="127" t="inlineStr">
        <is>
          <t>A3</t>
        </is>
      </c>
      <c r="F136" s="128" t="inlineStr">
        <is>
          <t>人际关系发展</t>
        </is>
      </c>
      <c r="G136" s="128" t="inlineStr">
        <is>
          <t>群体融入</t>
        </is>
      </c>
      <c r="H136" s="121" t="inlineStr">
        <is>
          <t>DV39</t>
        </is>
      </c>
      <c r="I136" s="113" t="inlineStr">
        <is>
          <t>参与（Participate）</t>
        </is>
      </c>
      <c r="J136" s="113" t="inlineStr">
        <is>
          <t>BL vs MT（训练情境）</t>
        </is>
      </c>
    </row>
    <row r="137" ht="29.85" customHeight="1" s="111">
      <c r="A137" s="121" t="inlineStr">
        <is>
          <t>K248</t>
        </is>
      </c>
      <c r="B137" s="122" t="inlineStr">
        <is>
          <t>035-二次</t>
        </is>
      </c>
      <c r="C137" s="121" t="inlineStr">
        <is>
          <t>Ryan</t>
        </is>
      </c>
      <c r="D137" s="122" t="inlineStr">
        <is>
          <t>泛化</t>
        </is>
      </c>
      <c r="E137" s="127" t="inlineStr">
        <is>
          <t>A3</t>
        </is>
      </c>
      <c r="F137" s="128" t="inlineStr">
        <is>
          <t>人际关系发展</t>
        </is>
      </c>
      <c r="G137" s="128" t="inlineStr">
        <is>
          <t>群体融入</t>
        </is>
      </c>
      <c r="H137" s="121" t="inlineStr">
        <is>
          <t>DV39</t>
        </is>
      </c>
      <c r="I137" s="113" t="inlineStr">
        <is>
          <t>参与（Participate）</t>
        </is>
      </c>
      <c r="J137" s="113" t="inlineStr">
        <is>
          <t>泛化 BL vs INT 期泛化探测（空心符号）</t>
        </is>
      </c>
    </row>
    <row r="138" ht="29.85" customHeight="1" s="111">
      <c r="A138" s="121" t="inlineStr">
        <is>
          <t>K249</t>
        </is>
      </c>
      <c r="B138" s="122" t="inlineStr">
        <is>
          <t>035-二次</t>
        </is>
      </c>
      <c r="C138" s="121" t="inlineStr">
        <is>
          <t>Ryan</t>
        </is>
      </c>
      <c r="D138" s="122" t="inlineStr">
        <is>
          <t>干预</t>
        </is>
      </c>
      <c r="E138" s="123" t="inlineStr">
        <is>
          <t>A1</t>
        </is>
      </c>
      <c r="F138" s="124" t="inlineStr">
        <is>
          <t>社交情感互惠</t>
        </is>
      </c>
      <c r="G138" s="124" t="inlineStr">
        <is>
          <t>需求表达</t>
        </is>
      </c>
      <c r="H138" s="121" t="inlineStr">
        <is>
          <t>DV40</t>
        </is>
      </c>
      <c r="I138" s="113" t="inlineStr">
        <is>
          <t>表达需求（Wants and Needs）</t>
        </is>
      </c>
      <c r="J138" s="119" t="inlineStr">
        <is>
          <t>BL vs INT</t>
        </is>
      </c>
    </row>
    <row r="139" ht="29.85" customHeight="1" s="111">
      <c r="A139" s="121" t="inlineStr">
        <is>
          <t>K250</t>
        </is>
      </c>
      <c r="B139" s="122" t="inlineStr">
        <is>
          <t>035-二次</t>
        </is>
      </c>
      <c r="C139" s="121" t="inlineStr">
        <is>
          <t>Ryan</t>
        </is>
      </c>
      <c r="D139" s="122" t="inlineStr">
        <is>
          <t>维持</t>
        </is>
      </c>
      <c r="E139" s="123" t="inlineStr">
        <is>
          <t>A1</t>
        </is>
      </c>
      <c r="F139" s="124" t="inlineStr">
        <is>
          <t>社交情感互惠</t>
        </is>
      </c>
      <c r="G139" s="124" t="inlineStr">
        <is>
          <t>需求表达</t>
        </is>
      </c>
      <c r="H139" s="121" t="inlineStr">
        <is>
          <t>DV40</t>
        </is>
      </c>
      <c r="I139" s="113" t="inlineStr">
        <is>
          <t>表达需求（Wants and Needs）</t>
        </is>
      </c>
      <c r="J139" s="113" t="inlineStr">
        <is>
          <t>BL vs MT（训练情境）</t>
        </is>
      </c>
    </row>
    <row r="140" ht="29.85" customHeight="1" s="111">
      <c r="A140" s="121" t="inlineStr">
        <is>
          <t>K251</t>
        </is>
      </c>
      <c r="B140" s="122" t="inlineStr">
        <is>
          <t>035-二次</t>
        </is>
      </c>
      <c r="C140" s="121" t="inlineStr">
        <is>
          <t>Ryan</t>
        </is>
      </c>
      <c r="D140" s="122" t="inlineStr">
        <is>
          <t>泛化</t>
        </is>
      </c>
      <c r="E140" s="123" t="inlineStr">
        <is>
          <t>A1</t>
        </is>
      </c>
      <c r="F140" s="124" t="inlineStr">
        <is>
          <t>社交情感互惠</t>
        </is>
      </c>
      <c r="G140" s="124" t="inlineStr">
        <is>
          <t>需求表达</t>
        </is>
      </c>
      <c r="H140" s="121" t="inlineStr">
        <is>
          <t>DV40</t>
        </is>
      </c>
      <c r="I140" s="113" t="inlineStr">
        <is>
          <t>表达需求（Wants and Needs）</t>
        </is>
      </c>
      <c r="J140" s="113" t="inlineStr">
        <is>
          <t>泛化 BL vs INT 期泛化探测（空心符号）</t>
        </is>
      </c>
    </row>
    <row r="141" ht="15" customHeight="1" s="111">
      <c r="A141" s="121" t="inlineStr">
        <is>
          <t>K252</t>
        </is>
      </c>
      <c r="B141" s="122" t="inlineStr">
        <is>
          <t>035-二次</t>
        </is>
      </c>
      <c r="C141" s="121" t="inlineStr">
        <is>
          <t>Ryan</t>
        </is>
      </c>
      <c r="D141" s="122" t="inlineStr">
        <is>
          <t>干预</t>
        </is>
      </c>
      <c r="E141" s="123" t="inlineStr">
        <is>
          <t>A1</t>
        </is>
      </c>
      <c r="F141" s="124" t="inlineStr">
        <is>
          <t>社交情感互惠</t>
        </is>
      </c>
      <c r="G141" s="124" t="inlineStr">
        <is>
          <t>社交发起</t>
        </is>
      </c>
      <c r="H141" s="121" t="inlineStr">
        <is>
          <t>DV41</t>
        </is>
      </c>
      <c r="I141" s="113" t="inlineStr">
        <is>
          <t>开始交谈（Conversation）</t>
        </is>
      </c>
      <c r="J141" s="119" t="inlineStr">
        <is>
          <t>BL vs INT</t>
        </is>
      </c>
    </row>
    <row r="142" ht="15" customHeight="1" s="111">
      <c r="A142" s="121" t="inlineStr">
        <is>
          <t>K253</t>
        </is>
      </c>
      <c r="B142" s="122" t="inlineStr">
        <is>
          <t>035-二次</t>
        </is>
      </c>
      <c r="C142" s="121" t="inlineStr">
        <is>
          <t>Ryan</t>
        </is>
      </c>
      <c r="D142" s="122" t="inlineStr">
        <is>
          <t>泛化</t>
        </is>
      </c>
      <c r="E142" s="123" t="inlineStr">
        <is>
          <t>A1</t>
        </is>
      </c>
      <c r="F142" s="124" t="inlineStr">
        <is>
          <t>社交情感互惠</t>
        </is>
      </c>
      <c r="G142" s="124" t="inlineStr">
        <is>
          <t>社交发起</t>
        </is>
      </c>
      <c r="H142" s="121" t="inlineStr">
        <is>
          <t>DV41</t>
        </is>
      </c>
      <c r="I142" s="113" t="inlineStr">
        <is>
          <t>开始交谈（Conversation）</t>
        </is>
      </c>
      <c r="J142" s="113" t="inlineStr">
        <is>
          <t>泛化 BL vs INT 期泛化探测（空心符号）</t>
        </is>
      </c>
    </row>
    <row r="143" ht="15" customHeight="1" s="111">
      <c r="A143" s="121" t="inlineStr">
        <is>
          <t>K254</t>
        </is>
      </c>
      <c r="B143" s="122" t="inlineStr">
        <is>
          <t>035-二次</t>
        </is>
      </c>
      <c r="C143" s="121" t="inlineStr">
        <is>
          <t>Andrew</t>
        </is>
      </c>
      <c r="D143" s="122" t="inlineStr">
        <is>
          <t>干预</t>
        </is>
      </c>
      <c r="E143" s="125" t="inlineStr">
        <is>
          <t>A2</t>
        </is>
      </c>
      <c r="F143" s="126" t="inlineStr">
        <is>
          <t>非言语沟通</t>
        </is>
      </c>
      <c r="G143" s="126" t="inlineStr">
        <is>
          <t>交往仪态</t>
        </is>
      </c>
      <c r="H143" s="121" t="inlineStr">
        <is>
          <t>DV38</t>
        </is>
      </c>
      <c r="I143" s="113" t="inlineStr">
        <is>
          <t>非言语基本技能（Body Basics）</t>
        </is>
      </c>
      <c r="J143" s="119" t="inlineStr">
        <is>
          <t>BL vs INT</t>
        </is>
      </c>
    </row>
    <row r="144" ht="15" customHeight="1" s="111">
      <c r="A144" s="121" t="inlineStr">
        <is>
          <t>K255</t>
        </is>
      </c>
      <c r="B144" s="122" t="inlineStr">
        <is>
          <t>035-二次</t>
        </is>
      </c>
      <c r="C144" s="121" t="inlineStr">
        <is>
          <t>Andrew</t>
        </is>
      </c>
      <c r="D144" s="122" t="inlineStr">
        <is>
          <t>维持</t>
        </is>
      </c>
      <c r="E144" s="125" t="inlineStr">
        <is>
          <t>A2</t>
        </is>
      </c>
      <c r="F144" s="126" t="inlineStr">
        <is>
          <t>非言语沟通</t>
        </is>
      </c>
      <c r="G144" s="126" t="inlineStr">
        <is>
          <t>交往仪态</t>
        </is>
      </c>
      <c r="H144" s="121" t="inlineStr">
        <is>
          <t>DV38</t>
        </is>
      </c>
      <c r="I144" s="113" t="inlineStr">
        <is>
          <t>非言语基本技能（Body Basics）</t>
        </is>
      </c>
      <c r="J144" s="113" t="inlineStr">
        <is>
          <t>BL vs MT（训练情境）</t>
        </is>
      </c>
    </row>
    <row r="145" ht="15" customHeight="1" s="111">
      <c r="A145" s="121" t="inlineStr">
        <is>
          <t>K256</t>
        </is>
      </c>
      <c r="B145" s="122" t="inlineStr">
        <is>
          <t>035-二次</t>
        </is>
      </c>
      <c r="C145" s="121" t="inlineStr">
        <is>
          <t>Andrew</t>
        </is>
      </c>
      <c r="D145" s="122" t="inlineStr">
        <is>
          <t>泛化</t>
        </is>
      </c>
      <c r="E145" s="125" t="inlineStr">
        <is>
          <t>A2</t>
        </is>
      </c>
      <c r="F145" s="126" t="inlineStr">
        <is>
          <t>非言语沟通</t>
        </is>
      </c>
      <c r="G145" s="126" t="inlineStr">
        <is>
          <t>交往仪态</t>
        </is>
      </c>
      <c r="H145" s="121" t="inlineStr">
        <is>
          <t>DV38</t>
        </is>
      </c>
      <c r="I145" s="113" t="inlineStr">
        <is>
          <t>非言语基本技能（Body Basics）</t>
        </is>
      </c>
      <c r="J145" s="113" t="inlineStr">
        <is>
          <t>泛化 BL vs INT 期泛化探测（空心符号）</t>
        </is>
      </c>
    </row>
    <row r="146" ht="15" customHeight="1" s="111">
      <c r="A146" s="121" t="inlineStr">
        <is>
          <t>K257</t>
        </is>
      </c>
      <c r="B146" s="122" t="inlineStr">
        <is>
          <t>035-二次</t>
        </is>
      </c>
      <c r="C146" s="121" t="inlineStr">
        <is>
          <t>Andrew</t>
        </is>
      </c>
      <c r="D146" s="122" t="inlineStr">
        <is>
          <t>干预</t>
        </is>
      </c>
      <c r="E146" s="127" t="inlineStr">
        <is>
          <t>A3</t>
        </is>
      </c>
      <c r="F146" s="128" t="inlineStr">
        <is>
          <t>人际关系发展</t>
        </is>
      </c>
      <c r="G146" s="128" t="inlineStr">
        <is>
          <t>群体融入</t>
        </is>
      </c>
      <c r="H146" s="121" t="inlineStr">
        <is>
          <t>DV39</t>
        </is>
      </c>
      <c r="I146" s="113" t="inlineStr">
        <is>
          <t>参与（Participate）</t>
        </is>
      </c>
      <c r="J146" s="119" t="inlineStr">
        <is>
          <t>BL vs INT</t>
        </is>
      </c>
    </row>
    <row r="147" ht="15" customHeight="1" s="111">
      <c r="A147" s="121" t="inlineStr">
        <is>
          <t>K258</t>
        </is>
      </c>
      <c r="B147" s="122" t="inlineStr">
        <is>
          <t>035-二次</t>
        </is>
      </c>
      <c r="C147" s="121" t="inlineStr">
        <is>
          <t>Andrew</t>
        </is>
      </c>
      <c r="D147" s="122" t="inlineStr">
        <is>
          <t>维持</t>
        </is>
      </c>
      <c r="E147" s="127" t="inlineStr">
        <is>
          <t>A3</t>
        </is>
      </c>
      <c r="F147" s="128" t="inlineStr">
        <is>
          <t>人际关系发展</t>
        </is>
      </c>
      <c r="G147" s="128" t="inlineStr">
        <is>
          <t>群体融入</t>
        </is>
      </c>
      <c r="H147" s="121" t="inlineStr">
        <is>
          <t>DV39</t>
        </is>
      </c>
      <c r="I147" s="113" t="inlineStr">
        <is>
          <t>参与（Participate）</t>
        </is>
      </c>
      <c r="J147" s="113" t="inlineStr">
        <is>
          <t>BL vs MT（训练情境）</t>
        </is>
      </c>
    </row>
    <row r="148" ht="15" customHeight="1" s="111">
      <c r="A148" s="121" t="inlineStr">
        <is>
          <t>K259</t>
        </is>
      </c>
      <c r="B148" s="122" t="inlineStr">
        <is>
          <t>035-二次</t>
        </is>
      </c>
      <c r="C148" s="121" t="inlineStr">
        <is>
          <t>Andrew</t>
        </is>
      </c>
      <c r="D148" s="122" t="inlineStr">
        <is>
          <t>泛化</t>
        </is>
      </c>
      <c r="E148" s="127" t="inlineStr">
        <is>
          <t>A3</t>
        </is>
      </c>
      <c r="F148" s="128" t="inlineStr">
        <is>
          <t>人际关系发展</t>
        </is>
      </c>
      <c r="G148" s="128" t="inlineStr">
        <is>
          <t>群体融入</t>
        </is>
      </c>
      <c r="H148" s="121" t="inlineStr">
        <is>
          <t>DV39</t>
        </is>
      </c>
      <c r="I148" s="113" t="inlineStr">
        <is>
          <t>参与（Participate）</t>
        </is>
      </c>
      <c r="J148" s="113" t="inlineStr">
        <is>
          <t>泛化 BL vs INT 期泛化探测（空心符号）</t>
        </is>
      </c>
    </row>
    <row r="149" ht="15" customHeight="1" s="111">
      <c r="A149" s="121" t="inlineStr">
        <is>
          <t>K260</t>
        </is>
      </c>
      <c r="B149" s="122" t="inlineStr">
        <is>
          <t>035-二次</t>
        </is>
      </c>
      <c r="C149" s="121" t="inlineStr">
        <is>
          <t>Andrew</t>
        </is>
      </c>
      <c r="D149" s="122" t="inlineStr">
        <is>
          <t>干预</t>
        </is>
      </c>
      <c r="E149" s="123" t="inlineStr">
        <is>
          <t>A1</t>
        </is>
      </c>
      <c r="F149" s="124" t="inlineStr">
        <is>
          <t>社交情感互惠</t>
        </is>
      </c>
      <c r="G149" s="124" t="inlineStr">
        <is>
          <t>需求表达</t>
        </is>
      </c>
      <c r="H149" s="121" t="inlineStr">
        <is>
          <t>DV40</t>
        </is>
      </c>
      <c r="I149" s="113" t="inlineStr">
        <is>
          <t>表达需求（Wants and Needs）</t>
        </is>
      </c>
      <c r="J149" s="119" t="inlineStr">
        <is>
          <t>BL vs INT</t>
        </is>
      </c>
    </row>
    <row r="150" ht="15" customHeight="1" s="111">
      <c r="A150" s="121" t="inlineStr">
        <is>
          <t>K261</t>
        </is>
      </c>
      <c r="B150" s="122" t="inlineStr">
        <is>
          <t>035-二次</t>
        </is>
      </c>
      <c r="C150" s="121" t="inlineStr">
        <is>
          <t>Andrew</t>
        </is>
      </c>
      <c r="D150" s="122" t="inlineStr">
        <is>
          <t>维持</t>
        </is>
      </c>
      <c r="E150" s="123" t="inlineStr">
        <is>
          <t>A1</t>
        </is>
      </c>
      <c r="F150" s="124" t="inlineStr">
        <is>
          <t>社交情感互惠</t>
        </is>
      </c>
      <c r="G150" s="124" t="inlineStr">
        <is>
          <t>需求表达</t>
        </is>
      </c>
      <c r="H150" s="121" t="inlineStr">
        <is>
          <t>DV40</t>
        </is>
      </c>
      <c r="I150" s="113" t="inlineStr">
        <is>
          <t>表达需求（Wants and Needs）</t>
        </is>
      </c>
      <c r="J150" s="113" t="inlineStr">
        <is>
          <t>BL vs MT（训练情境）</t>
        </is>
      </c>
    </row>
    <row r="151" ht="15" customHeight="1" s="111">
      <c r="A151" s="121" t="inlineStr">
        <is>
          <t>K262</t>
        </is>
      </c>
      <c r="B151" s="122" t="inlineStr">
        <is>
          <t>035-二次</t>
        </is>
      </c>
      <c r="C151" s="121" t="inlineStr">
        <is>
          <t>Andrew</t>
        </is>
      </c>
      <c r="D151" s="122" t="inlineStr">
        <is>
          <t>泛化</t>
        </is>
      </c>
      <c r="E151" s="123" t="inlineStr">
        <is>
          <t>A1</t>
        </is>
      </c>
      <c r="F151" s="124" t="inlineStr">
        <is>
          <t>社交情感互惠</t>
        </is>
      </c>
      <c r="G151" s="124" t="inlineStr">
        <is>
          <t>需求表达</t>
        </is>
      </c>
      <c r="H151" s="121" t="inlineStr">
        <is>
          <t>DV40</t>
        </is>
      </c>
      <c r="I151" s="113" t="inlineStr">
        <is>
          <t>表达需求（Wants and Needs）</t>
        </is>
      </c>
      <c r="J151" s="113" t="inlineStr">
        <is>
          <t>泛化 BL vs INT 期泛化探测（空心符号）</t>
        </is>
      </c>
    </row>
    <row r="152" ht="15" customHeight="1" s="111">
      <c r="A152" s="121" t="inlineStr">
        <is>
          <t>K263</t>
        </is>
      </c>
      <c r="B152" s="122" t="inlineStr">
        <is>
          <t>035-二次</t>
        </is>
      </c>
      <c r="C152" s="121" t="inlineStr">
        <is>
          <t>Andrew</t>
        </is>
      </c>
      <c r="D152" s="122" t="inlineStr">
        <is>
          <t>干预</t>
        </is>
      </c>
      <c r="E152" s="123" t="inlineStr">
        <is>
          <t>A1</t>
        </is>
      </c>
      <c r="F152" s="124" t="inlineStr">
        <is>
          <t>社交情感互惠</t>
        </is>
      </c>
      <c r="G152" s="124" t="inlineStr">
        <is>
          <t>社交发起</t>
        </is>
      </c>
      <c r="H152" s="121" t="inlineStr">
        <is>
          <t>DV41</t>
        </is>
      </c>
      <c r="I152" s="113" t="inlineStr">
        <is>
          <t>开始交谈（Conversation）</t>
        </is>
      </c>
      <c r="J152" s="119" t="inlineStr">
        <is>
          <t>BL vs INT</t>
        </is>
      </c>
    </row>
    <row r="153" ht="15" customHeight="1" s="111">
      <c r="A153" s="121" t="inlineStr">
        <is>
          <t>K264</t>
        </is>
      </c>
      <c r="B153" s="122" t="inlineStr">
        <is>
          <t>035-二次</t>
        </is>
      </c>
      <c r="C153" s="121" t="inlineStr">
        <is>
          <t>Andrew</t>
        </is>
      </c>
      <c r="D153" s="122" t="inlineStr">
        <is>
          <t>泛化</t>
        </is>
      </c>
      <c r="E153" s="123" t="inlineStr">
        <is>
          <t>A1</t>
        </is>
      </c>
      <c r="F153" s="124" t="inlineStr">
        <is>
          <t>社交情感互惠</t>
        </is>
      </c>
      <c r="G153" s="124" t="inlineStr">
        <is>
          <t>社交发起</t>
        </is>
      </c>
      <c r="H153" s="121" t="inlineStr">
        <is>
          <t>DV41</t>
        </is>
      </c>
      <c r="I153" s="113" t="inlineStr">
        <is>
          <t>开始交谈（Conversation）</t>
        </is>
      </c>
      <c r="J153" s="113" t="inlineStr">
        <is>
          <t>泛化 BL vs INT 期泛化探测（空心符号）</t>
        </is>
      </c>
    </row>
    <row r="154" ht="15" customHeight="1" s="111">
      <c r="A154" s="121" t="inlineStr">
        <is>
          <t>K265</t>
        </is>
      </c>
      <c r="B154" s="122" t="inlineStr">
        <is>
          <t>037-二次</t>
        </is>
      </c>
      <c r="C154" s="121" t="inlineStr">
        <is>
          <t>Matt</t>
        </is>
      </c>
      <c r="D154" s="122" t="inlineStr">
        <is>
          <t>干预</t>
        </is>
      </c>
      <c r="E154" s="123" t="inlineStr">
        <is>
          <t>A1</t>
        </is>
      </c>
      <c r="F154" s="124" t="inlineStr">
        <is>
          <t>社交情感互惠</t>
        </is>
      </c>
      <c r="G154" s="124" t="inlineStr">
        <is>
          <t>社交应答</t>
        </is>
      </c>
      <c r="H154" s="121" t="inlineStr">
        <is>
          <t>DV42</t>
        </is>
      </c>
      <c r="I154" s="113" t="inlineStr">
        <is>
          <t>回答游戏情境中的提问</t>
        </is>
      </c>
      <c r="J154" s="119" t="inlineStr">
        <is>
          <t>Baseline vs Intervention（VSM）</t>
        </is>
      </c>
    </row>
    <row r="155" ht="15" customHeight="1" s="111">
      <c r="A155" s="121" t="inlineStr">
        <is>
          <t>K266</t>
        </is>
      </c>
      <c r="B155" s="122" t="inlineStr">
        <is>
          <t>037-二次</t>
        </is>
      </c>
      <c r="C155" s="121" t="inlineStr">
        <is>
          <t>Matt</t>
        </is>
      </c>
      <c r="D155" s="122" t="inlineStr">
        <is>
          <t>维持</t>
        </is>
      </c>
      <c r="E155" s="123" t="inlineStr">
        <is>
          <t>A1</t>
        </is>
      </c>
      <c r="F155" s="124" t="inlineStr">
        <is>
          <t>社交情感互惠</t>
        </is>
      </c>
      <c r="G155" s="124" t="inlineStr">
        <is>
          <t>社交应答</t>
        </is>
      </c>
      <c r="H155" s="121" t="inlineStr">
        <is>
          <t>DV42</t>
        </is>
      </c>
      <c r="I155" s="113" t="inlineStr">
        <is>
          <t>回答游戏情境中的提问</t>
        </is>
      </c>
      <c r="J155" s="119" t="inlineStr">
        <is>
          <t>Baseline vs Withdrawal</t>
        </is>
      </c>
    </row>
    <row r="156" ht="15" customHeight="1" s="111">
      <c r="A156" s="121" t="inlineStr">
        <is>
          <t>K267</t>
        </is>
      </c>
      <c r="B156" s="122" t="inlineStr">
        <is>
          <t>037-二次</t>
        </is>
      </c>
      <c r="C156" s="121" t="inlineStr">
        <is>
          <t>Esther</t>
        </is>
      </c>
      <c r="D156" s="122" t="inlineStr">
        <is>
          <t>干预</t>
        </is>
      </c>
      <c r="E156" s="123" t="inlineStr">
        <is>
          <t>A1</t>
        </is>
      </c>
      <c r="F156" s="124" t="inlineStr">
        <is>
          <t>社交情感互惠</t>
        </is>
      </c>
      <c r="G156" s="124" t="inlineStr">
        <is>
          <t>社交应答</t>
        </is>
      </c>
      <c r="H156" s="121" t="inlineStr">
        <is>
          <t>DV42</t>
        </is>
      </c>
      <c r="I156" s="113" t="inlineStr">
        <is>
          <t>回答游戏情境中的提问</t>
        </is>
      </c>
      <c r="J156" s="119" t="inlineStr">
        <is>
          <t>Baseline vs Intervention（VSM）</t>
        </is>
      </c>
    </row>
    <row r="157" ht="15" customHeight="1" s="111">
      <c r="A157" s="121" t="inlineStr">
        <is>
          <t>K268</t>
        </is>
      </c>
      <c r="B157" s="122" t="inlineStr">
        <is>
          <t>037-二次</t>
        </is>
      </c>
      <c r="C157" s="121" t="inlineStr">
        <is>
          <t>Fred</t>
        </is>
      </c>
      <c r="D157" s="122" t="inlineStr">
        <is>
          <t>干预</t>
        </is>
      </c>
      <c r="E157" s="123" t="inlineStr">
        <is>
          <t>A1</t>
        </is>
      </c>
      <c r="F157" s="124" t="inlineStr">
        <is>
          <t>社交情感互惠</t>
        </is>
      </c>
      <c r="G157" s="124" t="inlineStr">
        <is>
          <t>社交应答</t>
        </is>
      </c>
      <c r="H157" s="121" t="inlineStr">
        <is>
          <t>DV42</t>
        </is>
      </c>
      <c r="I157" s="113" t="inlineStr">
        <is>
          <t>回答游戏情境中的提问</t>
        </is>
      </c>
      <c r="J157" s="119" t="inlineStr">
        <is>
          <t>Baseline vs Intervention（VSM）</t>
        </is>
      </c>
    </row>
    <row r="158" ht="15" customHeight="1" s="111">
      <c r="A158" s="121" t="inlineStr">
        <is>
          <t>K269</t>
        </is>
      </c>
      <c r="B158" s="122" t="inlineStr">
        <is>
          <t>038-滚雪球</t>
        </is>
      </c>
      <c r="C158" s="121" t="inlineStr">
        <is>
          <t>Ben</t>
        </is>
      </c>
      <c r="D158" s="122" t="inlineStr">
        <is>
          <t>干预</t>
        </is>
      </c>
      <c r="E158" s="125" t="inlineStr">
        <is>
          <t>A2</t>
        </is>
      </c>
      <c r="F158" s="126" t="inlineStr">
        <is>
          <t>非言语沟通</t>
        </is>
      </c>
      <c r="G158" s="126" t="inlineStr">
        <is>
          <t>交往仪态</t>
        </is>
      </c>
      <c r="H158" s="121" t="inlineStr">
        <is>
          <t>DV43</t>
        </is>
      </c>
      <c r="I158" s="113" t="inlineStr">
        <is>
          <t>非言语基本技能（Body Basics）</t>
        </is>
      </c>
      <c r="J158" s="119" t="inlineStr">
        <is>
          <t>BL vs INT</t>
        </is>
      </c>
    </row>
    <row r="159" ht="15" customHeight="1" s="111">
      <c r="A159" s="121" t="inlineStr">
        <is>
          <t>K270</t>
        </is>
      </c>
      <c r="B159" s="122" t="inlineStr">
        <is>
          <t>038-滚雪球</t>
        </is>
      </c>
      <c r="C159" s="121" t="inlineStr">
        <is>
          <t>Ben</t>
        </is>
      </c>
      <c r="D159" s="122" t="inlineStr">
        <is>
          <t>维持</t>
        </is>
      </c>
      <c r="E159" s="125" t="inlineStr">
        <is>
          <t>A2</t>
        </is>
      </c>
      <c r="F159" s="126" t="inlineStr">
        <is>
          <t>非言语沟通</t>
        </is>
      </c>
      <c r="G159" s="126" t="inlineStr">
        <is>
          <t>交往仪态</t>
        </is>
      </c>
      <c r="H159" s="121" t="inlineStr">
        <is>
          <t>DV43</t>
        </is>
      </c>
      <c r="I159" s="113" t="inlineStr">
        <is>
          <t>非言语基本技能（Body Basics）</t>
        </is>
      </c>
      <c r="J159" s="113" t="inlineStr">
        <is>
          <t>BL vs MT（训练情境）</t>
        </is>
      </c>
    </row>
    <row r="160" ht="15" customHeight="1" s="111">
      <c r="A160" s="121" t="inlineStr">
        <is>
          <t>K271</t>
        </is>
      </c>
      <c r="B160" s="122" t="inlineStr">
        <is>
          <t>038-滚雪球</t>
        </is>
      </c>
      <c r="C160" s="121" t="inlineStr">
        <is>
          <t>Ben</t>
        </is>
      </c>
      <c r="D160" s="122" t="inlineStr">
        <is>
          <t>泛化</t>
        </is>
      </c>
      <c r="E160" s="125" t="inlineStr">
        <is>
          <t>A2</t>
        </is>
      </c>
      <c r="F160" s="126" t="inlineStr">
        <is>
          <t>非言语沟通</t>
        </is>
      </c>
      <c r="G160" s="126" t="inlineStr">
        <is>
          <t>交往仪态</t>
        </is>
      </c>
      <c r="H160" s="121" t="inlineStr">
        <is>
          <t>DV43</t>
        </is>
      </c>
      <c r="I160" s="113" t="inlineStr">
        <is>
          <t>非言语基本技能（Body Basics）</t>
        </is>
      </c>
      <c r="J160" s="113" t="inlineStr">
        <is>
          <t>泛化 BL vs INT 期泛化探测（空心符号）</t>
        </is>
      </c>
    </row>
    <row r="161" ht="15" customHeight="1" s="111">
      <c r="A161" s="121" t="inlineStr">
        <is>
          <t>K272</t>
        </is>
      </c>
      <c r="B161" s="122" t="inlineStr">
        <is>
          <t>038-滚雪球</t>
        </is>
      </c>
      <c r="C161" s="121" t="inlineStr">
        <is>
          <t>Ben</t>
        </is>
      </c>
      <c r="D161" s="122" t="inlineStr">
        <is>
          <t>干预</t>
        </is>
      </c>
      <c r="E161" s="127" t="inlineStr">
        <is>
          <t>A3</t>
        </is>
      </c>
      <c r="F161" s="128" t="inlineStr">
        <is>
          <t>人际关系发展</t>
        </is>
      </c>
      <c r="G161" s="128" t="inlineStr">
        <is>
          <t>群体融入</t>
        </is>
      </c>
      <c r="H161" s="121" t="inlineStr">
        <is>
          <t>DV44</t>
        </is>
      </c>
      <c r="I161" s="113" t="inlineStr">
        <is>
          <t>参与（Participate）</t>
        </is>
      </c>
      <c r="J161" s="119" t="inlineStr">
        <is>
          <t>BL vs INT</t>
        </is>
      </c>
    </row>
    <row r="162" ht="15" customHeight="1" s="111">
      <c r="A162" s="121" t="inlineStr">
        <is>
          <t>K273</t>
        </is>
      </c>
      <c r="B162" s="122" t="inlineStr">
        <is>
          <t>038-滚雪球</t>
        </is>
      </c>
      <c r="C162" s="121" t="inlineStr">
        <is>
          <t>Ben</t>
        </is>
      </c>
      <c r="D162" s="122" t="inlineStr">
        <is>
          <t>维持</t>
        </is>
      </c>
      <c r="E162" s="127" t="inlineStr">
        <is>
          <t>A3</t>
        </is>
      </c>
      <c r="F162" s="128" t="inlineStr">
        <is>
          <t>人际关系发展</t>
        </is>
      </c>
      <c r="G162" s="128" t="inlineStr">
        <is>
          <t>群体融入</t>
        </is>
      </c>
      <c r="H162" s="121" t="inlineStr">
        <is>
          <t>DV44</t>
        </is>
      </c>
      <c r="I162" s="113" t="inlineStr">
        <is>
          <t>参与（Participate）</t>
        </is>
      </c>
      <c r="J162" s="113" t="inlineStr">
        <is>
          <t>BL vs MT（训练情境）</t>
        </is>
      </c>
    </row>
    <row r="163" ht="15" customHeight="1" s="111">
      <c r="A163" s="121" t="inlineStr">
        <is>
          <t>K274</t>
        </is>
      </c>
      <c r="B163" s="122" t="inlineStr">
        <is>
          <t>038-滚雪球</t>
        </is>
      </c>
      <c r="C163" s="121" t="inlineStr">
        <is>
          <t>Ben</t>
        </is>
      </c>
      <c r="D163" s="122" t="inlineStr">
        <is>
          <t>泛化</t>
        </is>
      </c>
      <c r="E163" s="127" t="inlineStr">
        <is>
          <t>A3</t>
        </is>
      </c>
      <c r="F163" s="128" t="inlineStr">
        <is>
          <t>人际关系发展</t>
        </is>
      </c>
      <c r="G163" s="128" t="inlineStr">
        <is>
          <t>群体融入</t>
        </is>
      </c>
      <c r="H163" s="121" t="inlineStr">
        <is>
          <t>DV44</t>
        </is>
      </c>
      <c r="I163" s="113" t="inlineStr">
        <is>
          <t>参与（Participate）</t>
        </is>
      </c>
      <c r="J163" s="113" t="inlineStr">
        <is>
          <t>泛化 BL vs INT 期泛化探测（空心符号）</t>
        </is>
      </c>
    </row>
    <row r="164" ht="15" customHeight="1" s="111">
      <c r="A164" s="121" t="inlineStr">
        <is>
          <t>K275</t>
        </is>
      </c>
      <c r="B164" s="122" t="inlineStr">
        <is>
          <t>038-滚雪球</t>
        </is>
      </c>
      <c r="C164" s="121" t="inlineStr">
        <is>
          <t>Ben</t>
        </is>
      </c>
      <c r="D164" s="122" t="inlineStr">
        <is>
          <t>干预</t>
        </is>
      </c>
      <c r="E164" s="123" t="inlineStr">
        <is>
          <t>A1</t>
        </is>
      </c>
      <c r="F164" s="124" t="inlineStr">
        <is>
          <t>社交情感互惠</t>
        </is>
      </c>
      <c r="G164" s="124" t="inlineStr">
        <is>
          <t>需求表达</t>
        </is>
      </c>
      <c r="H164" s="121" t="inlineStr">
        <is>
          <t>DV45</t>
        </is>
      </c>
      <c r="I164" s="113" t="inlineStr">
        <is>
          <t>表达需求（Expressing Wants and Needs）</t>
        </is>
      </c>
      <c r="J164" s="119" t="inlineStr">
        <is>
          <t>BL vs INT</t>
        </is>
      </c>
    </row>
    <row r="165" ht="15" customHeight="1" s="111">
      <c r="A165" s="121" t="inlineStr">
        <is>
          <t>K276</t>
        </is>
      </c>
      <c r="B165" s="122" t="inlineStr">
        <is>
          <t>038-滚雪球</t>
        </is>
      </c>
      <c r="C165" s="121" t="inlineStr">
        <is>
          <t>Ben</t>
        </is>
      </c>
      <c r="D165" s="122" t="inlineStr">
        <is>
          <t>泛化</t>
        </is>
      </c>
      <c r="E165" s="123" t="inlineStr">
        <is>
          <t>A1</t>
        </is>
      </c>
      <c r="F165" s="124" t="inlineStr">
        <is>
          <t>社交情感互惠</t>
        </is>
      </c>
      <c r="G165" s="124" t="inlineStr">
        <is>
          <t>需求表达</t>
        </is>
      </c>
      <c r="H165" s="121" t="inlineStr">
        <is>
          <t>DV45</t>
        </is>
      </c>
      <c r="I165" s="113" t="inlineStr">
        <is>
          <t>表达需求（Expressing Wants and Needs）</t>
        </is>
      </c>
      <c r="J165" s="113" t="inlineStr">
        <is>
          <t>泛化 BL vs INT 期泛化探测（空心符号）</t>
        </is>
      </c>
    </row>
    <row r="166" ht="15" customHeight="1" s="111">
      <c r="A166" s="121" t="inlineStr">
        <is>
          <t>K277</t>
        </is>
      </c>
      <c r="B166" s="122" t="inlineStr">
        <is>
          <t>038-滚雪球</t>
        </is>
      </c>
      <c r="C166" s="121" t="inlineStr">
        <is>
          <t>Nick</t>
        </is>
      </c>
      <c r="D166" s="122" t="inlineStr">
        <is>
          <t>干预</t>
        </is>
      </c>
      <c r="E166" s="125" t="inlineStr">
        <is>
          <t>A2</t>
        </is>
      </c>
      <c r="F166" s="126" t="inlineStr">
        <is>
          <t>非言语沟通</t>
        </is>
      </c>
      <c r="G166" s="126" t="inlineStr">
        <is>
          <t>交往仪态</t>
        </is>
      </c>
      <c r="H166" s="121" t="inlineStr">
        <is>
          <t>DV43</t>
        </is>
      </c>
      <c r="I166" s="113" t="inlineStr">
        <is>
          <t>非言语基本技能（Body Basics）</t>
        </is>
      </c>
      <c r="J166" s="119" t="inlineStr">
        <is>
          <t>BL vs INT</t>
        </is>
      </c>
    </row>
    <row r="167" ht="15" customHeight="1" s="111">
      <c r="A167" s="121" t="inlineStr">
        <is>
          <t>K278</t>
        </is>
      </c>
      <c r="B167" s="122" t="inlineStr">
        <is>
          <t>038-滚雪球</t>
        </is>
      </c>
      <c r="C167" s="121" t="inlineStr">
        <is>
          <t>Nick</t>
        </is>
      </c>
      <c r="D167" s="122" t="inlineStr">
        <is>
          <t>维持</t>
        </is>
      </c>
      <c r="E167" s="125" t="inlineStr">
        <is>
          <t>A2</t>
        </is>
      </c>
      <c r="F167" s="126" t="inlineStr">
        <is>
          <t>非言语沟通</t>
        </is>
      </c>
      <c r="G167" s="126" t="inlineStr">
        <is>
          <t>交往仪态</t>
        </is>
      </c>
      <c r="H167" s="121" t="inlineStr">
        <is>
          <t>DV43</t>
        </is>
      </c>
      <c r="I167" s="113" t="inlineStr">
        <is>
          <t>非言语基本技能（Body Basics）</t>
        </is>
      </c>
      <c r="J167" s="113" t="inlineStr">
        <is>
          <t>BL vs MT（训练情境）</t>
        </is>
      </c>
    </row>
    <row r="168" ht="15" customHeight="1" s="111">
      <c r="A168" s="121" t="inlineStr">
        <is>
          <t>K279</t>
        </is>
      </c>
      <c r="B168" s="122" t="inlineStr">
        <is>
          <t>038-滚雪球</t>
        </is>
      </c>
      <c r="C168" s="121" t="inlineStr">
        <is>
          <t>Nick</t>
        </is>
      </c>
      <c r="D168" s="122" t="inlineStr">
        <is>
          <t>泛化</t>
        </is>
      </c>
      <c r="E168" s="125" t="inlineStr">
        <is>
          <t>A2</t>
        </is>
      </c>
      <c r="F168" s="126" t="inlineStr">
        <is>
          <t>非言语沟通</t>
        </is>
      </c>
      <c r="G168" s="126" t="inlineStr">
        <is>
          <t>交往仪态</t>
        </is>
      </c>
      <c r="H168" s="121" t="inlineStr">
        <is>
          <t>DV43</t>
        </is>
      </c>
      <c r="I168" s="113" t="inlineStr">
        <is>
          <t>非言语基本技能（Body Basics）</t>
        </is>
      </c>
      <c r="J168" s="113" t="inlineStr">
        <is>
          <t>泛化 BL vs INT 期泛化探测（空心符号）</t>
        </is>
      </c>
    </row>
    <row r="169" ht="15" customHeight="1" s="111">
      <c r="A169" s="121" t="inlineStr">
        <is>
          <t>K280</t>
        </is>
      </c>
      <c r="B169" s="122" t="inlineStr">
        <is>
          <t>038-滚雪球</t>
        </is>
      </c>
      <c r="C169" s="121" t="inlineStr">
        <is>
          <t>Nick</t>
        </is>
      </c>
      <c r="D169" s="122" t="inlineStr">
        <is>
          <t>干预</t>
        </is>
      </c>
      <c r="E169" s="127" t="inlineStr">
        <is>
          <t>A3</t>
        </is>
      </c>
      <c r="F169" s="128" t="inlineStr">
        <is>
          <t>人际关系发展</t>
        </is>
      </c>
      <c r="G169" s="128" t="inlineStr">
        <is>
          <t>群体融入</t>
        </is>
      </c>
      <c r="H169" s="121" t="inlineStr">
        <is>
          <t>DV44</t>
        </is>
      </c>
      <c r="I169" s="113" t="inlineStr">
        <is>
          <t>参与（Participate）</t>
        </is>
      </c>
      <c r="J169" s="119" t="inlineStr">
        <is>
          <t>BL vs INT</t>
        </is>
      </c>
    </row>
    <row r="170" ht="15" customHeight="1" s="111">
      <c r="A170" s="121" t="inlineStr">
        <is>
          <t>K281</t>
        </is>
      </c>
      <c r="B170" s="122" t="inlineStr">
        <is>
          <t>038-滚雪球</t>
        </is>
      </c>
      <c r="C170" s="121" t="inlineStr">
        <is>
          <t>Nick</t>
        </is>
      </c>
      <c r="D170" s="122" t="inlineStr">
        <is>
          <t>维持</t>
        </is>
      </c>
      <c r="E170" s="127" t="inlineStr">
        <is>
          <t>A3</t>
        </is>
      </c>
      <c r="F170" s="128" t="inlineStr">
        <is>
          <t>人际关系发展</t>
        </is>
      </c>
      <c r="G170" s="128" t="inlineStr">
        <is>
          <t>群体融入</t>
        </is>
      </c>
      <c r="H170" s="121" t="inlineStr">
        <is>
          <t>DV44</t>
        </is>
      </c>
      <c r="I170" s="113" t="inlineStr">
        <is>
          <t>参与（Participate）</t>
        </is>
      </c>
      <c r="J170" s="113" t="inlineStr">
        <is>
          <t>BL vs MT（训练情境）</t>
        </is>
      </c>
    </row>
    <row r="171" ht="15" customHeight="1" s="111">
      <c r="A171" s="121" t="inlineStr">
        <is>
          <t>K282</t>
        </is>
      </c>
      <c r="B171" s="122" t="inlineStr">
        <is>
          <t>038-滚雪球</t>
        </is>
      </c>
      <c r="C171" s="121" t="inlineStr">
        <is>
          <t>Nick</t>
        </is>
      </c>
      <c r="D171" s="122" t="inlineStr">
        <is>
          <t>泛化</t>
        </is>
      </c>
      <c r="E171" s="127" t="inlineStr">
        <is>
          <t>A3</t>
        </is>
      </c>
      <c r="F171" s="128" t="inlineStr">
        <is>
          <t>人际关系发展</t>
        </is>
      </c>
      <c r="G171" s="128" t="inlineStr">
        <is>
          <t>群体融入</t>
        </is>
      </c>
      <c r="H171" s="121" t="inlineStr">
        <is>
          <t>DV44</t>
        </is>
      </c>
      <c r="I171" s="113" t="inlineStr">
        <is>
          <t>参与（Participate）</t>
        </is>
      </c>
      <c r="J171" s="113" t="inlineStr">
        <is>
          <t>泛化 BL vs INT 期泛化探测（空心符号）</t>
        </is>
      </c>
    </row>
    <row r="172" ht="15" customHeight="1" s="111">
      <c r="A172" s="121" t="inlineStr">
        <is>
          <t>K283</t>
        </is>
      </c>
      <c r="B172" s="122" t="inlineStr">
        <is>
          <t>038-滚雪球</t>
        </is>
      </c>
      <c r="C172" s="121" t="inlineStr">
        <is>
          <t>Nick</t>
        </is>
      </c>
      <c r="D172" s="122" t="inlineStr">
        <is>
          <t>干预</t>
        </is>
      </c>
      <c r="E172" s="123" t="inlineStr">
        <is>
          <t>A1</t>
        </is>
      </c>
      <c r="F172" s="124" t="inlineStr">
        <is>
          <t>社交情感互惠</t>
        </is>
      </c>
      <c r="G172" s="124" t="inlineStr">
        <is>
          <t>需求表达</t>
        </is>
      </c>
      <c r="H172" s="121" t="inlineStr">
        <is>
          <t>DV45</t>
        </is>
      </c>
      <c r="I172" s="113" t="inlineStr">
        <is>
          <t>表达需求（Expressing Wants and Needs）</t>
        </is>
      </c>
      <c r="J172" s="119" t="inlineStr">
        <is>
          <t>BL vs INT</t>
        </is>
      </c>
    </row>
    <row r="173" ht="15" customHeight="1" s="111">
      <c r="A173" s="121" t="inlineStr">
        <is>
          <t>K284</t>
        </is>
      </c>
      <c r="B173" s="122" t="inlineStr">
        <is>
          <t>038-滚雪球</t>
        </is>
      </c>
      <c r="C173" s="121" t="inlineStr">
        <is>
          <t>Nick</t>
        </is>
      </c>
      <c r="D173" s="122" t="inlineStr">
        <is>
          <t>泛化</t>
        </is>
      </c>
      <c r="E173" s="123" t="inlineStr">
        <is>
          <t>A1</t>
        </is>
      </c>
      <c r="F173" s="124" t="inlineStr">
        <is>
          <t>社交情感互惠</t>
        </is>
      </c>
      <c r="G173" s="124" t="inlineStr">
        <is>
          <t>需求表达</t>
        </is>
      </c>
      <c r="H173" s="121" t="inlineStr">
        <is>
          <t>DV45</t>
        </is>
      </c>
      <c r="I173" s="113" t="inlineStr">
        <is>
          <t>表达需求（Expressing Wants and Needs）</t>
        </is>
      </c>
      <c r="J173" s="113" t="inlineStr">
        <is>
          <t>泛化 BL vs INT 期泛化探测（空心符号）</t>
        </is>
      </c>
    </row>
    <row r="174" ht="15" customHeight="1" s="111">
      <c r="A174" s="121" t="inlineStr">
        <is>
          <t>K285</t>
        </is>
      </c>
      <c r="B174" s="122" t="inlineStr">
        <is>
          <t>039-二次</t>
        </is>
      </c>
      <c r="C174" s="121" t="inlineStr">
        <is>
          <t>J.</t>
        </is>
      </c>
      <c r="D174" s="122" t="inlineStr">
        <is>
          <t>干预</t>
        </is>
      </c>
      <c r="E174" s="127" t="inlineStr">
        <is>
          <t>A3</t>
        </is>
      </c>
      <c r="F174" s="128" t="inlineStr">
        <is>
          <t>人际关系发展</t>
        </is>
      </c>
      <c r="G174" s="128" t="inlineStr">
        <is>
          <t>游戏邀请</t>
        </is>
      </c>
      <c r="H174" s="121" t="inlineStr">
        <is>
          <t>DV46</t>
        </is>
      </c>
      <c r="I174" s="113" t="inlineStr">
        <is>
          <t>社会发起（带对方参与活动）潜伏期</t>
        </is>
      </c>
      <c r="J174" s="113" t="inlineStr">
        <is>
          <t>Baseline A vs Video 1–3 合并段（Video 4 不用）</t>
        </is>
      </c>
    </row>
    <row r="175" ht="15" customHeight="1" s="111">
      <c r="A175" s="121" t="inlineStr">
        <is>
          <t>K286</t>
        </is>
      </c>
      <c r="B175" s="122" t="inlineStr">
        <is>
          <t>039-二次</t>
        </is>
      </c>
      <c r="C175" s="121" t="inlineStr">
        <is>
          <t>J.</t>
        </is>
      </c>
      <c r="D175" s="122" t="inlineStr">
        <is>
          <t>维持</t>
        </is>
      </c>
      <c r="E175" s="127" t="inlineStr">
        <is>
          <t>A3</t>
        </is>
      </c>
      <c r="F175" s="128" t="inlineStr">
        <is>
          <t>人际关系发展</t>
        </is>
      </c>
      <c r="G175" s="128" t="inlineStr">
        <is>
          <t>游戏邀请</t>
        </is>
      </c>
      <c r="H175" s="121" t="inlineStr">
        <is>
          <t>DV46</t>
        </is>
      </c>
      <c r="I175" s="113" t="inlineStr">
        <is>
          <t>社会发起（带对方参与活动）潜伏期</t>
        </is>
      </c>
      <c r="J175" s="113" t="inlineStr">
        <is>
          <t>Baseline A vs 1 个月＋2 个月 Follow-up</t>
        </is>
      </c>
    </row>
    <row r="176" ht="15" customHeight="1" s="111">
      <c r="A176" s="121" t="inlineStr">
        <is>
          <t>K287</t>
        </is>
      </c>
      <c r="B176" s="122" t="inlineStr">
        <is>
          <t>039-二次</t>
        </is>
      </c>
      <c r="C176" s="121" t="inlineStr">
        <is>
          <t>J.</t>
        </is>
      </c>
      <c r="D176" s="122" t="inlineStr">
        <is>
          <t>干预</t>
        </is>
      </c>
      <c r="E176" s="127" t="inlineStr">
        <is>
          <t>A3</t>
        </is>
      </c>
      <c r="F176" s="128" t="inlineStr">
        <is>
          <t>人际关系发展</t>
        </is>
      </c>
      <c r="G176" s="128" t="inlineStr">
        <is>
          <t>游戏邀请</t>
        </is>
      </c>
      <c r="H176" s="121" t="inlineStr">
        <is>
          <t>DV46</t>
        </is>
      </c>
      <c r="I176" s="113" t="inlineStr">
        <is>
          <t>社会发起（带对方参与活动）潜伏期</t>
        </is>
      </c>
      <c r="J176" s="113" t="inlineStr">
        <is>
          <t>Baseline A vs Video 1–3 合并段（Video 4 不用）</t>
        </is>
      </c>
    </row>
    <row r="177" ht="15" customHeight="1" s="111">
      <c r="A177" s="121" t="inlineStr">
        <is>
          <t>K288</t>
        </is>
      </c>
      <c r="B177" s="122" t="inlineStr">
        <is>
          <t>039-二次</t>
        </is>
      </c>
      <c r="C177" s="121" t="inlineStr">
        <is>
          <t>J.</t>
        </is>
      </c>
      <c r="D177" s="122" t="inlineStr">
        <is>
          <t>维持</t>
        </is>
      </c>
      <c r="E177" s="127" t="inlineStr">
        <is>
          <t>A3</t>
        </is>
      </c>
      <c r="F177" s="128" t="inlineStr">
        <is>
          <t>人际关系发展</t>
        </is>
      </c>
      <c r="G177" s="128" t="inlineStr">
        <is>
          <t>游戏邀请</t>
        </is>
      </c>
      <c r="H177" s="121" t="inlineStr">
        <is>
          <t>DV46</t>
        </is>
      </c>
      <c r="I177" s="113" t="inlineStr">
        <is>
          <t>社会发起（带对方参与活动）潜伏期</t>
        </is>
      </c>
      <c r="J177" s="113" t="inlineStr">
        <is>
          <t>Baseline A vs 1 个月＋2 个月 Follow-up</t>
        </is>
      </c>
    </row>
    <row r="178" ht="15" customHeight="1" s="111">
      <c r="A178" s="121" t="inlineStr">
        <is>
          <t>K289</t>
        </is>
      </c>
      <c r="B178" s="122" t="inlineStr">
        <is>
          <t>039-二次</t>
        </is>
      </c>
      <c r="C178" s="121" t="inlineStr">
        <is>
          <t>J.</t>
        </is>
      </c>
      <c r="D178" s="122" t="inlineStr">
        <is>
          <t>干预</t>
        </is>
      </c>
      <c r="E178" s="127" t="inlineStr">
        <is>
          <t>A3</t>
        </is>
      </c>
      <c r="F178" s="128" t="inlineStr">
        <is>
          <t>人际关系发展</t>
        </is>
      </c>
      <c r="G178" s="128" t="inlineStr">
        <is>
          <t>游戏邀请</t>
        </is>
      </c>
      <c r="H178" s="121" t="inlineStr">
        <is>
          <t>DV46</t>
        </is>
      </c>
      <c r="I178" s="113" t="inlineStr">
        <is>
          <t>社会发起（带对方参与活动）潜伏期</t>
        </is>
      </c>
      <c r="J178" s="113" t="inlineStr">
        <is>
          <t>Baseline A vs Video 1–3 合并段（Video 4 不用）</t>
        </is>
      </c>
    </row>
    <row r="179" ht="15" customHeight="1" s="111">
      <c r="A179" s="121" t="inlineStr">
        <is>
          <t>K290</t>
        </is>
      </c>
      <c r="B179" s="122" t="inlineStr">
        <is>
          <t>039-二次</t>
        </is>
      </c>
      <c r="C179" s="121" t="inlineStr">
        <is>
          <t>J.</t>
        </is>
      </c>
      <c r="D179" s="122" t="inlineStr">
        <is>
          <t>维持</t>
        </is>
      </c>
      <c r="E179" s="127" t="inlineStr">
        <is>
          <t>A3</t>
        </is>
      </c>
      <c r="F179" s="128" t="inlineStr">
        <is>
          <t>人际关系发展</t>
        </is>
      </c>
      <c r="G179" s="128" t="inlineStr">
        <is>
          <t>游戏邀请</t>
        </is>
      </c>
      <c r="H179" s="121" t="inlineStr">
        <is>
          <t>DV46</t>
        </is>
      </c>
      <c r="I179" s="113" t="inlineStr">
        <is>
          <t>社会发起（带对方参与活动）潜伏期</t>
        </is>
      </c>
      <c r="J179" s="113" t="inlineStr">
        <is>
          <t>Baseline A vs 1 个月＋2 个月 Follow-up</t>
        </is>
      </c>
    </row>
    <row r="180" ht="15" customHeight="1" s="111">
      <c r="A180" s="121" t="inlineStr">
        <is>
          <t>K291</t>
        </is>
      </c>
      <c r="B180" s="122" t="inlineStr">
        <is>
          <t>039-二次</t>
        </is>
      </c>
      <c r="C180" s="121" t="inlineStr">
        <is>
          <t>J.</t>
        </is>
      </c>
      <c r="D180" s="122" t="inlineStr">
        <is>
          <t>干预</t>
        </is>
      </c>
      <c r="E180" s="127" t="inlineStr">
        <is>
          <t>A3</t>
        </is>
      </c>
      <c r="F180" s="128" t="inlineStr">
        <is>
          <t>人际关系发展</t>
        </is>
      </c>
      <c r="G180" s="128" t="inlineStr">
        <is>
          <t>游戏互动</t>
        </is>
      </c>
      <c r="H180" s="121" t="inlineStr">
        <is>
          <t>DV47</t>
        </is>
      </c>
      <c r="I180" s="113" t="inlineStr">
        <is>
          <t>互惠游戏总时长</t>
        </is>
      </c>
      <c r="J180" s="113" t="inlineStr">
        <is>
          <t>Baseline A vs Video 1–3 合并段（Video 4 不用）</t>
        </is>
      </c>
    </row>
    <row r="181" ht="15" customHeight="1" s="111">
      <c r="A181" s="121" t="inlineStr">
        <is>
          <t>K292</t>
        </is>
      </c>
      <c r="B181" s="122" t="inlineStr">
        <is>
          <t>039-二次</t>
        </is>
      </c>
      <c r="C181" s="121" t="inlineStr">
        <is>
          <t>J.</t>
        </is>
      </c>
      <c r="D181" s="122" t="inlineStr">
        <is>
          <t>维持</t>
        </is>
      </c>
      <c r="E181" s="127" t="inlineStr">
        <is>
          <t>A3</t>
        </is>
      </c>
      <c r="F181" s="128" t="inlineStr">
        <is>
          <t>人际关系发展</t>
        </is>
      </c>
      <c r="G181" s="128" t="inlineStr">
        <is>
          <t>游戏互动</t>
        </is>
      </c>
      <c r="H181" s="121" t="inlineStr">
        <is>
          <t>DV47</t>
        </is>
      </c>
      <c r="I181" s="113" t="inlineStr">
        <is>
          <t>互惠游戏总时长</t>
        </is>
      </c>
      <c r="J181" s="113" t="inlineStr">
        <is>
          <t>Baseline A vs 1 个月＋2 个月 Follow-up</t>
        </is>
      </c>
    </row>
    <row r="182" ht="15" customHeight="1" s="111">
      <c r="A182" s="121" t="inlineStr">
        <is>
          <t>K293</t>
        </is>
      </c>
      <c r="B182" s="122" t="inlineStr">
        <is>
          <t>039-二次</t>
        </is>
      </c>
      <c r="C182" s="121" t="inlineStr">
        <is>
          <t>P.</t>
        </is>
      </c>
      <c r="D182" s="122" t="inlineStr">
        <is>
          <t>干预</t>
        </is>
      </c>
      <c r="E182" s="127" t="inlineStr">
        <is>
          <t>A3</t>
        </is>
      </c>
      <c r="F182" s="128" t="inlineStr">
        <is>
          <t>人际关系发展</t>
        </is>
      </c>
      <c r="G182" s="128" t="inlineStr">
        <is>
          <t>游戏邀请</t>
        </is>
      </c>
      <c r="H182" s="121" t="inlineStr">
        <is>
          <t>DV46</t>
        </is>
      </c>
      <c r="I182" s="113" t="inlineStr">
        <is>
          <t>社会发起（带对方参与活动）潜伏期</t>
        </is>
      </c>
      <c r="J182" s="113" t="inlineStr">
        <is>
          <t>Baseline A vs Video 1–3 合并段（Video 4 不用）</t>
        </is>
      </c>
    </row>
    <row r="183" ht="15" customHeight="1" s="111">
      <c r="A183" s="121" t="inlineStr">
        <is>
          <t>K294</t>
        </is>
      </c>
      <c r="B183" s="122" t="inlineStr">
        <is>
          <t>039-二次</t>
        </is>
      </c>
      <c r="C183" s="121" t="inlineStr">
        <is>
          <t>P.</t>
        </is>
      </c>
      <c r="D183" s="122" t="inlineStr">
        <is>
          <t>维持</t>
        </is>
      </c>
      <c r="E183" s="127" t="inlineStr">
        <is>
          <t>A3</t>
        </is>
      </c>
      <c r="F183" s="128" t="inlineStr">
        <is>
          <t>人际关系发展</t>
        </is>
      </c>
      <c r="G183" s="128" t="inlineStr">
        <is>
          <t>游戏邀请</t>
        </is>
      </c>
      <c r="H183" s="121" t="inlineStr">
        <is>
          <t>DV46</t>
        </is>
      </c>
      <c r="I183" s="113" t="inlineStr">
        <is>
          <t>社会发起（带对方参与活动）潜伏期</t>
        </is>
      </c>
      <c r="J183" s="113" t="inlineStr">
        <is>
          <t>Baseline A vs 1 个月＋2 个月 Follow-up</t>
        </is>
      </c>
    </row>
    <row r="184" ht="15" customHeight="1" s="111">
      <c r="A184" s="121" t="inlineStr">
        <is>
          <t>K295</t>
        </is>
      </c>
      <c r="B184" s="122" t="inlineStr">
        <is>
          <t>039-二次</t>
        </is>
      </c>
      <c r="C184" s="121" t="inlineStr">
        <is>
          <t>P.</t>
        </is>
      </c>
      <c r="D184" s="122" t="inlineStr">
        <is>
          <t>干预</t>
        </is>
      </c>
      <c r="E184" s="127" t="inlineStr">
        <is>
          <t>A3</t>
        </is>
      </c>
      <c r="F184" s="128" t="inlineStr">
        <is>
          <t>人际关系发展</t>
        </is>
      </c>
      <c r="G184" s="128" t="inlineStr">
        <is>
          <t>游戏邀请</t>
        </is>
      </c>
      <c r="H184" s="121" t="inlineStr">
        <is>
          <t>DV46</t>
        </is>
      </c>
      <c r="I184" s="113" t="inlineStr">
        <is>
          <t>社会发起（带对方参与活动）潜伏期</t>
        </is>
      </c>
      <c r="J184" s="113" t="inlineStr">
        <is>
          <t>Baseline A vs Video 1–3 合并段（Video 4 不用）</t>
        </is>
      </c>
    </row>
    <row r="185" ht="15" customHeight="1" s="111">
      <c r="A185" s="121" t="inlineStr">
        <is>
          <t>K296</t>
        </is>
      </c>
      <c r="B185" s="122" t="inlineStr">
        <is>
          <t>039-二次</t>
        </is>
      </c>
      <c r="C185" s="121" t="inlineStr">
        <is>
          <t>P.</t>
        </is>
      </c>
      <c r="D185" s="122" t="inlineStr">
        <is>
          <t>维持</t>
        </is>
      </c>
      <c r="E185" s="127" t="inlineStr">
        <is>
          <t>A3</t>
        </is>
      </c>
      <c r="F185" s="128" t="inlineStr">
        <is>
          <t>人际关系发展</t>
        </is>
      </c>
      <c r="G185" s="128" t="inlineStr">
        <is>
          <t>游戏邀请</t>
        </is>
      </c>
      <c r="H185" s="121" t="inlineStr">
        <is>
          <t>DV46</t>
        </is>
      </c>
      <c r="I185" s="113" t="inlineStr">
        <is>
          <t>社会发起（带对方参与活动）潜伏期</t>
        </is>
      </c>
      <c r="J185" s="113" t="inlineStr">
        <is>
          <t>Baseline A vs 1 个月＋2 个月 Follow-up</t>
        </is>
      </c>
    </row>
    <row r="186" ht="15" customHeight="1" s="111">
      <c r="A186" s="121" t="inlineStr">
        <is>
          <t>K297</t>
        </is>
      </c>
      <c r="B186" s="122" t="inlineStr">
        <is>
          <t>039-二次</t>
        </is>
      </c>
      <c r="C186" s="121" t="inlineStr">
        <is>
          <t>P.</t>
        </is>
      </c>
      <c r="D186" s="122" t="inlineStr">
        <is>
          <t>干预</t>
        </is>
      </c>
      <c r="E186" s="127" t="inlineStr">
        <is>
          <t>A3</t>
        </is>
      </c>
      <c r="F186" s="128" t="inlineStr">
        <is>
          <t>人际关系发展</t>
        </is>
      </c>
      <c r="G186" s="128" t="inlineStr">
        <is>
          <t>游戏邀请</t>
        </is>
      </c>
      <c r="H186" s="121" t="inlineStr">
        <is>
          <t>DV46</t>
        </is>
      </c>
      <c r="I186" s="113" t="inlineStr">
        <is>
          <t>社会发起（带对方参与活动）潜伏期</t>
        </is>
      </c>
      <c r="J186" s="113" t="inlineStr">
        <is>
          <t>Baseline A vs Video 1–3 合并段（Video 4 不用）</t>
        </is>
      </c>
    </row>
    <row r="187" ht="15" customHeight="1" s="111">
      <c r="A187" s="121" t="inlineStr">
        <is>
          <t>K298</t>
        </is>
      </c>
      <c r="B187" s="122" t="inlineStr">
        <is>
          <t>039-二次</t>
        </is>
      </c>
      <c r="C187" s="121" t="inlineStr">
        <is>
          <t>P.</t>
        </is>
      </c>
      <c r="D187" s="122" t="inlineStr">
        <is>
          <t>维持</t>
        </is>
      </c>
      <c r="E187" s="127" t="inlineStr">
        <is>
          <t>A3</t>
        </is>
      </c>
      <c r="F187" s="128" t="inlineStr">
        <is>
          <t>人际关系发展</t>
        </is>
      </c>
      <c r="G187" s="128" t="inlineStr">
        <is>
          <t>游戏邀请</t>
        </is>
      </c>
      <c r="H187" s="121" t="inlineStr">
        <is>
          <t>DV46</t>
        </is>
      </c>
      <c r="I187" s="113" t="inlineStr">
        <is>
          <t>社会发起（带对方参与活动）潜伏期</t>
        </is>
      </c>
      <c r="J187" s="113" t="inlineStr">
        <is>
          <t>Baseline A vs 1 个月＋2 个月 Follow-up</t>
        </is>
      </c>
    </row>
    <row r="188" ht="15" customHeight="1" s="111">
      <c r="A188" s="121" t="inlineStr">
        <is>
          <t>K299</t>
        </is>
      </c>
      <c r="B188" s="122" t="inlineStr">
        <is>
          <t>039-二次</t>
        </is>
      </c>
      <c r="C188" s="121" t="inlineStr">
        <is>
          <t>P.</t>
        </is>
      </c>
      <c r="D188" s="122" t="inlineStr">
        <is>
          <t>干预</t>
        </is>
      </c>
      <c r="E188" s="127" t="inlineStr">
        <is>
          <t>A3</t>
        </is>
      </c>
      <c r="F188" s="128" t="inlineStr">
        <is>
          <t>人际关系发展</t>
        </is>
      </c>
      <c r="G188" s="128" t="inlineStr">
        <is>
          <t>游戏互动</t>
        </is>
      </c>
      <c r="H188" s="121" t="inlineStr">
        <is>
          <t>DV47</t>
        </is>
      </c>
      <c r="I188" s="113" t="inlineStr">
        <is>
          <t>互惠游戏总时长</t>
        </is>
      </c>
      <c r="J188" s="113" t="inlineStr">
        <is>
          <t>Baseline A vs Video 1–3 合并段（Video 4 不用）</t>
        </is>
      </c>
    </row>
    <row r="189" ht="15" customHeight="1" s="111">
      <c r="A189" s="121" t="inlineStr">
        <is>
          <t>K300</t>
        </is>
      </c>
      <c r="B189" s="122" t="inlineStr">
        <is>
          <t>039-二次</t>
        </is>
      </c>
      <c r="C189" s="121" t="inlineStr">
        <is>
          <t>P.</t>
        </is>
      </c>
      <c r="D189" s="122" t="inlineStr">
        <is>
          <t>维持</t>
        </is>
      </c>
      <c r="E189" s="127" t="inlineStr">
        <is>
          <t>A3</t>
        </is>
      </c>
      <c r="F189" s="128" t="inlineStr">
        <is>
          <t>人际关系发展</t>
        </is>
      </c>
      <c r="G189" s="128" t="inlineStr">
        <is>
          <t>游戏互动</t>
        </is>
      </c>
      <c r="H189" s="121" t="inlineStr">
        <is>
          <t>DV47</t>
        </is>
      </c>
      <c r="I189" s="113" t="inlineStr">
        <is>
          <t>互惠游戏总时长</t>
        </is>
      </c>
      <c r="J189" s="113" t="inlineStr">
        <is>
          <t>Baseline A vs 1 个月＋2 个月 Follow-up</t>
        </is>
      </c>
    </row>
    <row r="190" ht="15" customHeight="1" s="111">
      <c r="A190" s="121" t="inlineStr">
        <is>
          <t>K301</t>
        </is>
      </c>
      <c r="B190" s="122" t="inlineStr">
        <is>
          <t>039-二次</t>
        </is>
      </c>
      <c r="C190" s="121" t="inlineStr">
        <is>
          <t>S.</t>
        </is>
      </c>
      <c r="D190" s="122" t="inlineStr">
        <is>
          <t>干预</t>
        </is>
      </c>
      <c r="E190" s="127" t="inlineStr">
        <is>
          <t>A3</t>
        </is>
      </c>
      <c r="F190" s="128" t="inlineStr">
        <is>
          <t>人际关系发展</t>
        </is>
      </c>
      <c r="G190" s="128" t="inlineStr">
        <is>
          <t>游戏邀请</t>
        </is>
      </c>
      <c r="H190" s="121" t="inlineStr">
        <is>
          <t>DV46</t>
        </is>
      </c>
      <c r="I190" s="113" t="inlineStr">
        <is>
          <t>社会发起（带对方参与活动）潜伏期</t>
        </is>
      </c>
      <c r="J190" s="113" t="inlineStr">
        <is>
          <t>Baseline A vs Video 1–3 合并段（Video 4 不用）</t>
        </is>
      </c>
    </row>
    <row r="191" ht="15" customHeight="1" s="111">
      <c r="A191" s="121" t="inlineStr">
        <is>
          <t>K302</t>
        </is>
      </c>
      <c r="B191" s="122" t="inlineStr">
        <is>
          <t>039-二次</t>
        </is>
      </c>
      <c r="C191" s="121" t="inlineStr">
        <is>
          <t>S.</t>
        </is>
      </c>
      <c r="D191" s="122" t="inlineStr">
        <is>
          <t>维持</t>
        </is>
      </c>
      <c r="E191" s="127" t="inlineStr">
        <is>
          <t>A3</t>
        </is>
      </c>
      <c r="F191" s="128" t="inlineStr">
        <is>
          <t>人际关系发展</t>
        </is>
      </c>
      <c r="G191" s="128" t="inlineStr">
        <is>
          <t>游戏邀请</t>
        </is>
      </c>
      <c r="H191" s="121" t="inlineStr">
        <is>
          <t>DV46</t>
        </is>
      </c>
      <c r="I191" s="113" t="inlineStr">
        <is>
          <t>社会发起（带对方参与活动）潜伏期</t>
        </is>
      </c>
      <c r="J191" s="113" t="inlineStr">
        <is>
          <t>Baseline A vs 1 个月＋2 个月 Follow-up</t>
        </is>
      </c>
    </row>
    <row r="192" ht="15" customHeight="1" s="111">
      <c r="A192" s="121" t="inlineStr">
        <is>
          <t>K303</t>
        </is>
      </c>
      <c r="B192" s="122" t="inlineStr">
        <is>
          <t>039-二次</t>
        </is>
      </c>
      <c r="C192" s="121" t="inlineStr">
        <is>
          <t>S.</t>
        </is>
      </c>
      <c r="D192" s="122" t="inlineStr">
        <is>
          <t>干预</t>
        </is>
      </c>
      <c r="E192" s="127" t="inlineStr">
        <is>
          <t>A3</t>
        </is>
      </c>
      <c r="F192" s="128" t="inlineStr">
        <is>
          <t>人际关系发展</t>
        </is>
      </c>
      <c r="G192" s="128" t="inlineStr">
        <is>
          <t>游戏邀请</t>
        </is>
      </c>
      <c r="H192" s="121" t="inlineStr">
        <is>
          <t>DV46</t>
        </is>
      </c>
      <c r="I192" s="113" t="inlineStr">
        <is>
          <t>社会发起（带对方参与活动）潜伏期</t>
        </is>
      </c>
      <c r="J192" s="113" t="inlineStr">
        <is>
          <t>Baseline A vs Video 1–3 合并段（Video 4 不用）</t>
        </is>
      </c>
    </row>
    <row r="193" ht="15" customHeight="1" s="111">
      <c r="A193" s="121" t="inlineStr">
        <is>
          <t>K304</t>
        </is>
      </c>
      <c r="B193" s="122" t="inlineStr">
        <is>
          <t>039-二次</t>
        </is>
      </c>
      <c r="C193" s="121" t="inlineStr">
        <is>
          <t>S.</t>
        </is>
      </c>
      <c r="D193" s="122" t="inlineStr">
        <is>
          <t>维持</t>
        </is>
      </c>
      <c r="E193" s="127" t="inlineStr">
        <is>
          <t>A3</t>
        </is>
      </c>
      <c r="F193" s="128" t="inlineStr">
        <is>
          <t>人际关系发展</t>
        </is>
      </c>
      <c r="G193" s="128" t="inlineStr">
        <is>
          <t>游戏邀请</t>
        </is>
      </c>
      <c r="H193" s="121" t="inlineStr">
        <is>
          <t>DV46</t>
        </is>
      </c>
      <c r="I193" s="113" t="inlineStr">
        <is>
          <t>社会发起（带对方参与活动）潜伏期</t>
        </is>
      </c>
      <c r="J193" s="113" t="inlineStr">
        <is>
          <t>Baseline A vs 1 个月＋2 个月 Follow-up</t>
        </is>
      </c>
    </row>
    <row r="194" ht="29.85" customHeight="1" s="111">
      <c r="A194" s="121" t="inlineStr">
        <is>
          <t>K305</t>
        </is>
      </c>
      <c r="B194" s="122" t="inlineStr">
        <is>
          <t>039-二次</t>
        </is>
      </c>
      <c r="C194" s="121" t="inlineStr">
        <is>
          <t>S.</t>
        </is>
      </c>
      <c r="D194" s="122" t="inlineStr">
        <is>
          <t>干预</t>
        </is>
      </c>
      <c r="E194" s="127" t="inlineStr">
        <is>
          <t>A3</t>
        </is>
      </c>
      <c r="F194" s="128" t="inlineStr">
        <is>
          <t>人际关系发展</t>
        </is>
      </c>
      <c r="G194" s="128" t="inlineStr">
        <is>
          <t>游戏邀请</t>
        </is>
      </c>
      <c r="H194" s="121" t="inlineStr">
        <is>
          <t>DV46</t>
        </is>
      </c>
      <c r="I194" s="113" t="inlineStr">
        <is>
          <t>社会发起（带对方参与活动）潜伏期</t>
        </is>
      </c>
      <c r="J194" s="113" t="inlineStr">
        <is>
          <t>Baseline A vs Video 1–3 合并段（Video 4 不用）</t>
        </is>
      </c>
    </row>
    <row r="195" ht="15" customHeight="1" s="111">
      <c r="A195" s="121" t="inlineStr">
        <is>
          <t>K306</t>
        </is>
      </c>
      <c r="B195" s="122" t="inlineStr">
        <is>
          <t>039-二次</t>
        </is>
      </c>
      <c r="C195" s="121" t="inlineStr">
        <is>
          <t>S.</t>
        </is>
      </c>
      <c r="D195" s="122" t="inlineStr">
        <is>
          <t>维持</t>
        </is>
      </c>
      <c r="E195" s="127" t="inlineStr">
        <is>
          <t>A3</t>
        </is>
      </c>
      <c r="F195" s="128" t="inlineStr">
        <is>
          <t>人际关系发展</t>
        </is>
      </c>
      <c r="G195" s="128" t="inlineStr">
        <is>
          <t>游戏邀请</t>
        </is>
      </c>
      <c r="H195" s="121" t="inlineStr">
        <is>
          <t>DV46</t>
        </is>
      </c>
      <c r="I195" s="113" t="inlineStr">
        <is>
          <t>社会发起（带对方参与活动）潜伏期</t>
        </is>
      </c>
      <c r="J195" s="113" t="inlineStr">
        <is>
          <t>Baseline A vs 1 个月＋2 个月 Follow-up</t>
        </is>
      </c>
    </row>
    <row r="196" ht="29.85" customHeight="1" s="111">
      <c r="A196" s="121" t="inlineStr">
        <is>
          <t>K307</t>
        </is>
      </c>
      <c r="B196" s="122" t="inlineStr">
        <is>
          <t>039-二次</t>
        </is>
      </c>
      <c r="C196" s="121" t="inlineStr">
        <is>
          <t>S.</t>
        </is>
      </c>
      <c r="D196" s="122" t="inlineStr">
        <is>
          <t>干预</t>
        </is>
      </c>
      <c r="E196" s="127" t="inlineStr">
        <is>
          <t>A3</t>
        </is>
      </c>
      <c r="F196" s="128" t="inlineStr">
        <is>
          <t>人际关系发展</t>
        </is>
      </c>
      <c r="G196" s="128" t="inlineStr">
        <is>
          <t>游戏互动</t>
        </is>
      </c>
      <c r="H196" s="121" t="inlineStr">
        <is>
          <t>DV47</t>
        </is>
      </c>
      <c r="I196" s="113" t="inlineStr">
        <is>
          <t>互惠游戏总时长</t>
        </is>
      </c>
      <c r="J196" s="113" t="inlineStr">
        <is>
          <t>Baseline A vs Video 1–3 合并段（Video 4 不用）</t>
        </is>
      </c>
    </row>
    <row r="197" ht="15" customHeight="1" s="111">
      <c r="A197" s="121" t="inlineStr">
        <is>
          <t>K308</t>
        </is>
      </c>
      <c r="B197" s="122" t="inlineStr">
        <is>
          <t>039-二次</t>
        </is>
      </c>
      <c r="C197" s="121" t="inlineStr">
        <is>
          <t>S.</t>
        </is>
      </c>
      <c r="D197" s="122" t="inlineStr">
        <is>
          <t>维持</t>
        </is>
      </c>
      <c r="E197" s="127" t="inlineStr">
        <is>
          <t>A3</t>
        </is>
      </c>
      <c r="F197" s="128" t="inlineStr">
        <is>
          <t>人际关系发展</t>
        </is>
      </c>
      <c r="G197" s="128" t="inlineStr">
        <is>
          <t>游戏互动</t>
        </is>
      </c>
      <c r="H197" s="121" t="inlineStr">
        <is>
          <t>DV47</t>
        </is>
      </c>
      <c r="I197" s="113" t="inlineStr">
        <is>
          <t>互惠游戏总时长</t>
        </is>
      </c>
      <c r="J197" s="113" t="inlineStr">
        <is>
          <t>Baseline A vs 1 个月＋2 个月 Follow-up</t>
        </is>
      </c>
    </row>
    <row r="198" ht="29.85" customHeight="1" s="111">
      <c r="A198" s="121" t="inlineStr">
        <is>
          <t>K341</t>
        </is>
      </c>
      <c r="B198" s="122" t="inlineStr">
        <is>
          <t>043-二次</t>
        </is>
      </c>
      <c r="C198" s="121" t="inlineStr">
        <is>
          <t>Daniel</t>
        </is>
      </c>
      <c r="D198" s="122" t="inlineStr">
        <is>
          <t>干预</t>
        </is>
      </c>
      <c r="E198" s="127" t="inlineStr">
        <is>
          <t>A3</t>
        </is>
      </c>
      <c r="F198" s="128" t="inlineStr">
        <is>
          <t>人际关系发展</t>
        </is>
      </c>
      <c r="G198" s="128" t="inlineStr">
        <is>
          <t>游戏邀请</t>
        </is>
      </c>
      <c r="H198" s="121" t="inlineStr">
        <is>
          <t>DV49</t>
        </is>
      </c>
      <c r="I198" s="113" t="inlineStr">
        <is>
          <t>社会发起（带对方去玩）潜伏期</t>
        </is>
      </c>
      <c r="J198" s="113" t="inlineStr">
        <is>
          <t>A vs B1/B2/C 视频示范期合并</t>
        </is>
      </c>
    </row>
    <row r="199" ht="15" customHeight="1" s="111">
      <c r="A199" s="121" t="inlineStr">
        <is>
          <t>K342</t>
        </is>
      </c>
      <c r="B199" s="122" t="inlineStr">
        <is>
          <t>043-二次</t>
        </is>
      </c>
      <c r="C199" s="121" t="inlineStr">
        <is>
          <t>Daniel</t>
        </is>
      </c>
      <c r="D199" s="122" t="inlineStr">
        <is>
          <t>维持</t>
        </is>
      </c>
      <c r="E199" s="127" t="inlineStr">
        <is>
          <t>A3</t>
        </is>
      </c>
      <c r="F199" s="128" t="inlineStr">
        <is>
          <t>人际关系发展</t>
        </is>
      </c>
      <c r="G199" s="128" t="inlineStr">
        <is>
          <t>游戏邀请</t>
        </is>
      </c>
      <c r="H199" s="121" t="inlineStr">
        <is>
          <t>DV49</t>
        </is>
      </c>
      <c r="I199" s="113" t="inlineStr">
        <is>
          <t>社会发起（带对方去玩）潜伏期</t>
        </is>
      </c>
      <c r="J199" s="113" t="inlineStr">
        <is>
          <t>A vs 1 个月＋3 个月 Follow-up</t>
        </is>
      </c>
    </row>
    <row r="200" ht="29.85" customHeight="1" s="111">
      <c r="A200" s="121" t="inlineStr">
        <is>
          <t>K343</t>
        </is>
      </c>
      <c r="B200" s="122" t="inlineStr">
        <is>
          <t>043-二次</t>
        </is>
      </c>
      <c r="C200" s="121" t="inlineStr">
        <is>
          <t>Daniel</t>
        </is>
      </c>
      <c r="D200" s="122" t="inlineStr">
        <is>
          <t>干预</t>
        </is>
      </c>
      <c r="E200" s="127" t="inlineStr">
        <is>
          <t>A3</t>
        </is>
      </c>
      <c r="F200" s="128" t="inlineStr">
        <is>
          <t>人际关系发展</t>
        </is>
      </c>
      <c r="G200" s="128" t="inlineStr">
        <is>
          <t>游戏互动</t>
        </is>
      </c>
      <c r="H200" s="121" t="inlineStr">
        <is>
          <t>DV50</t>
        </is>
      </c>
      <c r="I200" s="113" t="inlineStr">
        <is>
          <t>互惠游戏平均时长</t>
        </is>
      </c>
      <c r="J200" s="113" t="inlineStr">
        <is>
          <t>A vs B1/B2/C 视频示范期合并</t>
        </is>
      </c>
    </row>
    <row r="201" ht="15" customHeight="1" s="111">
      <c r="A201" s="121" t="inlineStr">
        <is>
          <t>K344</t>
        </is>
      </c>
      <c r="B201" s="122" t="inlineStr">
        <is>
          <t>043-二次</t>
        </is>
      </c>
      <c r="C201" s="121" t="inlineStr">
        <is>
          <t>Daniel</t>
        </is>
      </c>
      <c r="D201" s="122" t="inlineStr">
        <is>
          <t>维持</t>
        </is>
      </c>
      <c r="E201" s="127" t="inlineStr">
        <is>
          <t>A3</t>
        </is>
      </c>
      <c r="F201" s="128" t="inlineStr">
        <is>
          <t>人际关系发展</t>
        </is>
      </c>
      <c r="G201" s="128" t="inlineStr">
        <is>
          <t>游戏互动</t>
        </is>
      </c>
      <c r="H201" s="121" t="inlineStr">
        <is>
          <t>DV50</t>
        </is>
      </c>
      <c r="I201" s="113" t="inlineStr">
        <is>
          <t>互惠游戏平均时长</t>
        </is>
      </c>
      <c r="J201" s="113" t="inlineStr">
        <is>
          <t>A vs 1 个月＋3 个月 Follow-up</t>
        </is>
      </c>
    </row>
    <row r="202" ht="29.85" customHeight="1" s="111">
      <c r="A202" s="121" t="inlineStr">
        <is>
          <t>K345</t>
        </is>
      </c>
      <c r="B202" s="122" t="inlineStr">
        <is>
          <t>043-二次</t>
        </is>
      </c>
      <c r="C202" s="121" t="inlineStr">
        <is>
          <t>Christopher</t>
        </is>
      </c>
      <c r="D202" s="122" t="inlineStr">
        <is>
          <t>干预</t>
        </is>
      </c>
      <c r="E202" s="127" t="inlineStr">
        <is>
          <t>A3</t>
        </is>
      </c>
      <c r="F202" s="128" t="inlineStr">
        <is>
          <t>人际关系发展</t>
        </is>
      </c>
      <c r="G202" s="128" t="inlineStr">
        <is>
          <t>游戏邀请</t>
        </is>
      </c>
      <c r="H202" s="121" t="inlineStr">
        <is>
          <t>DV49</t>
        </is>
      </c>
      <c r="I202" s="113" t="inlineStr">
        <is>
          <t>社会发起（带对方去玩）潜伏期</t>
        </is>
      </c>
      <c r="J202" s="113" t="inlineStr">
        <is>
          <t>A vs B1/B2/C 视频示范期合并</t>
        </is>
      </c>
    </row>
    <row r="203" ht="15" customHeight="1" s="111">
      <c r="A203" s="121" t="inlineStr">
        <is>
          <t>K346</t>
        </is>
      </c>
      <c r="B203" s="122" t="inlineStr">
        <is>
          <t>043-二次</t>
        </is>
      </c>
      <c r="C203" s="121" t="inlineStr">
        <is>
          <t>Christopher</t>
        </is>
      </c>
      <c r="D203" s="122" t="inlineStr">
        <is>
          <t>维持</t>
        </is>
      </c>
      <c r="E203" s="127" t="inlineStr">
        <is>
          <t>A3</t>
        </is>
      </c>
      <c r="F203" s="128" t="inlineStr">
        <is>
          <t>人际关系发展</t>
        </is>
      </c>
      <c r="G203" s="128" t="inlineStr">
        <is>
          <t>游戏邀请</t>
        </is>
      </c>
      <c r="H203" s="121" t="inlineStr">
        <is>
          <t>DV49</t>
        </is>
      </c>
      <c r="I203" s="113" t="inlineStr">
        <is>
          <t>社会发起（带对方去玩）潜伏期</t>
        </is>
      </c>
      <c r="J203" s="113" t="inlineStr">
        <is>
          <t>A vs 1 个月＋3 个月 Follow-up</t>
        </is>
      </c>
    </row>
    <row r="204" ht="29.85" customHeight="1" s="111">
      <c r="A204" s="121" t="inlineStr">
        <is>
          <t>K347</t>
        </is>
      </c>
      <c r="B204" s="122" t="inlineStr">
        <is>
          <t>043-二次</t>
        </is>
      </c>
      <c r="C204" s="121" t="inlineStr">
        <is>
          <t>Christopher</t>
        </is>
      </c>
      <c r="D204" s="122" t="inlineStr">
        <is>
          <t>干预</t>
        </is>
      </c>
      <c r="E204" s="127" t="inlineStr">
        <is>
          <t>A3</t>
        </is>
      </c>
      <c r="F204" s="128" t="inlineStr">
        <is>
          <t>人际关系发展</t>
        </is>
      </c>
      <c r="G204" s="128" t="inlineStr">
        <is>
          <t>游戏互动</t>
        </is>
      </c>
      <c r="H204" s="121" t="inlineStr">
        <is>
          <t>DV50</t>
        </is>
      </c>
      <c r="I204" s="113" t="inlineStr">
        <is>
          <t>互惠游戏平均时长</t>
        </is>
      </c>
      <c r="J204" s="113" t="inlineStr">
        <is>
          <t>A vs B1/B2/C 视频示范期合并</t>
        </is>
      </c>
    </row>
    <row r="205" ht="15" customHeight="1" s="111">
      <c r="A205" s="121" t="inlineStr">
        <is>
          <t>K348</t>
        </is>
      </c>
      <c r="B205" s="122" t="inlineStr">
        <is>
          <t>043-二次</t>
        </is>
      </c>
      <c r="C205" s="121" t="inlineStr">
        <is>
          <t>Christopher</t>
        </is>
      </c>
      <c r="D205" s="122" t="inlineStr">
        <is>
          <t>维持</t>
        </is>
      </c>
      <c r="E205" s="127" t="inlineStr">
        <is>
          <t>A3</t>
        </is>
      </c>
      <c r="F205" s="128" t="inlineStr">
        <is>
          <t>人际关系发展</t>
        </is>
      </c>
      <c r="G205" s="128" t="inlineStr">
        <is>
          <t>游戏互动</t>
        </is>
      </c>
      <c r="H205" s="121" t="inlineStr">
        <is>
          <t>DV50</t>
        </is>
      </c>
      <c r="I205" s="113" t="inlineStr">
        <is>
          <t>互惠游戏平均时长</t>
        </is>
      </c>
      <c r="J205" s="113" t="inlineStr">
        <is>
          <t>A vs 1 个月＋3 个月 Follow-up</t>
        </is>
      </c>
    </row>
    <row r="206" ht="29.85" customHeight="1" s="111">
      <c r="A206" s="121" t="inlineStr">
        <is>
          <t>K349</t>
        </is>
      </c>
      <c r="B206" s="122" t="inlineStr">
        <is>
          <t>043-二次</t>
        </is>
      </c>
      <c r="C206" s="121" t="inlineStr">
        <is>
          <t>Andrew</t>
        </is>
      </c>
      <c r="D206" s="122" t="inlineStr">
        <is>
          <t>干预</t>
        </is>
      </c>
      <c r="E206" s="127" t="inlineStr">
        <is>
          <t>A3</t>
        </is>
      </c>
      <c r="F206" s="128" t="inlineStr">
        <is>
          <t>人际关系发展</t>
        </is>
      </c>
      <c r="G206" s="128" t="inlineStr">
        <is>
          <t>游戏邀请</t>
        </is>
      </c>
      <c r="H206" s="121" t="inlineStr">
        <is>
          <t>DV49</t>
        </is>
      </c>
      <c r="I206" s="113" t="inlineStr">
        <is>
          <t>社会发起（带对方去玩）潜伏期</t>
        </is>
      </c>
      <c r="J206" s="113" t="inlineStr">
        <is>
          <t>A vs B1/B2/C 视频示范期合并</t>
        </is>
      </c>
    </row>
    <row r="207" ht="15" customHeight="1" s="111">
      <c r="A207" s="121" t="inlineStr">
        <is>
          <t>K350</t>
        </is>
      </c>
      <c r="B207" s="122" t="inlineStr">
        <is>
          <t>043-二次</t>
        </is>
      </c>
      <c r="C207" s="121" t="inlineStr">
        <is>
          <t>Andrew</t>
        </is>
      </c>
      <c r="D207" s="122" t="inlineStr">
        <is>
          <t>维持</t>
        </is>
      </c>
      <c r="E207" s="127" t="inlineStr">
        <is>
          <t>A3</t>
        </is>
      </c>
      <c r="F207" s="128" t="inlineStr">
        <is>
          <t>人际关系发展</t>
        </is>
      </c>
      <c r="G207" s="128" t="inlineStr">
        <is>
          <t>游戏邀请</t>
        </is>
      </c>
      <c r="H207" s="121" t="inlineStr">
        <is>
          <t>DV49</t>
        </is>
      </c>
      <c r="I207" s="113" t="inlineStr">
        <is>
          <t>社会发起（带对方去玩）潜伏期</t>
        </is>
      </c>
      <c r="J207" s="113" t="inlineStr">
        <is>
          <t>A vs 1 个月＋3 个月 Follow-up</t>
        </is>
      </c>
    </row>
    <row r="208" ht="29.85" customHeight="1" s="111">
      <c r="A208" s="121" t="inlineStr">
        <is>
          <t>K351</t>
        </is>
      </c>
      <c r="B208" s="122" t="inlineStr">
        <is>
          <t>043-二次</t>
        </is>
      </c>
      <c r="C208" s="121" t="inlineStr">
        <is>
          <t>Andrew</t>
        </is>
      </c>
      <c r="D208" s="122" t="inlineStr">
        <is>
          <t>干预</t>
        </is>
      </c>
      <c r="E208" s="127" t="inlineStr">
        <is>
          <t>A3</t>
        </is>
      </c>
      <c r="F208" s="128" t="inlineStr">
        <is>
          <t>人际关系发展</t>
        </is>
      </c>
      <c r="G208" s="128" t="inlineStr">
        <is>
          <t>游戏互动</t>
        </is>
      </c>
      <c r="H208" s="121" t="inlineStr">
        <is>
          <t>DV50</t>
        </is>
      </c>
      <c r="I208" s="113" t="inlineStr">
        <is>
          <t>互惠游戏平均时长</t>
        </is>
      </c>
      <c r="J208" s="113" t="inlineStr">
        <is>
          <t>A vs B1/B2/C 视频示范期合并</t>
        </is>
      </c>
    </row>
    <row r="209" ht="15" customHeight="1" s="111">
      <c r="A209" s="121" t="inlineStr">
        <is>
          <t>K352</t>
        </is>
      </c>
      <c r="B209" s="122" t="inlineStr">
        <is>
          <t>043-二次</t>
        </is>
      </c>
      <c r="C209" s="121" t="inlineStr">
        <is>
          <t>Andrew</t>
        </is>
      </c>
      <c r="D209" s="122" t="inlineStr">
        <is>
          <t>维持</t>
        </is>
      </c>
      <c r="E209" s="127" t="inlineStr">
        <is>
          <t>A3</t>
        </is>
      </c>
      <c r="F209" s="128" t="inlineStr">
        <is>
          <t>人际关系发展</t>
        </is>
      </c>
      <c r="G209" s="128" t="inlineStr">
        <is>
          <t>游戏互动</t>
        </is>
      </c>
      <c r="H209" s="121" t="inlineStr">
        <is>
          <t>DV50</t>
        </is>
      </c>
      <c r="I209" s="113" t="inlineStr">
        <is>
          <t>互惠游戏平均时长</t>
        </is>
      </c>
      <c r="J209" s="113" t="inlineStr">
        <is>
          <t>A vs 1 个月＋3 个月 Follow-up</t>
        </is>
      </c>
    </row>
    <row r="210" ht="29.85" customHeight="1" s="111">
      <c r="A210" s="121" t="inlineStr">
        <is>
          <t>K353</t>
        </is>
      </c>
      <c r="B210" s="122" t="inlineStr">
        <is>
          <t>044-二次</t>
        </is>
      </c>
      <c r="C210" s="121" t="inlineStr">
        <is>
          <t>Kirsty</t>
        </is>
      </c>
      <c r="D210" s="122" t="inlineStr">
        <is>
          <t>干预</t>
        </is>
      </c>
      <c r="E210" s="127" t="inlineStr">
        <is>
          <t>A3</t>
        </is>
      </c>
      <c r="F210" s="128" t="inlineStr">
        <is>
          <t>人际关系发展</t>
        </is>
      </c>
      <c r="G210" s="128" t="inlineStr">
        <is>
          <t>游戏邀请</t>
        </is>
      </c>
      <c r="H210" s="121" t="inlineStr">
        <is>
          <t>DV51</t>
        </is>
      </c>
      <c r="I210" s="113" t="inlineStr">
        <is>
          <t>社会发起（带对方去玩）潜伏期</t>
        </is>
      </c>
      <c r="J210" s="113" t="inlineStr">
        <is>
          <t>条件 A 基线 vs 条件 B（视频示范）</t>
        </is>
      </c>
    </row>
    <row r="211" ht="15" customHeight="1" s="111">
      <c r="A211" s="121" t="inlineStr">
        <is>
          <t>K354</t>
        </is>
      </c>
      <c r="B211" s="122" t="inlineStr">
        <is>
          <t>044-二次</t>
        </is>
      </c>
      <c r="C211" s="121" t="inlineStr">
        <is>
          <t>Kirsty</t>
        </is>
      </c>
      <c r="D211" s="122" t="inlineStr">
        <is>
          <t>维持</t>
        </is>
      </c>
      <c r="E211" s="127" t="inlineStr">
        <is>
          <t>A3</t>
        </is>
      </c>
      <c r="F211" s="128" t="inlineStr">
        <is>
          <t>人际关系发展</t>
        </is>
      </c>
      <c r="G211" s="128" t="inlineStr">
        <is>
          <t>游戏邀请</t>
        </is>
      </c>
      <c r="H211" s="121" t="inlineStr">
        <is>
          <t>DV51</t>
        </is>
      </c>
      <c r="I211" s="113" t="inlineStr">
        <is>
          <t>社会发起（带对方去玩）潜伏期</t>
        </is>
      </c>
      <c r="J211" s="113" t="inlineStr">
        <is>
          <t>条件 A 基线 vs 1 个月＋3 个月 Follow-up</t>
        </is>
      </c>
    </row>
    <row r="212" ht="29.85" customHeight="1" s="111">
      <c r="A212" s="121" t="inlineStr">
        <is>
          <t>K355</t>
        </is>
      </c>
      <c r="B212" s="122" t="inlineStr">
        <is>
          <t>044-二次</t>
        </is>
      </c>
      <c r="C212" s="121" t="inlineStr">
        <is>
          <t>Kirsty</t>
        </is>
      </c>
      <c r="D212" s="122" t="inlineStr">
        <is>
          <t>泛化</t>
        </is>
      </c>
      <c r="E212" s="127" t="inlineStr">
        <is>
          <t>A3</t>
        </is>
      </c>
      <c r="F212" s="128" t="inlineStr">
        <is>
          <t>人际关系发展</t>
        </is>
      </c>
      <c r="G212" s="128" t="inlineStr">
        <is>
          <t>游戏邀请</t>
        </is>
      </c>
      <c r="H212" s="121" t="inlineStr">
        <is>
          <t>DV51</t>
        </is>
      </c>
      <c r="I212" s="113" t="inlineStr">
        <is>
          <t>社会发起（带对方去玩）潜伏期</t>
        </is>
      </c>
      <c r="J212" s="113" t="inlineStr">
        <is>
          <t>条件 A 基线 vs 条件 C–F（球、手鼓、蹦床、火车；换玩具、不看视频）合并</t>
        </is>
      </c>
    </row>
    <row r="213" ht="15" customHeight="1" s="111">
      <c r="A213" s="121" t="inlineStr">
        <is>
          <t>K359</t>
        </is>
      </c>
      <c r="B213" s="122" t="inlineStr">
        <is>
          <t>044-二次</t>
        </is>
      </c>
      <c r="C213" s="121" t="inlineStr">
        <is>
          <t>Kirsty</t>
        </is>
      </c>
      <c r="D213" s="122" t="inlineStr">
        <is>
          <t>干预</t>
        </is>
      </c>
      <c r="E213" s="127" t="inlineStr">
        <is>
          <t>A3</t>
        </is>
      </c>
      <c r="F213" s="128" t="inlineStr">
        <is>
          <t>人际关系发展</t>
        </is>
      </c>
      <c r="G213" s="128" t="inlineStr">
        <is>
          <t>游戏互动</t>
        </is>
      </c>
      <c r="H213" s="121" t="inlineStr">
        <is>
          <t>DV52</t>
        </is>
      </c>
      <c r="I213" s="113" t="inlineStr">
        <is>
          <t>互惠游戏总时长</t>
        </is>
      </c>
      <c r="J213" s="113" t="inlineStr">
        <is>
          <t>条件 A 基线 vs 条件 B（视频示范）</t>
        </is>
      </c>
    </row>
    <row r="214" ht="29.85" customHeight="1" s="111">
      <c r="A214" s="121" t="inlineStr">
        <is>
          <t>K360</t>
        </is>
      </c>
      <c r="B214" s="122" t="inlineStr">
        <is>
          <t>044-二次</t>
        </is>
      </c>
      <c r="C214" s="121" t="inlineStr">
        <is>
          <t>Kirsty</t>
        </is>
      </c>
      <c r="D214" s="122" t="inlineStr">
        <is>
          <t>维持</t>
        </is>
      </c>
      <c r="E214" s="127" t="inlineStr">
        <is>
          <t>A3</t>
        </is>
      </c>
      <c r="F214" s="128" t="inlineStr">
        <is>
          <t>人际关系发展</t>
        </is>
      </c>
      <c r="G214" s="128" t="inlineStr">
        <is>
          <t>游戏互动</t>
        </is>
      </c>
      <c r="H214" s="121" t="inlineStr">
        <is>
          <t>DV52</t>
        </is>
      </c>
      <c r="I214" s="113" t="inlineStr">
        <is>
          <t>互惠游戏总时长</t>
        </is>
      </c>
      <c r="J214" s="113" t="inlineStr">
        <is>
          <t>条件 A 基线 vs 1 个月＋3 个月 Follow-up</t>
        </is>
      </c>
    </row>
    <row r="215" ht="15" customHeight="1" s="111">
      <c r="A215" s="121" t="inlineStr">
        <is>
          <t>K361</t>
        </is>
      </c>
      <c r="B215" s="122" t="inlineStr">
        <is>
          <t>044-二次</t>
        </is>
      </c>
      <c r="C215" s="121" t="inlineStr">
        <is>
          <t>Kirsty</t>
        </is>
      </c>
      <c r="D215" s="122" t="inlineStr">
        <is>
          <t>泛化</t>
        </is>
      </c>
      <c r="E215" s="127" t="inlineStr">
        <is>
          <t>A3</t>
        </is>
      </c>
      <c r="F215" s="128" t="inlineStr">
        <is>
          <t>人际关系发展</t>
        </is>
      </c>
      <c r="G215" s="128" t="inlineStr">
        <is>
          <t>游戏互动</t>
        </is>
      </c>
      <c r="H215" s="121" t="inlineStr">
        <is>
          <t>DV52</t>
        </is>
      </c>
      <c r="I215" s="113" t="inlineStr">
        <is>
          <t>互惠游戏总时长</t>
        </is>
      </c>
      <c r="J215" s="113" t="inlineStr">
        <is>
          <t>条件 A 基线 vs 条件 C–F（球、手鼓、蹦床、火车；换玩具、不看视频）合并</t>
        </is>
      </c>
    </row>
    <row r="216" ht="29.85" customHeight="1" s="111">
      <c r="A216" s="121" t="inlineStr">
        <is>
          <t>K365</t>
        </is>
      </c>
      <c r="B216" s="122" t="inlineStr">
        <is>
          <t>044-二次</t>
        </is>
      </c>
      <c r="C216" s="121" t="inlineStr">
        <is>
          <t>Niko</t>
        </is>
      </c>
      <c r="D216" s="122" t="inlineStr">
        <is>
          <t>干预</t>
        </is>
      </c>
      <c r="E216" s="127" t="inlineStr">
        <is>
          <t>A3</t>
        </is>
      </c>
      <c r="F216" s="128" t="inlineStr">
        <is>
          <t>人际关系发展</t>
        </is>
      </c>
      <c r="G216" s="128" t="inlineStr">
        <is>
          <t>游戏邀请</t>
        </is>
      </c>
      <c r="H216" s="121" t="inlineStr">
        <is>
          <t>DV51</t>
        </is>
      </c>
      <c r="I216" s="113" t="inlineStr">
        <is>
          <t>社会发起（带对方去玩）潜伏期</t>
        </is>
      </c>
      <c r="J216" s="113" t="inlineStr">
        <is>
          <t>条件 A 基线 vs 条件 B（视频示范）</t>
        </is>
      </c>
    </row>
    <row r="217" ht="15" customHeight="1" s="111">
      <c r="A217" s="121" t="inlineStr">
        <is>
          <t>K366</t>
        </is>
      </c>
      <c r="B217" s="122" t="inlineStr">
        <is>
          <t>044-二次</t>
        </is>
      </c>
      <c r="C217" s="121" t="inlineStr">
        <is>
          <t>Niko</t>
        </is>
      </c>
      <c r="D217" s="122" t="inlineStr">
        <is>
          <t>维持</t>
        </is>
      </c>
      <c r="E217" s="127" t="inlineStr">
        <is>
          <t>A3</t>
        </is>
      </c>
      <c r="F217" s="128" t="inlineStr">
        <is>
          <t>人际关系发展</t>
        </is>
      </c>
      <c r="G217" s="128" t="inlineStr">
        <is>
          <t>游戏邀请</t>
        </is>
      </c>
      <c r="H217" s="121" t="inlineStr">
        <is>
          <t>DV51</t>
        </is>
      </c>
      <c r="I217" s="113" t="inlineStr">
        <is>
          <t>社会发起（带对方去玩）潜伏期</t>
        </is>
      </c>
      <c r="J217" s="113" t="inlineStr">
        <is>
          <t>条件 A 基线 vs 1 个月＋3 个月 Follow-up</t>
        </is>
      </c>
    </row>
    <row r="218" ht="15" customHeight="1" s="111">
      <c r="A218" s="121" t="inlineStr">
        <is>
          <t>K367</t>
        </is>
      </c>
      <c r="B218" s="122" t="inlineStr">
        <is>
          <t>044-二次</t>
        </is>
      </c>
      <c r="C218" s="121" t="inlineStr">
        <is>
          <t>Niko</t>
        </is>
      </c>
      <c r="D218" s="122" t="inlineStr">
        <is>
          <t>泛化</t>
        </is>
      </c>
      <c r="E218" s="127" t="inlineStr">
        <is>
          <t>A3</t>
        </is>
      </c>
      <c r="F218" s="128" t="inlineStr">
        <is>
          <t>人际关系发展</t>
        </is>
      </c>
      <c r="G218" s="128" t="inlineStr">
        <is>
          <t>游戏邀请</t>
        </is>
      </c>
      <c r="H218" s="121" t="inlineStr">
        <is>
          <t>DV51</t>
        </is>
      </c>
      <c r="I218" s="113" t="inlineStr">
        <is>
          <t>社会发起（带对方去玩）潜伏期</t>
        </is>
      </c>
      <c r="J218" s="113" t="inlineStr">
        <is>
          <t>条件 A 基线 vs 条件 C–F（球、手鼓、蹦床、火车；换玩具、不看视频）合并</t>
        </is>
      </c>
    </row>
    <row r="219" ht="15" customHeight="1" s="111">
      <c r="A219" s="121" t="inlineStr">
        <is>
          <t>K371</t>
        </is>
      </c>
      <c r="B219" s="122" t="inlineStr">
        <is>
          <t>044-二次</t>
        </is>
      </c>
      <c r="C219" s="121" t="inlineStr">
        <is>
          <t>Niko</t>
        </is>
      </c>
      <c r="D219" s="122" t="inlineStr">
        <is>
          <t>干预</t>
        </is>
      </c>
      <c r="E219" s="127" t="inlineStr">
        <is>
          <t>A3</t>
        </is>
      </c>
      <c r="F219" s="128" t="inlineStr">
        <is>
          <t>人际关系发展</t>
        </is>
      </c>
      <c r="G219" s="128" t="inlineStr">
        <is>
          <t>游戏互动</t>
        </is>
      </c>
      <c r="H219" s="121" t="inlineStr">
        <is>
          <t>DV52</t>
        </is>
      </c>
      <c r="I219" s="113" t="inlineStr">
        <is>
          <t>互惠游戏总时长</t>
        </is>
      </c>
      <c r="J219" s="113" t="inlineStr">
        <is>
          <t>条件 A 基线 vs 条件 B（视频示范）</t>
        </is>
      </c>
    </row>
    <row r="220" ht="15" customHeight="1" s="111">
      <c r="A220" s="121" t="inlineStr">
        <is>
          <t>K372</t>
        </is>
      </c>
      <c r="B220" s="122" t="inlineStr">
        <is>
          <t>044-二次</t>
        </is>
      </c>
      <c r="C220" s="121" t="inlineStr">
        <is>
          <t>Niko</t>
        </is>
      </c>
      <c r="D220" s="122" t="inlineStr">
        <is>
          <t>维持</t>
        </is>
      </c>
      <c r="E220" s="127" t="inlineStr">
        <is>
          <t>A3</t>
        </is>
      </c>
      <c r="F220" s="128" t="inlineStr">
        <is>
          <t>人际关系发展</t>
        </is>
      </c>
      <c r="G220" s="128" t="inlineStr">
        <is>
          <t>游戏互动</t>
        </is>
      </c>
      <c r="H220" s="121" t="inlineStr">
        <is>
          <t>DV52</t>
        </is>
      </c>
      <c r="I220" s="113" t="inlineStr">
        <is>
          <t>互惠游戏总时长</t>
        </is>
      </c>
      <c r="J220" s="113" t="inlineStr">
        <is>
          <t>条件 A 基线 vs 1 个月＋3 个月 Follow-up</t>
        </is>
      </c>
    </row>
    <row r="221" ht="15" customHeight="1" s="111">
      <c r="A221" s="121" t="inlineStr">
        <is>
          <t>K373</t>
        </is>
      </c>
      <c r="B221" s="122" t="inlineStr">
        <is>
          <t>044-二次</t>
        </is>
      </c>
      <c r="C221" s="121" t="inlineStr">
        <is>
          <t>Niko</t>
        </is>
      </c>
      <c r="D221" s="122" t="inlineStr">
        <is>
          <t>泛化</t>
        </is>
      </c>
      <c r="E221" s="127" t="inlineStr">
        <is>
          <t>A3</t>
        </is>
      </c>
      <c r="F221" s="128" t="inlineStr">
        <is>
          <t>人际关系发展</t>
        </is>
      </c>
      <c r="G221" s="128" t="inlineStr">
        <is>
          <t>游戏互动</t>
        </is>
      </c>
      <c r="H221" s="121" t="inlineStr">
        <is>
          <t>DV52</t>
        </is>
      </c>
      <c r="I221" s="113" t="inlineStr">
        <is>
          <t>互惠游戏总时长</t>
        </is>
      </c>
      <c r="J221" s="113" t="inlineStr">
        <is>
          <t>条件 A 基线 vs 条件 C–F（球、手鼓、蹦床、火车；换玩具、不看视频）合并</t>
        </is>
      </c>
    </row>
    <row r="222" ht="15" customHeight="1" s="111">
      <c r="A222" s="121" t="inlineStr">
        <is>
          <t>K377</t>
        </is>
      </c>
      <c r="B222" s="122" t="inlineStr">
        <is>
          <t>044-二次</t>
        </is>
      </c>
      <c r="C222" s="121" t="inlineStr">
        <is>
          <t>Jamie</t>
        </is>
      </c>
      <c r="D222" s="122" t="inlineStr">
        <is>
          <t>干预</t>
        </is>
      </c>
      <c r="E222" s="127" t="inlineStr">
        <is>
          <t>A3</t>
        </is>
      </c>
      <c r="F222" s="128" t="inlineStr">
        <is>
          <t>人际关系发展</t>
        </is>
      </c>
      <c r="G222" s="128" t="inlineStr">
        <is>
          <t>游戏邀请</t>
        </is>
      </c>
      <c r="H222" s="121" t="inlineStr">
        <is>
          <t>DV51</t>
        </is>
      </c>
      <c r="I222" s="113" t="inlineStr">
        <is>
          <t>社会发起（带对方去玩）潜伏期</t>
        </is>
      </c>
      <c r="J222" s="113" t="inlineStr">
        <is>
          <t>条件 A 基线 vs 条件 B（视频示范）</t>
        </is>
      </c>
    </row>
    <row r="223" ht="15" customHeight="1" s="111">
      <c r="A223" s="121" t="inlineStr">
        <is>
          <t>K378</t>
        </is>
      </c>
      <c r="B223" s="122" t="inlineStr">
        <is>
          <t>044-二次</t>
        </is>
      </c>
      <c r="C223" s="121" t="inlineStr">
        <is>
          <t>Jamie</t>
        </is>
      </c>
      <c r="D223" s="122" t="inlineStr">
        <is>
          <t>维持</t>
        </is>
      </c>
      <c r="E223" s="127" t="inlineStr">
        <is>
          <t>A3</t>
        </is>
      </c>
      <c r="F223" s="128" t="inlineStr">
        <is>
          <t>人际关系发展</t>
        </is>
      </c>
      <c r="G223" s="128" t="inlineStr">
        <is>
          <t>游戏邀请</t>
        </is>
      </c>
      <c r="H223" s="121" t="inlineStr">
        <is>
          <t>DV51</t>
        </is>
      </c>
      <c r="I223" s="113" t="inlineStr">
        <is>
          <t>社会发起（带对方去玩）潜伏期</t>
        </is>
      </c>
      <c r="J223" s="113" t="inlineStr">
        <is>
          <t>条件 A 基线 vs 1 个月＋3 个月 Follow-up</t>
        </is>
      </c>
    </row>
    <row r="224" ht="15" customHeight="1" s="111">
      <c r="A224" s="121" t="inlineStr">
        <is>
          <t>K380</t>
        </is>
      </c>
      <c r="B224" s="122" t="inlineStr">
        <is>
          <t>044-二次</t>
        </is>
      </c>
      <c r="C224" s="121" t="inlineStr">
        <is>
          <t>Jamie</t>
        </is>
      </c>
      <c r="D224" s="122" t="inlineStr">
        <is>
          <t>泛化</t>
        </is>
      </c>
      <c r="E224" s="127" t="inlineStr">
        <is>
          <t>A3</t>
        </is>
      </c>
      <c r="F224" s="128" t="inlineStr">
        <is>
          <t>人际关系发展</t>
        </is>
      </c>
      <c r="G224" s="128" t="inlineStr">
        <is>
          <t>游戏邀请</t>
        </is>
      </c>
      <c r="H224" s="121" t="inlineStr">
        <is>
          <t>DV51</t>
        </is>
      </c>
      <c r="I224" s="113" t="inlineStr">
        <is>
          <t>社会发起（带对方去玩）潜伏期</t>
        </is>
      </c>
      <c r="J224" s="113" t="inlineStr">
        <is>
          <t>条件 A 基线 vs 条件 D–F（换玩具、不看视频）合并；Jamie条件C无法与视频示范期分开，未取</t>
        </is>
      </c>
    </row>
    <row r="225" ht="15" customHeight="1" s="111">
      <c r="A225" s="121" t="inlineStr">
        <is>
          <t>K383</t>
        </is>
      </c>
      <c r="B225" s="122" t="inlineStr">
        <is>
          <t>044-二次</t>
        </is>
      </c>
      <c r="C225" s="121" t="inlineStr">
        <is>
          <t>Jamie</t>
        </is>
      </c>
      <c r="D225" s="122" t="inlineStr">
        <is>
          <t>干预</t>
        </is>
      </c>
      <c r="E225" s="127" t="inlineStr">
        <is>
          <t>A3</t>
        </is>
      </c>
      <c r="F225" s="128" t="inlineStr">
        <is>
          <t>人际关系发展</t>
        </is>
      </c>
      <c r="G225" s="128" t="inlineStr">
        <is>
          <t>游戏互动</t>
        </is>
      </c>
      <c r="H225" s="121" t="inlineStr">
        <is>
          <t>DV52</t>
        </is>
      </c>
      <c r="I225" s="113" t="inlineStr">
        <is>
          <t>互惠游戏总时长</t>
        </is>
      </c>
      <c r="J225" s="113" t="inlineStr">
        <is>
          <t>条件 A 基线 vs 条件 B（视频示范）</t>
        </is>
      </c>
    </row>
    <row r="226" ht="15" customHeight="1" s="111">
      <c r="A226" s="121" t="inlineStr">
        <is>
          <t>K384</t>
        </is>
      </c>
      <c r="B226" s="122" t="inlineStr">
        <is>
          <t>044-二次</t>
        </is>
      </c>
      <c r="C226" s="121" t="inlineStr">
        <is>
          <t>Jamie</t>
        </is>
      </c>
      <c r="D226" s="122" t="inlineStr">
        <is>
          <t>维持</t>
        </is>
      </c>
      <c r="E226" s="127" t="inlineStr">
        <is>
          <t>A3</t>
        </is>
      </c>
      <c r="F226" s="128" t="inlineStr">
        <is>
          <t>人际关系发展</t>
        </is>
      </c>
      <c r="G226" s="128" t="inlineStr">
        <is>
          <t>游戏互动</t>
        </is>
      </c>
      <c r="H226" s="121" t="inlineStr">
        <is>
          <t>DV52</t>
        </is>
      </c>
      <c r="I226" s="113" t="inlineStr">
        <is>
          <t>互惠游戏总时长</t>
        </is>
      </c>
      <c r="J226" s="113" t="inlineStr">
        <is>
          <t>条件 A 基线 vs 1 个月＋3 个月 Follow-up</t>
        </is>
      </c>
    </row>
    <row r="227" ht="15" customHeight="1" s="111">
      <c r="A227" s="121" t="inlineStr">
        <is>
          <t>K386</t>
        </is>
      </c>
      <c r="B227" s="122" t="inlineStr">
        <is>
          <t>044-二次</t>
        </is>
      </c>
      <c r="C227" s="121" t="inlineStr">
        <is>
          <t>Jamie</t>
        </is>
      </c>
      <c r="D227" s="122" t="inlineStr">
        <is>
          <t>泛化</t>
        </is>
      </c>
      <c r="E227" s="127" t="inlineStr">
        <is>
          <t>A3</t>
        </is>
      </c>
      <c r="F227" s="128" t="inlineStr">
        <is>
          <t>人际关系发展</t>
        </is>
      </c>
      <c r="G227" s="128" t="inlineStr">
        <is>
          <t>游戏互动</t>
        </is>
      </c>
      <c r="H227" s="121" t="inlineStr">
        <is>
          <t>DV52</t>
        </is>
      </c>
      <c r="I227" s="113" t="inlineStr">
        <is>
          <t>互惠游戏总时长</t>
        </is>
      </c>
      <c r="J227" s="113" t="inlineStr">
        <is>
          <t>条件 A 基线 vs 条件 D–F（换玩具、不看视频）合并；Jamie条件C无法与视频示范期分开，未取</t>
        </is>
      </c>
    </row>
    <row r="228" ht="15" customHeight="1" s="111">
      <c r="A228" s="121" t="inlineStr">
        <is>
          <t>K395</t>
        </is>
      </c>
      <c r="B228" s="122" t="inlineStr">
        <is>
          <t>048-二次</t>
        </is>
      </c>
      <c r="C228" s="121" t="inlineStr">
        <is>
          <t>Jack</t>
        </is>
      </c>
      <c r="D228" s="122" t="inlineStr">
        <is>
          <t>干预</t>
        </is>
      </c>
      <c r="E228" s="127" t="inlineStr">
        <is>
          <t>A3</t>
        </is>
      </c>
      <c r="F228" s="128" t="inlineStr">
        <is>
          <t>人际关系发展</t>
        </is>
      </c>
      <c r="G228" s="128" t="inlineStr">
        <is>
          <t>游戏互动</t>
        </is>
      </c>
      <c r="H228" s="121" t="inlineStr">
        <is>
          <t>DV54</t>
        </is>
      </c>
      <c r="I228" s="113" t="inlineStr">
        <is>
          <t>脚本游戏评论（正确率）</t>
        </is>
      </c>
      <c r="J228" s="113" t="inlineStr">
        <is>
          <t>Baseline vs VM Intervention 期每日无视频探测</t>
        </is>
      </c>
    </row>
    <row r="229" ht="15" customHeight="1" s="111">
      <c r="A229" s="121" t="inlineStr">
        <is>
          <t>K396</t>
        </is>
      </c>
      <c r="B229" s="122" t="inlineStr">
        <is>
          <t>048-二次</t>
        </is>
      </c>
      <c r="C229" s="121" t="inlineStr">
        <is>
          <t>Jack</t>
        </is>
      </c>
      <c r="D229" s="122" t="inlineStr">
        <is>
          <t>干预</t>
        </is>
      </c>
      <c r="E229" s="127" t="inlineStr">
        <is>
          <t>A3</t>
        </is>
      </c>
      <c r="F229" s="128" t="inlineStr">
        <is>
          <t>人际关系发展</t>
        </is>
      </c>
      <c r="G229" s="128" t="inlineStr">
        <is>
          <t>游戏互动</t>
        </is>
      </c>
      <c r="H229" s="121" t="inlineStr">
        <is>
          <t>DV54</t>
        </is>
      </c>
      <c r="I229" s="113" t="inlineStr">
        <is>
          <t>脚本游戏评论（正确率）</t>
        </is>
      </c>
      <c r="J229" s="113" t="inlineStr">
        <is>
          <t>Baseline vs VM Intervention 期每日无视频探测</t>
        </is>
      </c>
    </row>
    <row r="230" ht="15" customHeight="1" s="111">
      <c r="A230" s="121" t="inlineStr">
        <is>
          <t>K397</t>
        </is>
      </c>
      <c r="B230" s="122" t="inlineStr">
        <is>
          <t>048-二次</t>
        </is>
      </c>
      <c r="C230" s="121" t="inlineStr">
        <is>
          <t>Jack</t>
        </is>
      </c>
      <c r="D230" s="122" t="inlineStr">
        <is>
          <t>干预</t>
        </is>
      </c>
      <c r="E230" s="127" t="inlineStr">
        <is>
          <t>A3</t>
        </is>
      </c>
      <c r="F230" s="128" t="inlineStr">
        <is>
          <t>人际关系发展</t>
        </is>
      </c>
      <c r="G230" s="128" t="inlineStr">
        <is>
          <t>游戏互动</t>
        </is>
      </c>
      <c r="H230" s="121" t="inlineStr">
        <is>
          <t>DV54</t>
        </is>
      </c>
      <c r="I230" s="113" t="inlineStr">
        <is>
          <t>脚本游戏评论（正确率）</t>
        </is>
      </c>
      <c r="J230" s="113" t="inlineStr">
        <is>
          <t>Baseline vs VM Intervention 期每日无视频探测</t>
        </is>
      </c>
    </row>
    <row r="231" ht="15" customHeight="1" s="111">
      <c r="A231" s="121" t="inlineStr">
        <is>
          <t>K398</t>
        </is>
      </c>
      <c r="B231" s="122" t="inlineStr">
        <is>
          <t>048-二次</t>
        </is>
      </c>
      <c r="C231" s="121" t="inlineStr">
        <is>
          <t>Manuel</t>
        </is>
      </c>
      <c r="D231" s="122" t="inlineStr">
        <is>
          <t>干预</t>
        </is>
      </c>
      <c r="E231" s="127" t="inlineStr">
        <is>
          <t>A3</t>
        </is>
      </c>
      <c r="F231" s="128" t="inlineStr">
        <is>
          <t>人际关系发展</t>
        </is>
      </c>
      <c r="G231" s="128" t="inlineStr">
        <is>
          <t>游戏互动</t>
        </is>
      </c>
      <c r="H231" s="121" t="inlineStr">
        <is>
          <t>DV55</t>
        </is>
      </c>
      <c r="I231" s="113" t="inlineStr">
        <is>
          <t>脚本与非脚本游戏评论（次数）</t>
        </is>
      </c>
      <c r="J231" s="113" t="inlineStr">
        <is>
          <t>Baseline vs VM 后的保留探测（Retention Probes）</t>
        </is>
      </c>
    </row>
    <row r="232" ht="29.85" customHeight="1" s="111">
      <c r="A232" s="121" t="inlineStr">
        <is>
          <t>K399</t>
        </is>
      </c>
      <c r="B232" s="122" t="inlineStr">
        <is>
          <t>048-二次</t>
        </is>
      </c>
      <c r="C232" s="121" t="inlineStr">
        <is>
          <t>Manuel</t>
        </is>
      </c>
      <c r="D232" s="122" t="inlineStr">
        <is>
          <t>干预</t>
        </is>
      </c>
      <c r="E232" s="127" t="inlineStr">
        <is>
          <t>A3</t>
        </is>
      </c>
      <c r="F232" s="128" t="inlineStr">
        <is>
          <t>人际关系发展</t>
        </is>
      </c>
      <c r="G232" s="128" t="inlineStr">
        <is>
          <t>游戏互动</t>
        </is>
      </c>
      <c r="H232" s="121" t="inlineStr">
        <is>
          <t>DV55</t>
        </is>
      </c>
      <c r="I232" s="113" t="inlineStr">
        <is>
          <t>脚本与非脚本游戏评论（次数）</t>
        </is>
      </c>
      <c r="J232" s="113" t="inlineStr">
        <is>
          <t>Baseline vs VM 后的保留探测（Retention Probes）</t>
        </is>
      </c>
    </row>
    <row r="233" ht="29.85" customHeight="1" s="111">
      <c r="A233" s="121" t="inlineStr">
        <is>
          <t>K400</t>
        </is>
      </c>
      <c r="B233" s="122" t="inlineStr">
        <is>
          <t>048-二次</t>
        </is>
      </c>
      <c r="C233" s="121" t="inlineStr">
        <is>
          <t>Manuel</t>
        </is>
      </c>
      <c r="D233" s="122" t="inlineStr">
        <is>
          <t>干预</t>
        </is>
      </c>
      <c r="E233" s="127" t="inlineStr">
        <is>
          <t>A3</t>
        </is>
      </c>
      <c r="F233" s="128" t="inlineStr">
        <is>
          <t>人际关系发展</t>
        </is>
      </c>
      <c r="G233" s="128" t="inlineStr">
        <is>
          <t>游戏互动</t>
        </is>
      </c>
      <c r="H233" s="121" t="inlineStr">
        <is>
          <t>DV55</t>
        </is>
      </c>
      <c r="I233" s="113" t="inlineStr">
        <is>
          <t>脚本与非脚本游戏评论（次数）</t>
        </is>
      </c>
      <c r="J233" s="113" t="inlineStr">
        <is>
          <t>Baseline vs VM 后的保留探测（Retention Probes）</t>
        </is>
      </c>
    </row>
    <row r="234" ht="29.85" customHeight="1" s="111">
      <c r="A234" s="121" t="inlineStr">
        <is>
          <t>K401</t>
        </is>
      </c>
      <c r="B234" s="122" t="inlineStr">
        <is>
          <t>051-二次</t>
        </is>
      </c>
      <c r="C234" s="121" t="inlineStr">
        <is>
          <t>Bob</t>
        </is>
      </c>
      <c r="D234" s="122" t="inlineStr">
        <is>
          <t>干预</t>
        </is>
      </c>
      <c r="E234" s="123" t="inlineStr">
        <is>
          <t>A1</t>
        </is>
      </c>
      <c r="F234" s="124" t="inlineStr">
        <is>
          <t>社交情感互惠</t>
        </is>
      </c>
      <c r="G234" s="124" t="inlineStr">
        <is>
          <t>社交发起</t>
        </is>
      </c>
      <c r="H234" s="121" t="inlineStr">
        <is>
          <t>DV56</t>
        </is>
      </c>
      <c r="I234" s="113" t="inlineStr">
        <is>
          <t>向同伴社会发起（身体发起＋发声发起）</t>
        </is>
      </c>
      <c r="J234" s="113" t="inlineStr">
        <is>
          <t>两轮合并：Stage 1 Baseline vs VSM ＋ Stage 2 Baseline vs VSM</t>
        </is>
      </c>
    </row>
    <row r="235" ht="29.85" customHeight="1" s="111">
      <c r="A235" s="121" t="inlineStr">
        <is>
          <t>K402</t>
        </is>
      </c>
      <c r="B235" s="122" t="inlineStr">
        <is>
          <t>051-二次</t>
        </is>
      </c>
      <c r="C235" s="121" t="inlineStr">
        <is>
          <t>Bob</t>
        </is>
      </c>
      <c r="D235" s="122" t="inlineStr">
        <is>
          <t>维持</t>
        </is>
      </c>
      <c r="E235" s="123" t="inlineStr">
        <is>
          <t>A1</t>
        </is>
      </c>
      <c r="F235" s="124" t="inlineStr">
        <is>
          <t>社交情感互惠</t>
        </is>
      </c>
      <c r="G235" s="124" t="inlineStr">
        <is>
          <t>社交发起</t>
        </is>
      </c>
      <c r="H235" s="121" t="inlineStr">
        <is>
          <t>DV56</t>
        </is>
      </c>
      <c r="I235" s="113" t="inlineStr">
        <is>
          <t>向同伴社会发起（身体发起＋发声发起）</t>
        </is>
      </c>
      <c r="J235" s="113" t="inlineStr">
        <is>
          <t>两轮合并：Stage 1 Baseline vs Maintenance ＋ Stage 2 Baseline vs Maintenance</t>
        </is>
      </c>
    </row>
    <row r="236" ht="15" customHeight="1" s="111">
      <c r="A236" s="121" t="inlineStr">
        <is>
          <t>K403</t>
        </is>
      </c>
      <c r="B236" s="122" t="inlineStr">
        <is>
          <t>051-二次</t>
        </is>
      </c>
      <c r="C236" s="121" t="inlineStr">
        <is>
          <t>Tevon</t>
        </is>
      </c>
      <c r="D236" s="122" t="inlineStr">
        <is>
          <t>干预</t>
        </is>
      </c>
      <c r="E236" s="123" t="inlineStr">
        <is>
          <t>A1</t>
        </is>
      </c>
      <c r="F236" s="124" t="inlineStr">
        <is>
          <t>社交情感互惠</t>
        </is>
      </c>
      <c r="G236" s="124" t="inlineStr">
        <is>
          <t>社交发起</t>
        </is>
      </c>
      <c r="H236" s="121" t="inlineStr">
        <is>
          <t>DV56</t>
        </is>
      </c>
      <c r="I236" s="113" t="inlineStr">
        <is>
          <t>向同伴社会发起（身体发起＋发声发起）</t>
        </is>
      </c>
      <c r="J236" s="113" t="inlineStr">
        <is>
          <t>两轮合并：Stage 1 Baseline vs VSM ＋ Stage 2 Baseline vs VSM</t>
        </is>
      </c>
    </row>
    <row r="237" ht="15" customHeight="1" s="111">
      <c r="A237" s="121" t="inlineStr">
        <is>
          <t>K404</t>
        </is>
      </c>
      <c r="B237" s="122" t="inlineStr">
        <is>
          <t>051-二次</t>
        </is>
      </c>
      <c r="C237" s="121" t="inlineStr">
        <is>
          <t>Tevon</t>
        </is>
      </c>
      <c r="D237" s="122" t="inlineStr">
        <is>
          <t>维持</t>
        </is>
      </c>
      <c r="E237" s="123" t="inlineStr">
        <is>
          <t>A1</t>
        </is>
      </c>
      <c r="F237" s="124" t="inlineStr">
        <is>
          <t>社交情感互惠</t>
        </is>
      </c>
      <c r="G237" s="124" t="inlineStr">
        <is>
          <t>社交发起</t>
        </is>
      </c>
      <c r="H237" s="121" t="inlineStr">
        <is>
          <t>DV56</t>
        </is>
      </c>
      <c r="I237" s="113" t="inlineStr">
        <is>
          <t>向同伴社会发起（身体发起＋发声发起）</t>
        </is>
      </c>
      <c r="J237" s="113" t="inlineStr">
        <is>
          <t>两轮合并：Stage 1 Baseline vs Maintenance ＋ Stage 2 Baseline vs Maintenance</t>
        </is>
      </c>
    </row>
    <row r="238" ht="29.85" customHeight="1" s="111">
      <c r="A238" s="121" t="inlineStr">
        <is>
          <t>K405</t>
        </is>
      </c>
      <c r="B238" s="122" t="inlineStr">
        <is>
          <t>051-二次</t>
        </is>
      </c>
      <c r="C238" s="121" t="inlineStr">
        <is>
          <t>Josh</t>
        </is>
      </c>
      <c r="D238" s="122" t="inlineStr">
        <is>
          <t>干预</t>
        </is>
      </c>
      <c r="E238" s="123" t="inlineStr">
        <is>
          <t>A1</t>
        </is>
      </c>
      <c r="F238" s="124" t="inlineStr">
        <is>
          <t>社交情感互惠</t>
        </is>
      </c>
      <c r="G238" s="124" t="inlineStr">
        <is>
          <t>社交发起</t>
        </is>
      </c>
      <c r="H238" s="121" t="inlineStr">
        <is>
          <t>DV56</t>
        </is>
      </c>
      <c r="I238" s="113" t="inlineStr">
        <is>
          <t>向同伴社会发起（身体发起＋发声发起）</t>
        </is>
      </c>
      <c r="J238" s="113" t="inlineStr">
        <is>
          <t>两轮合并：Stage 1 Baseline vs VSM ＋ Stage 2 Baseline vs VSM</t>
        </is>
      </c>
    </row>
    <row r="239" ht="29.85" customHeight="1" s="111">
      <c r="A239" s="121" t="inlineStr">
        <is>
          <t>K406</t>
        </is>
      </c>
      <c r="B239" s="122" t="inlineStr">
        <is>
          <t>051-二次</t>
        </is>
      </c>
      <c r="C239" s="121" t="inlineStr">
        <is>
          <t>Josh</t>
        </is>
      </c>
      <c r="D239" s="122" t="inlineStr">
        <is>
          <t>维持</t>
        </is>
      </c>
      <c r="E239" s="123" t="inlineStr">
        <is>
          <t>A1</t>
        </is>
      </c>
      <c r="F239" s="124" t="inlineStr">
        <is>
          <t>社交情感互惠</t>
        </is>
      </c>
      <c r="G239" s="124" t="inlineStr">
        <is>
          <t>社交发起</t>
        </is>
      </c>
      <c r="H239" s="121" t="inlineStr">
        <is>
          <t>DV56</t>
        </is>
      </c>
      <c r="I239" s="113" t="inlineStr">
        <is>
          <t>向同伴社会发起（身体发起＋发声发起）</t>
        </is>
      </c>
      <c r="J239" s="113" t="inlineStr">
        <is>
          <t>两轮合并：Stage 1 Baseline vs Maintenance ＋ Stage 2 Baseline vs Maintenance</t>
        </is>
      </c>
    </row>
    <row r="240" ht="29.85" customHeight="1" s="111">
      <c r="A240" s="121" t="inlineStr">
        <is>
          <t>K407</t>
        </is>
      </c>
      <c r="B240" s="122" t="inlineStr">
        <is>
          <t>051-滚雪球</t>
        </is>
      </c>
      <c r="C240" s="121" t="inlineStr">
        <is>
          <t>Ned</t>
        </is>
      </c>
      <c r="D240" s="122" t="inlineStr">
        <is>
          <t>干预</t>
        </is>
      </c>
      <c r="E240" s="123" t="inlineStr">
        <is>
          <t>A1</t>
        </is>
      </c>
      <c r="F240" s="124" t="inlineStr">
        <is>
          <t>社交情感互惠</t>
        </is>
      </c>
      <c r="G240" s="124" t="inlineStr">
        <is>
          <t>需求表达</t>
        </is>
      </c>
      <c r="H240" s="121" t="inlineStr">
        <is>
          <t>DV57</t>
        </is>
      </c>
      <c r="I240" s="113" t="inlineStr">
        <is>
          <t>表达需求（Expressing Wants and Needs）</t>
        </is>
      </c>
      <c r="J240" s="113" t="inlineStr">
        <is>
          <t>Baseline vs Intervention（L1–L5 合并）</t>
        </is>
      </c>
    </row>
    <row r="241" ht="29.85" customHeight="1" s="111">
      <c r="A241" s="121" t="inlineStr">
        <is>
          <t>K408</t>
        </is>
      </c>
      <c r="B241" s="122" t="inlineStr">
        <is>
          <t>051-滚雪球</t>
        </is>
      </c>
      <c r="C241" s="121" t="inlineStr">
        <is>
          <t>Ned</t>
        </is>
      </c>
      <c r="D241" s="122" t="inlineStr">
        <is>
          <t>维持</t>
        </is>
      </c>
      <c r="E241" s="123" t="inlineStr">
        <is>
          <t>A1</t>
        </is>
      </c>
      <c r="F241" s="124" t="inlineStr">
        <is>
          <t>社交情感互惠</t>
        </is>
      </c>
      <c r="G241" s="124" t="inlineStr">
        <is>
          <t>需求表达</t>
        </is>
      </c>
      <c r="H241" s="121" t="inlineStr">
        <is>
          <t>DV57</t>
        </is>
      </c>
      <c r="I241" s="113" t="inlineStr">
        <is>
          <t>表达需求（Expressing Wants and Needs）</t>
        </is>
      </c>
      <c r="J241" s="119" t="inlineStr">
        <is>
          <t>Baseline vs Maintenance</t>
        </is>
      </c>
    </row>
    <row r="242" ht="15" customHeight="1" s="111">
      <c r="A242" s="121" t="inlineStr">
        <is>
          <t>K409</t>
        </is>
      </c>
      <c r="B242" s="122" t="inlineStr">
        <is>
          <t>051-滚雪球</t>
        </is>
      </c>
      <c r="C242" s="121" t="inlineStr">
        <is>
          <t>Ned</t>
        </is>
      </c>
      <c r="D242" s="122" t="inlineStr">
        <is>
          <t>干预</t>
        </is>
      </c>
      <c r="E242" s="123" t="inlineStr">
        <is>
          <t>A1</t>
        </is>
      </c>
      <c r="F242" s="124" t="inlineStr">
        <is>
          <t>社交情感互惠</t>
        </is>
      </c>
      <c r="G242" s="124" t="inlineStr">
        <is>
          <t>情感分享</t>
        </is>
      </c>
      <c r="H242" s="121" t="inlineStr">
        <is>
          <t>DV58</t>
        </is>
      </c>
      <c r="I242" s="113" t="inlineStr">
        <is>
          <t>观点采择（Perspective Taking）</t>
        </is>
      </c>
      <c r="J242" s="113" t="inlineStr">
        <is>
          <t>Baseline vs Intervention（L1–L5 合并）</t>
        </is>
      </c>
    </row>
    <row r="243" ht="15" customHeight="1" s="111">
      <c r="A243" s="121" t="inlineStr">
        <is>
          <t>K410</t>
        </is>
      </c>
      <c r="B243" s="122" t="inlineStr">
        <is>
          <t>051-滚雪球</t>
        </is>
      </c>
      <c r="C243" s="121" t="inlineStr">
        <is>
          <t>Ned</t>
        </is>
      </c>
      <c r="D243" s="122" t="inlineStr">
        <is>
          <t>维持</t>
        </is>
      </c>
      <c r="E243" s="123" t="inlineStr">
        <is>
          <t>A1</t>
        </is>
      </c>
      <c r="F243" s="124" t="inlineStr">
        <is>
          <t>社交情感互惠</t>
        </is>
      </c>
      <c r="G243" s="124" t="inlineStr">
        <is>
          <t>情感分享</t>
        </is>
      </c>
      <c r="H243" s="121" t="inlineStr">
        <is>
          <t>DV58</t>
        </is>
      </c>
      <c r="I243" s="113" t="inlineStr">
        <is>
          <t>观点采择（Perspective Taking）</t>
        </is>
      </c>
      <c r="J243" s="119" t="inlineStr">
        <is>
          <t>Baseline vs Maintenance</t>
        </is>
      </c>
    </row>
    <row r="244" ht="29.85" customHeight="1" s="111">
      <c r="A244" s="121" t="inlineStr">
        <is>
          <t>K411</t>
        </is>
      </c>
      <c r="B244" s="122" t="inlineStr">
        <is>
          <t>051-滚雪球</t>
        </is>
      </c>
      <c r="C244" s="121" t="inlineStr">
        <is>
          <t>Ned</t>
        </is>
      </c>
      <c r="D244" s="122" t="inlineStr">
        <is>
          <t>干预</t>
        </is>
      </c>
      <c r="E244" s="123" t="inlineStr">
        <is>
          <t>A1</t>
        </is>
      </c>
      <c r="F244" s="124" t="inlineStr">
        <is>
          <t>社交情感互惠</t>
        </is>
      </c>
      <c r="G244" s="124" t="inlineStr">
        <is>
          <t>情感分享</t>
        </is>
      </c>
      <c r="H244" s="121" t="inlineStr">
        <is>
          <t>DV59</t>
        </is>
      </c>
      <c r="I244" s="113" t="inlineStr">
        <is>
          <t>识别和表达情绪（Recognizing and Expressing Emotions）</t>
        </is>
      </c>
      <c r="J244" s="113" t="inlineStr">
        <is>
          <t>Baseline vs Intervention（L1–L5 合并）</t>
        </is>
      </c>
    </row>
    <row r="245" ht="29.85" customHeight="1" s="111">
      <c r="A245" s="121" t="inlineStr">
        <is>
          <t>K412</t>
        </is>
      </c>
      <c r="B245" s="122" t="inlineStr">
        <is>
          <t>051-滚雪球</t>
        </is>
      </c>
      <c r="C245" s="121" t="inlineStr">
        <is>
          <t>Ned</t>
        </is>
      </c>
      <c r="D245" s="122" t="inlineStr">
        <is>
          <t>维持</t>
        </is>
      </c>
      <c r="E245" s="123" t="inlineStr">
        <is>
          <t>A1</t>
        </is>
      </c>
      <c r="F245" s="124" t="inlineStr">
        <is>
          <t>社交情感互惠</t>
        </is>
      </c>
      <c r="G245" s="124" t="inlineStr">
        <is>
          <t>情感分享</t>
        </is>
      </c>
      <c r="H245" s="121" t="inlineStr">
        <is>
          <t>DV59</t>
        </is>
      </c>
      <c r="I245" s="113" t="inlineStr">
        <is>
          <t>识别和表达情绪（Recognizing and Expressing Emotions）</t>
        </is>
      </c>
      <c r="J245" s="119" t="inlineStr">
        <is>
          <t>Baseline vs Maintenance</t>
        </is>
      </c>
    </row>
    <row r="246" ht="29.85" customHeight="1" s="111">
      <c r="A246" s="121" t="inlineStr">
        <is>
          <t>K413</t>
        </is>
      </c>
      <c r="B246" s="122" t="inlineStr">
        <is>
          <t>051-滚雪球</t>
        </is>
      </c>
      <c r="C246" s="121" t="inlineStr">
        <is>
          <t>Suzy</t>
        </is>
      </c>
      <c r="D246" s="122" t="inlineStr">
        <is>
          <t>干预</t>
        </is>
      </c>
      <c r="E246" s="123" t="inlineStr">
        <is>
          <t>A1</t>
        </is>
      </c>
      <c r="F246" s="124" t="inlineStr">
        <is>
          <t>社交情感互惠</t>
        </is>
      </c>
      <c r="G246" s="124" t="inlineStr">
        <is>
          <t>需求表达</t>
        </is>
      </c>
      <c r="H246" s="121" t="inlineStr">
        <is>
          <t>DV57</t>
        </is>
      </c>
      <c r="I246" s="113" t="inlineStr">
        <is>
          <t>表达需求（Expressing Wants and Needs）</t>
        </is>
      </c>
      <c r="J246" s="113" t="inlineStr">
        <is>
          <t>Baseline vs Intervention（L1–L5 合并）</t>
        </is>
      </c>
    </row>
    <row r="247" ht="29.85" customHeight="1" s="111">
      <c r="A247" s="121" t="inlineStr">
        <is>
          <t>K414</t>
        </is>
      </c>
      <c r="B247" s="122" t="inlineStr">
        <is>
          <t>051-滚雪球</t>
        </is>
      </c>
      <c r="C247" s="121" t="inlineStr">
        <is>
          <t>Suzy</t>
        </is>
      </c>
      <c r="D247" s="122" t="inlineStr">
        <is>
          <t>维持</t>
        </is>
      </c>
      <c r="E247" s="123" t="inlineStr">
        <is>
          <t>A1</t>
        </is>
      </c>
      <c r="F247" s="124" t="inlineStr">
        <is>
          <t>社交情感互惠</t>
        </is>
      </c>
      <c r="G247" s="124" t="inlineStr">
        <is>
          <t>需求表达</t>
        </is>
      </c>
      <c r="H247" s="121" t="inlineStr">
        <is>
          <t>DV57</t>
        </is>
      </c>
      <c r="I247" s="113" t="inlineStr">
        <is>
          <t>表达需求（Expressing Wants and Needs）</t>
        </is>
      </c>
      <c r="J247" s="119" t="inlineStr">
        <is>
          <t>Baseline vs Maintenance</t>
        </is>
      </c>
    </row>
    <row r="248" ht="15" customHeight="1" s="111">
      <c r="A248" s="121" t="inlineStr">
        <is>
          <t>K415</t>
        </is>
      </c>
      <c r="B248" s="122" t="inlineStr">
        <is>
          <t>051-滚雪球</t>
        </is>
      </c>
      <c r="C248" s="121" t="inlineStr">
        <is>
          <t>Suzy</t>
        </is>
      </c>
      <c r="D248" s="122" t="inlineStr">
        <is>
          <t>干预</t>
        </is>
      </c>
      <c r="E248" s="123" t="inlineStr">
        <is>
          <t>A1</t>
        </is>
      </c>
      <c r="F248" s="124" t="inlineStr">
        <is>
          <t>社交情感互惠</t>
        </is>
      </c>
      <c r="G248" s="124" t="inlineStr">
        <is>
          <t>情感分享</t>
        </is>
      </c>
      <c r="H248" s="121" t="inlineStr">
        <is>
          <t>DV58</t>
        </is>
      </c>
      <c r="I248" s="113" t="inlineStr">
        <is>
          <t>观点采择（Perspective Taking）</t>
        </is>
      </c>
      <c r="J248" s="113" t="inlineStr">
        <is>
          <t>Baseline vs Intervention（L1–L5 合并）</t>
        </is>
      </c>
    </row>
    <row r="249" ht="15" customHeight="1" s="111">
      <c r="A249" s="121" t="inlineStr">
        <is>
          <t>K416</t>
        </is>
      </c>
      <c r="B249" s="122" t="inlineStr">
        <is>
          <t>051-滚雪球</t>
        </is>
      </c>
      <c r="C249" s="121" t="inlineStr">
        <is>
          <t>Suzy</t>
        </is>
      </c>
      <c r="D249" s="122" t="inlineStr">
        <is>
          <t>维持</t>
        </is>
      </c>
      <c r="E249" s="123" t="inlineStr">
        <is>
          <t>A1</t>
        </is>
      </c>
      <c r="F249" s="124" t="inlineStr">
        <is>
          <t>社交情感互惠</t>
        </is>
      </c>
      <c r="G249" s="124" t="inlineStr">
        <is>
          <t>情感分享</t>
        </is>
      </c>
      <c r="H249" s="121" t="inlineStr">
        <is>
          <t>DV58</t>
        </is>
      </c>
      <c r="I249" s="113" t="inlineStr">
        <is>
          <t>观点采择（Perspective Taking）</t>
        </is>
      </c>
      <c r="J249" s="119" t="inlineStr">
        <is>
          <t>Baseline vs Maintenance</t>
        </is>
      </c>
    </row>
    <row r="250" ht="29.85" customHeight="1" s="111">
      <c r="A250" s="121" t="inlineStr">
        <is>
          <t>K417</t>
        </is>
      </c>
      <c r="B250" s="122" t="inlineStr">
        <is>
          <t>051-滚雪球</t>
        </is>
      </c>
      <c r="C250" s="121" t="inlineStr">
        <is>
          <t>Suzy</t>
        </is>
      </c>
      <c r="D250" s="122" t="inlineStr">
        <is>
          <t>干预</t>
        </is>
      </c>
      <c r="E250" s="123" t="inlineStr">
        <is>
          <t>A1</t>
        </is>
      </c>
      <c r="F250" s="124" t="inlineStr">
        <is>
          <t>社交情感互惠</t>
        </is>
      </c>
      <c r="G250" s="124" t="inlineStr">
        <is>
          <t>情感分享</t>
        </is>
      </c>
      <c r="H250" s="121" t="inlineStr">
        <is>
          <t>DV59</t>
        </is>
      </c>
      <c r="I250" s="113" t="inlineStr">
        <is>
          <t>识别和表达情绪（Recognizing and Expressing Emotions）</t>
        </is>
      </c>
      <c r="J250" s="113" t="inlineStr">
        <is>
          <t>Baseline vs Intervention（L1–L5 合并）</t>
        </is>
      </c>
    </row>
    <row r="251" ht="29.85" customHeight="1" s="111">
      <c r="A251" s="121" t="inlineStr">
        <is>
          <t>K418</t>
        </is>
      </c>
      <c r="B251" s="122" t="inlineStr">
        <is>
          <t>051-滚雪球</t>
        </is>
      </c>
      <c r="C251" s="121" t="inlineStr">
        <is>
          <t>Ward</t>
        </is>
      </c>
      <c r="D251" s="122" t="inlineStr">
        <is>
          <t>干预</t>
        </is>
      </c>
      <c r="E251" s="123" t="inlineStr">
        <is>
          <t>A1</t>
        </is>
      </c>
      <c r="F251" s="124" t="inlineStr">
        <is>
          <t>社交情感互惠</t>
        </is>
      </c>
      <c r="G251" s="124" t="inlineStr">
        <is>
          <t>需求表达</t>
        </is>
      </c>
      <c r="H251" s="121" t="inlineStr">
        <is>
          <t>DV57</t>
        </is>
      </c>
      <c r="I251" s="113" t="inlineStr">
        <is>
          <t>表达需求（Expressing Wants and Needs）</t>
        </is>
      </c>
      <c r="J251" s="113" t="inlineStr">
        <is>
          <t>Baseline vs Intervention（L1–L5 合并）</t>
        </is>
      </c>
    </row>
    <row r="252" ht="29.85" customHeight="1" s="111">
      <c r="A252" s="121" t="inlineStr">
        <is>
          <t>K419</t>
        </is>
      </c>
      <c r="B252" s="122" t="inlineStr">
        <is>
          <t>051-滚雪球</t>
        </is>
      </c>
      <c r="C252" s="121" t="inlineStr">
        <is>
          <t>Ward</t>
        </is>
      </c>
      <c r="D252" s="122" t="inlineStr">
        <is>
          <t>维持</t>
        </is>
      </c>
      <c r="E252" s="123" t="inlineStr">
        <is>
          <t>A1</t>
        </is>
      </c>
      <c r="F252" s="124" t="inlineStr">
        <is>
          <t>社交情感互惠</t>
        </is>
      </c>
      <c r="G252" s="124" t="inlineStr">
        <is>
          <t>需求表达</t>
        </is>
      </c>
      <c r="H252" s="121" t="inlineStr">
        <is>
          <t>DV57</t>
        </is>
      </c>
      <c r="I252" s="113" t="inlineStr">
        <is>
          <t>表达需求（Expressing Wants and Needs）</t>
        </is>
      </c>
      <c r="J252" s="119" t="inlineStr">
        <is>
          <t>Baseline vs Maintenance</t>
        </is>
      </c>
    </row>
    <row r="253" ht="29.85" customHeight="1" s="111">
      <c r="A253" s="121" t="inlineStr">
        <is>
          <t>K420</t>
        </is>
      </c>
      <c r="B253" s="122" t="inlineStr">
        <is>
          <t>051-滚雪球</t>
        </is>
      </c>
      <c r="C253" s="121" t="inlineStr">
        <is>
          <t>Ward</t>
        </is>
      </c>
      <c r="D253" s="122" t="inlineStr">
        <is>
          <t>干预</t>
        </is>
      </c>
      <c r="E253" s="123" t="inlineStr">
        <is>
          <t>A1</t>
        </is>
      </c>
      <c r="F253" s="124" t="inlineStr">
        <is>
          <t>社交情感互惠</t>
        </is>
      </c>
      <c r="G253" s="124" t="inlineStr">
        <is>
          <t>情感分享</t>
        </is>
      </c>
      <c r="H253" s="121" t="inlineStr">
        <is>
          <t>DV58</t>
        </is>
      </c>
      <c r="I253" s="113" t="inlineStr">
        <is>
          <t>观点采择（Perspective Taking）</t>
        </is>
      </c>
      <c r="J253" s="113" t="inlineStr">
        <is>
          <t>Baseline vs Intervention（L1–L5 合并）</t>
        </is>
      </c>
    </row>
    <row r="254" ht="15" customHeight="1" s="111">
      <c r="A254" s="121" t="inlineStr">
        <is>
          <t>K421</t>
        </is>
      </c>
      <c r="B254" s="122" t="inlineStr">
        <is>
          <t>051-滚雪球</t>
        </is>
      </c>
      <c r="C254" s="121" t="inlineStr">
        <is>
          <t>Ward</t>
        </is>
      </c>
      <c r="D254" s="122" t="inlineStr">
        <is>
          <t>维持</t>
        </is>
      </c>
      <c r="E254" s="123" t="inlineStr">
        <is>
          <t>A1</t>
        </is>
      </c>
      <c r="F254" s="124" t="inlineStr">
        <is>
          <t>社交情感互惠</t>
        </is>
      </c>
      <c r="G254" s="124" t="inlineStr">
        <is>
          <t>情感分享</t>
        </is>
      </c>
      <c r="H254" s="121" t="inlineStr">
        <is>
          <t>DV58</t>
        </is>
      </c>
      <c r="I254" s="113" t="inlineStr">
        <is>
          <t>观点采择（Perspective Taking）</t>
        </is>
      </c>
      <c r="J254" s="119" t="inlineStr">
        <is>
          <t>Baseline vs Maintenance</t>
        </is>
      </c>
    </row>
    <row r="255" ht="15" customHeight="1" s="111">
      <c r="A255" s="121" t="inlineStr">
        <is>
          <t>K422</t>
        </is>
      </c>
      <c r="B255" s="122" t="inlineStr">
        <is>
          <t>051-滚雪球</t>
        </is>
      </c>
      <c r="C255" s="121" t="inlineStr">
        <is>
          <t>Ward</t>
        </is>
      </c>
      <c r="D255" s="122" t="inlineStr">
        <is>
          <t>干预</t>
        </is>
      </c>
      <c r="E255" s="123" t="inlineStr">
        <is>
          <t>A1</t>
        </is>
      </c>
      <c r="F255" s="124" t="inlineStr">
        <is>
          <t>社交情感互惠</t>
        </is>
      </c>
      <c r="G255" s="124" t="inlineStr">
        <is>
          <t>情感分享</t>
        </is>
      </c>
      <c r="H255" s="121" t="inlineStr">
        <is>
          <t>DV59</t>
        </is>
      </c>
      <c r="I255" s="113" t="inlineStr">
        <is>
          <t>识别和表达情绪（Recognizing and Expressing Emotions）</t>
        </is>
      </c>
      <c r="J255" s="113" t="inlineStr">
        <is>
          <t>Baseline vs Intervention（L1–L5 合并）</t>
        </is>
      </c>
    </row>
    <row r="256" ht="29.85" customHeight="1" s="111">
      <c r="A256" s="121" t="inlineStr">
        <is>
          <t>K423</t>
        </is>
      </c>
      <c r="B256" s="122" t="inlineStr">
        <is>
          <t>052-二次</t>
        </is>
      </c>
      <c r="C256" s="121" t="inlineStr">
        <is>
          <t>P1 Participant 1</t>
        </is>
      </c>
      <c r="D256" s="122" t="inlineStr">
        <is>
          <t>干预</t>
        </is>
      </c>
      <c r="E256" s="123" t="inlineStr">
        <is>
          <t>A1</t>
        </is>
      </c>
      <c r="F256" s="124" t="inlineStr">
        <is>
          <t>社交情感互惠</t>
        </is>
      </c>
      <c r="G256" s="124" t="inlineStr">
        <is>
          <t>需求表达</t>
        </is>
      </c>
      <c r="H256" s="121" t="inlineStr">
        <is>
          <t>DV60</t>
        </is>
      </c>
      <c r="I256" s="113" t="inlineStr">
        <is>
          <t>自发请求（无协助请求物品或行动）</t>
        </is>
      </c>
      <c r="J256" s="119" t="inlineStr">
        <is>
          <t>Baseline vs VSM</t>
        </is>
      </c>
    </row>
    <row r="257" ht="29.85" customHeight="1" s="111">
      <c r="A257" s="121" t="inlineStr">
        <is>
          <t>K424</t>
        </is>
      </c>
      <c r="B257" s="122" t="inlineStr">
        <is>
          <t>052-二次</t>
        </is>
      </c>
      <c r="C257" s="121" t="inlineStr">
        <is>
          <t>P1 Participant 1</t>
        </is>
      </c>
      <c r="D257" s="122" t="inlineStr">
        <is>
          <t>维持</t>
        </is>
      </c>
      <c r="E257" s="123" t="inlineStr">
        <is>
          <t>A1</t>
        </is>
      </c>
      <c r="F257" s="124" t="inlineStr">
        <is>
          <t>社交情感互惠</t>
        </is>
      </c>
      <c r="G257" s="124" t="inlineStr">
        <is>
          <t>需求表达</t>
        </is>
      </c>
      <c r="H257" s="121" t="inlineStr">
        <is>
          <t>DV60</t>
        </is>
      </c>
      <c r="I257" s="113" t="inlineStr">
        <is>
          <t>自发请求（无协助请求物品或行动）</t>
        </is>
      </c>
      <c r="J257" s="119" t="inlineStr">
        <is>
          <t>Baseline vs Maintenance</t>
        </is>
      </c>
    </row>
    <row r="258" ht="29.85" customHeight="1" s="111">
      <c r="A258" s="121" t="inlineStr">
        <is>
          <t>K425</t>
        </is>
      </c>
      <c r="B258" s="122" t="inlineStr">
        <is>
          <t>052-二次</t>
        </is>
      </c>
      <c r="C258" s="121" t="inlineStr">
        <is>
          <t>P2 Participant 2</t>
        </is>
      </c>
      <c r="D258" s="122" t="inlineStr">
        <is>
          <t>干预</t>
        </is>
      </c>
      <c r="E258" s="123" t="inlineStr">
        <is>
          <t>A1</t>
        </is>
      </c>
      <c r="F258" s="124" t="inlineStr">
        <is>
          <t>社交情感互惠</t>
        </is>
      </c>
      <c r="G258" s="124" t="inlineStr">
        <is>
          <t>需求表达</t>
        </is>
      </c>
      <c r="H258" s="121" t="inlineStr">
        <is>
          <t>DV60</t>
        </is>
      </c>
      <c r="I258" s="113" t="inlineStr">
        <is>
          <t>自发请求（无协助请求物品或行动）</t>
        </is>
      </c>
      <c r="J258" s="119" t="inlineStr">
        <is>
          <t>Baseline vs VSM</t>
        </is>
      </c>
    </row>
    <row r="259" ht="15" customHeight="1" s="111">
      <c r="A259" s="121" t="inlineStr">
        <is>
          <t>K426</t>
        </is>
      </c>
      <c r="B259" s="122" t="inlineStr">
        <is>
          <t>052-二次</t>
        </is>
      </c>
      <c r="C259" s="121" t="inlineStr">
        <is>
          <t>P3 Participant 3</t>
        </is>
      </c>
      <c r="D259" s="122" t="inlineStr">
        <is>
          <t>干预</t>
        </is>
      </c>
      <c r="E259" s="123" t="inlineStr">
        <is>
          <t>A1</t>
        </is>
      </c>
      <c r="F259" s="124" t="inlineStr">
        <is>
          <t>社交情感互惠</t>
        </is>
      </c>
      <c r="G259" s="124" t="inlineStr">
        <is>
          <t>需求表达</t>
        </is>
      </c>
      <c r="H259" s="121" t="inlineStr">
        <is>
          <t>DV60</t>
        </is>
      </c>
      <c r="I259" s="113" t="inlineStr">
        <is>
          <t>自发请求（无协助请求物品或行动）</t>
        </is>
      </c>
      <c r="J259" s="119" t="inlineStr">
        <is>
          <t>Baseline vs VSM</t>
        </is>
      </c>
    </row>
    <row r="260" ht="15" customHeight="1" s="111">
      <c r="A260" s="121" t="inlineStr">
        <is>
          <t>K427</t>
        </is>
      </c>
      <c r="B260" s="122" t="inlineStr">
        <is>
          <t>052-二次</t>
        </is>
      </c>
      <c r="C260" s="121" t="inlineStr">
        <is>
          <t>P4 Participant 4</t>
        </is>
      </c>
      <c r="D260" s="122" t="inlineStr">
        <is>
          <t>干预</t>
        </is>
      </c>
      <c r="E260" s="123" t="inlineStr">
        <is>
          <t>A1</t>
        </is>
      </c>
      <c r="F260" s="124" t="inlineStr">
        <is>
          <t>社交情感互惠</t>
        </is>
      </c>
      <c r="G260" s="124" t="inlineStr">
        <is>
          <t>需求表达</t>
        </is>
      </c>
      <c r="H260" s="121" t="inlineStr">
        <is>
          <t>DV60</t>
        </is>
      </c>
      <c r="I260" s="113" t="inlineStr">
        <is>
          <t>自发请求（无协助请求物品或行动）</t>
        </is>
      </c>
      <c r="J260" s="119" t="inlineStr">
        <is>
          <t>Baseline vs VSM</t>
        </is>
      </c>
    </row>
    <row r="261" ht="29.85" customHeight="1" s="111">
      <c r="A261" s="121" t="inlineStr">
        <is>
          <t>K428</t>
        </is>
      </c>
      <c r="B261" s="122" t="inlineStr">
        <is>
          <t>055-二次</t>
        </is>
      </c>
      <c r="C261" s="121" t="inlineStr">
        <is>
          <t>Eddie</t>
        </is>
      </c>
      <c r="D261" s="122" t="inlineStr">
        <is>
          <t>干预</t>
        </is>
      </c>
      <c r="E261" s="123" t="inlineStr">
        <is>
          <t>A1</t>
        </is>
      </c>
      <c r="F261" s="124" t="inlineStr">
        <is>
          <t>社交情感互惠</t>
        </is>
      </c>
      <c r="G261" s="124" t="inlineStr">
        <is>
          <t>情感分享</t>
        </is>
      </c>
      <c r="H261" s="121" t="inlineStr">
        <is>
          <t>DV61</t>
        </is>
      </c>
      <c r="I261" s="113" t="inlineStr">
        <is>
          <t>恰当言语评论</t>
        </is>
      </c>
      <c r="J261" s="119" t="inlineStr">
        <is>
          <t>Baseline vs Video Modeling</t>
        </is>
      </c>
    </row>
    <row r="262" ht="29.85" customHeight="1" s="111">
      <c r="A262" s="121" t="inlineStr">
        <is>
          <t>K429</t>
        </is>
      </c>
      <c r="B262" s="122" t="inlineStr">
        <is>
          <t>055-二次</t>
        </is>
      </c>
      <c r="C262" s="121" t="inlineStr">
        <is>
          <t>Eddie</t>
        </is>
      </c>
      <c r="D262" s="122" t="inlineStr">
        <is>
          <t>干预</t>
        </is>
      </c>
      <c r="E262" s="125" t="inlineStr">
        <is>
          <t>A2</t>
        </is>
      </c>
      <c r="F262" s="126" t="inlineStr">
        <is>
          <t>非言语沟通</t>
        </is>
      </c>
      <c r="G262" s="126" t="inlineStr">
        <is>
          <t>情绪表达</t>
        </is>
      </c>
      <c r="H262" s="121" t="inlineStr">
        <is>
          <t>DV62</t>
        </is>
      </c>
      <c r="I262" s="113" t="inlineStr">
        <is>
          <t>恰当语调</t>
        </is>
      </c>
      <c r="J262" s="119" t="inlineStr">
        <is>
          <t>Baseline vs Video Modeling</t>
        </is>
      </c>
    </row>
    <row r="263" ht="29.85" customHeight="1" s="111">
      <c r="A263" s="121" t="inlineStr">
        <is>
          <t>K430</t>
        </is>
      </c>
      <c r="B263" s="122" t="inlineStr">
        <is>
          <t>055-二次</t>
        </is>
      </c>
      <c r="C263" s="121" t="inlineStr">
        <is>
          <t>Eddie</t>
        </is>
      </c>
      <c r="D263" s="122" t="inlineStr">
        <is>
          <t>干预</t>
        </is>
      </c>
      <c r="E263" s="125" t="inlineStr">
        <is>
          <t>A2</t>
        </is>
      </c>
      <c r="F263" s="126" t="inlineStr">
        <is>
          <t>非言语沟通</t>
        </is>
      </c>
      <c r="G263" s="126" t="inlineStr">
        <is>
          <t>表情与手势</t>
        </is>
      </c>
      <c r="H263" s="121" t="inlineStr">
        <is>
          <t>DV63</t>
        </is>
      </c>
      <c r="I263" s="113" t="inlineStr">
        <is>
          <t>沟通手势</t>
        </is>
      </c>
      <c r="J263" s="119" t="inlineStr">
        <is>
          <t>Baseline vs Video Modeling</t>
        </is>
      </c>
    </row>
    <row r="264" ht="29.85" customHeight="1" s="111">
      <c r="A264" s="121" t="inlineStr">
        <is>
          <t>K431</t>
        </is>
      </c>
      <c r="B264" s="122" t="inlineStr">
        <is>
          <t>055-二次</t>
        </is>
      </c>
      <c r="C264" s="121" t="inlineStr">
        <is>
          <t>Eddie</t>
        </is>
      </c>
      <c r="D264" s="122" t="inlineStr">
        <is>
          <t>干预</t>
        </is>
      </c>
      <c r="E264" s="125" t="inlineStr">
        <is>
          <t>A2</t>
        </is>
      </c>
      <c r="F264" s="126" t="inlineStr">
        <is>
          <t>非言语沟通</t>
        </is>
      </c>
      <c r="G264" s="126" t="inlineStr">
        <is>
          <t>表情与手势</t>
        </is>
      </c>
      <c r="H264" s="121" t="inlineStr">
        <is>
          <t>DV64</t>
        </is>
      </c>
      <c r="I264" s="113" t="inlineStr">
        <is>
          <t>恰当面部表情</t>
        </is>
      </c>
      <c r="J264" s="119" t="inlineStr">
        <is>
          <t>Baseline vs Video Modeling</t>
        </is>
      </c>
    </row>
    <row r="265" ht="29.85" customHeight="1" s="111">
      <c r="A265" s="121" t="inlineStr">
        <is>
          <t>K432</t>
        </is>
      </c>
      <c r="B265" s="122" t="inlineStr">
        <is>
          <t>055-二次</t>
        </is>
      </c>
      <c r="C265" s="121" t="inlineStr">
        <is>
          <t>Mark</t>
        </is>
      </c>
      <c r="D265" s="122" t="inlineStr">
        <is>
          <t>干预</t>
        </is>
      </c>
      <c r="E265" s="123" t="inlineStr">
        <is>
          <t>A1</t>
        </is>
      </c>
      <c r="F265" s="124" t="inlineStr">
        <is>
          <t>社交情感互惠</t>
        </is>
      </c>
      <c r="G265" s="124" t="inlineStr">
        <is>
          <t>情感分享</t>
        </is>
      </c>
      <c r="H265" s="121" t="inlineStr">
        <is>
          <t>DV61</t>
        </is>
      </c>
      <c r="I265" s="113" t="inlineStr">
        <is>
          <t>恰当言语评论</t>
        </is>
      </c>
      <c r="J265" s="119" t="inlineStr">
        <is>
          <t>Baseline vs Video Modeling</t>
        </is>
      </c>
    </row>
    <row r="266" ht="29.85" customHeight="1" s="111">
      <c r="A266" s="121" t="inlineStr">
        <is>
          <t>K433</t>
        </is>
      </c>
      <c r="B266" s="122" t="inlineStr">
        <is>
          <t>055-二次</t>
        </is>
      </c>
      <c r="C266" s="121" t="inlineStr">
        <is>
          <t>Mark</t>
        </is>
      </c>
      <c r="D266" s="122" t="inlineStr">
        <is>
          <t>干预</t>
        </is>
      </c>
      <c r="E266" s="125" t="inlineStr">
        <is>
          <t>A2</t>
        </is>
      </c>
      <c r="F266" s="126" t="inlineStr">
        <is>
          <t>非言语沟通</t>
        </is>
      </c>
      <c r="G266" s="126" t="inlineStr">
        <is>
          <t>情绪表达</t>
        </is>
      </c>
      <c r="H266" s="121" t="inlineStr">
        <is>
          <t>DV62</t>
        </is>
      </c>
      <c r="I266" s="113" t="inlineStr">
        <is>
          <t>恰当语调</t>
        </is>
      </c>
      <c r="J266" s="119" t="inlineStr">
        <is>
          <t>Baseline vs Video Modeling</t>
        </is>
      </c>
    </row>
    <row r="267" ht="29.85" customHeight="1" s="111">
      <c r="A267" s="121" t="inlineStr">
        <is>
          <t>K434</t>
        </is>
      </c>
      <c r="B267" s="122" t="inlineStr">
        <is>
          <t>055-二次</t>
        </is>
      </c>
      <c r="C267" s="121" t="inlineStr">
        <is>
          <t>Mark</t>
        </is>
      </c>
      <c r="D267" s="122" t="inlineStr">
        <is>
          <t>干预</t>
        </is>
      </c>
      <c r="E267" s="125" t="inlineStr">
        <is>
          <t>A2</t>
        </is>
      </c>
      <c r="F267" s="126" t="inlineStr">
        <is>
          <t>非言语沟通</t>
        </is>
      </c>
      <c r="G267" s="126" t="inlineStr">
        <is>
          <t>表情与手势</t>
        </is>
      </c>
      <c r="H267" s="121" t="inlineStr">
        <is>
          <t>DV63</t>
        </is>
      </c>
      <c r="I267" s="113" t="inlineStr">
        <is>
          <t>沟通手势</t>
        </is>
      </c>
      <c r="J267" s="119" t="inlineStr">
        <is>
          <t>Baseline vs Video Modeling</t>
        </is>
      </c>
    </row>
    <row r="268" ht="29.85" customHeight="1" s="111">
      <c r="A268" s="121" t="inlineStr">
        <is>
          <t>K435</t>
        </is>
      </c>
      <c r="B268" s="122" t="inlineStr">
        <is>
          <t>055-二次</t>
        </is>
      </c>
      <c r="C268" s="121" t="inlineStr">
        <is>
          <t>Mark</t>
        </is>
      </c>
      <c r="D268" s="122" t="inlineStr">
        <is>
          <t>干预</t>
        </is>
      </c>
      <c r="E268" s="125" t="inlineStr">
        <is>
          <t>A2</t>
        </is>
      </c>
      <c r="F268" s="126" t="inlineStr">
        <is>
          <t>非言语沟通</t>
        </is>
      </c>
      <c r="G268" s="126" t="inlineStr">
        <is>
          <t>表情与手势</t>
        </is>
      </c>
      <c r="H268" s="121" t="inlineStr">
        <is>
          <t>DV64</t>
        </is>
      </c>
      <c r="I268" s="113" t="inlineStr">
        <is>
          <t>恰当面部表情</t>
        </is>
      </c>
      <c r="J268" s="119" t="inlineStr">
        <is>
          <t>Baseline vs Video Modeling</t>
        </is>
      </c>
    </row>
    <row r="269" ht="29.85" customHeight="1" s="111">
      <c r="A269" s="121" t="inlineStr">
        <is>
          <t>K436</t>
        </is>
      </c>
      <c r="B269" s="122" t="inlineStr">
        <is>
          <t>055-二次</t>
        </is>
      </c>
      <c r="C269" s="121" t="inlineStr">
        <is>
          <t>Terry</t>
        </is>
      </c>
      <c r="D269" s="122" t="inlineStr">
        <is>
          <t>干预</t>
        </is>
      </c>
      <c r="E269" s="123" t="inlineStr">
        <is>
          <t>A1</t>
        </is>
      </c>
      <c r="F269" s="124" t="inlineStr">
        <is>
          <t>社交情感互惠</t>
        </is>
      </c>
      <c r="G269" s="124" t="inlineStr">
        <is>
          <t>情感分享</t>
        </is>
      </c>
      <c r="H269" s="121" t="inlineStr">
        <is>
          <t>DV61</t>
        </is>
      </c>
      <c r="I269" s="113" t="inlineStr">
        <is>
          <t>恰当言语评论</t>
        </is>
      </c>
      <c r="J269" s="119" t="inlineStr">
        <is>
          <t>Baseline vs Video Modeling</t>
        </is>
      </c>
    </row>
    <row r="270" ht="29.85" customHeight="1" s="111">
      <c r="A270" s="121" t="inlineStr">
        <is>
          <t>K437</t>
        </is>
      </c>
      <c r="B270" s="122" t="inlineStr">
        <is>
          <t>055-二次</t>
        </is>
      </c>
      <c r="C270" s="121" t="inlineStr">
        <is>
          <t>Terry</t>
        </is>
      </c>
      <c r="D270" s="122" t="inlineStr">
        <is>
          <t>干预</t>
        </is>
      </c>
      <c r="E270" s="125" t="inlineStr">
        <is>
          <t>A2</t>
        </is>
      </c>
      <c r="F270" s="126" t="inlineStr">
        <is>
          <t>非言语沟通</t>
        </is>
      </c>
      <c r="G270" s="126" t="inlineStr">
        <is>
          <t>情绪表达</t>
        </is>
      </c>
      <c r="H270" s="121" t="inlineStr">
        <is>
          <t>DV62</t>
        </is>
      </c>
      <c r="I270" s="113" t="inlineStr">
        <is>
          <t>恰当语调</t>
        </is>
      </c>
      <c r="J270" s="119" t="inlineStr">
        <is>
          <t>Baseline vs Video Modeling</t>
        </is>
      </c>
    </row>
    <row r="271" ht="44" customHeight="1" s="111">
      <c r="A271" s="121" t="inlineStr">
        <is>
          <t>K438</t>
        </is>
      </c>
      <c r="B271" s="122" t="inlineStr">
        <is>
          <t>055-二次</t>
        </is>
      </c>
      <c r="C271" s="121" t="inlineStr">
        <is>
          <t>Terry</t>
        </is>
      </c>
      <c r="D271" s="122" t="inlineStr">
        <is>
          <t>干预</t>
        </is>
      </c>
      <c r="E271" s="125" t="inlineStr">
        <is>
          <t>A2</t>
        </is>
      </c>
      <c r="F271" s="126" t="inlineStr">
        <is>
          <t>非言语沟通</t>
        </is>
      </c>
      <c r="G271" s="126" t="inlineStr">
        <is>
          <t>表情与手势</t>
        </is>
      </c>
      <c r="H271" s="121" t="inlineStr">
        <is>
          <t>DV63</t>
        </is>
      </c>
      <c r="I271" s="113" t="inlineStr">
        <is>
          <t>沟通手势</t>
        </is>
      </c>
      <c r="J271" s="119" t="inlineStr">
        <is>
          <t>Baseline vs Video Modeling</t>
        </is>
      </c>
    </row>
    <row r="272" ht="29.85" customHeight="1" s="111">
      <c r="A272" s="121" t="inlineStr">
        <is>
          <t>K439</t>
        </is>
      </c>
      <c r="B272" s="122" t="inlineStr">
        <is>
          <t>055-二次</t>
        </is>
      </c>
      <c r="C272" s="121" t="inlineStr">
        <is>
          <t>Terry</t>
        </is>
      </c>
      <c r="D272" s="122" t="inlineStr">
        <is>
          <t>干预</t>
        </is>
      </c>
      <c r="E272" s="125" t="inlineStr">
        <is>
          <t>A2</t>
        </is>
      </c>
      <c r="F272" s="126" t="inlineStr">
        <is>
          <t>非言语沟通</t>
        </is>
      </c>
      <c r="G272" s="126" t="inlineStr">
        <is>
          <t>表情与手势</t>
        </is>
      </c>
      <c r="H272" s="121" t="inlineStr">
        <is>
          <t>DV64</t>
        </is>
      </c>
      <c r="I272" s="113" t="inlineStr">
        <is>
          <t>恰当面部表情</t>
        </is>
      </c>
      <c r="J272" s="119" t="inlineStr">
        <is>
          <t>Baseline vs Video Modeling</t>
        </is>
      </c>
    </row>
    <row r="273" ht="44" customHeight="1" s="111">
      <c r="A273" s="121" t="inlineStr">
        <is>
          <t>K440</t>
        </is>
      </c>
      <c r="B273" s="122" t="inlineStr">
        <is>
          <t>056-滚雪球</t>
        </is>
      </c>
      <c r="C273" s="121" t="inlineStr">
        <is>
          <t>Mark</t>
        </is>
      </c>
      <c r="D273" s="122" t="inlineStr">
        <is>
          <t>干预</t>
        </is>
      </c>
      <c r="E273" s="123" t="inlineStr">
        <is>
          <t>A1</t>
        </is>
      </c>
      <c r="F273" s="124" t="inlineStr">
        <is>
          <t>社交情感互惠</t>
        </is>
      </c>
      <c r="G273" s="124" t="inlineStr">
        <is>
          <t>社交应答</t>
        </is>
      </c>
      <c r="H273" s="121" t="inlineStr">
        <is>
          <t>DV65</t>
        </is>
      </c>
      <c r="I273" s="113" t="inlineStr">
        <is>
          <t>回答问题（Responding to Questions）</t>
        </is>
      </c>
      <c r="J273" s="113" t="inlineStr">
        <is>
          <t>BL vs 紧接基线的第一个干预条件</t>
        </is>
      </c>
    </row>
    <row r="274" ht="29.85" customHeight="1" s="111">
      <c r="A274" s="121" t="inlineStr">
        <is>
          <t>K441</t>
        </is>
      </c>
      <c r="B274" s="122" t="inlineStr">
        <is>
          <t>056-滚雪球</t>
        </is>
      </c>
      <c r="C274" s="121" t="inlineStr">
        <is>
          <t>Mark</t>
        </is>
      </c>
      <c r="D274" s="122" t="inlineStr">
        <is>
          <t>维持</t>
        </is>
      </c>
      <c r="E274" s="123" t="inlineStr">
        <is>
          <t>A1</t>
        </is>
      </c>
      <c r="F274" s="124" t="inlineStr">
        <is>
          <t>社交情感互惠</t>
        </is>
      </c>
      <c r="G274" s="124" t="inlineStr">
        <is>
          <t>社交应答</t>
        </is>
      </c>
      <c r="H274" s="121" t="inlineStr">
        <is>
          <t>DV65</t>
        </is>
      </c>
      <c r="I274" s="113" t="inlineStr">
        <is>
          <t>回答问题（Responding to Questions）</t>
        </is>
      </c>
      <c r="J274" s="119" t="inlineStr">
        <is>
          <t>BL vs Maintenance</t>
        </is>
      </c>
    </row>
    <row r="275" ht="44" customHeight="1" s="111">
      <c r="A275" s="121" t="inlineStr">
        <is>
          <t>K442</t>
        </is>
      </c>
      <c r="B275" s="122" t="inlineStr">
        <is>
          <t>056-滚雪球</t>
        </is>
      </c>
      <c r="C275" s="121" t="inlineStr">
        <is>
          <t>Mark</t>
        </is>
      </c>
      <c r="D275" s="122" t="inlineStr">
        <is>
          <t>干预</t>
        </is>
      </c>
      <c r="E275" s="123" t="inlineStr">
        <is>
          <t>A1</t>
        </is>
      </c>
      <c r="F275" s="124" t="inlineStr">
        <is>
          <t>社交情感互惠</t>
        </is>
      </c>
      <c r="G275" s="124" t="inlineStr">
        <is>
          <t>会话维持</t>
        </is>
      </c>
      <c r="H275" s="121" t="inlineStr">
        <is>
          <t>DV66</t>
        </is>
      </c>
      <c r="I275" s="113" t="inlineStr">
        <is>
          <t>维持交谈（Maintaining a Conversation）</t>
        </is>
      </c>
      <c r="J275" s="113" t="inlineStr">
        <is>
          <t>BL vs 紧接基线的第一个干预条件</t>
        </is>
      </c>
    </row>
    <row r="276" ht="15" customHeight="1" s="111">
      <c r="A276" s="121" t="inlineStr">
        <is>
          <t>K443</t>
        </is>
      </c>
      <c r="B276" s="122" t="inlineStr">
        <is>
          <t>056-滚雪球</t>
        </is>
      </c>
      <c r="C276" s="121" t="inlineStr">
        <is>
          <t>Mark</t>
        </is>
      </c>
      <c r="D276" s="122" t="inlineStr">
        <is>
          <t>维持</t>
        </is>
      </c>
      <c r="E276" s="123" t="inlineStr">
        <is>
          <t>A1</t>
        </is>
      </c>
      <c r="F276" s="124" t="inlineStr">
        <is>
          <t>社交情感互惠</t>
        </is>
      </c>
      <c r="G276" s="124" t="inlineStr">
        <is>
          <t>会话维持</t>
        </is>
      </c>
      <c r="H276" s="121" t="inlineStr">
        <is>
          <t>DV66</t>
        </is>
      </c>
      <c r="I276" s="113" t="inlineStr">
        <is>
          <t>维持交谈（Maintaining a Conversation）</t>
        </is>
      </c>
      <c r="J276" s="119" t="inlineStr">
        <is>
          <t>BL vs Maintenance</t>
        </is>
      </c>
    </row>
    <row r="277" ht="15" customHeight="1" s="111">
      <c r="A277" s="121" t="inlineStr">
        <is>
          <t>K444</t>
        </is>
      </c>
      <c r="B277" s="122" t="inlineStr">
        <is>
          <t>056-滚雪球</t>
        </is>
      </c>
      <c r="C277" s="121" t="inlineStr">
        <is>
          <t>Mark</t>
        </is>
      </c>
      <c r="D277" s="122" t="inlineStr">
        <is>
          <t>干预</t>
        </is>
      </c>
      <c r="E277" s="123" t="inlineStr">
        <is>
          <t>A1</t>
        </is>
      </c>
      <c r="F277" s="124" t="inlineStr">
        <is>
          <t>社交情感互惠</t>
        </is>
      </c>
      <c r="G277" s="124" t="inlineStr">
        <is>
          <t>需求表达</t>
        </is>
      </c>
      <c r="H277" s="121" t="inlineStr">
        <is>
          <t>DV67</t>
        </is>
      </c>
      <c r="I277" s="113" t="inlineStr">
        <is>
          <t>表达需求（Expressing Wants and Needs）</t>
        </is>
      </c>
      <c r="J277" s="113" t="inlineStr">
        <is>
          <t>BL vs 紧接基线的第一个干预条件</t>
        </is>
      </c>
    </row>
    <row r="278" ht="15" customHeight="1" s="111">
      <c r="A278" s="121" t="inlineStr">
        <is>
          <t>K445</t>
        </is>
      </c>
      <c r="B278" s="122" t="inlineStr">
        <is>
          <t>056-滚雪球</t>
        </is>
      </c>
      <c r="C278" s="121" t="inlineStr">
        <is>
          <t>Mark</t>
        </is>
      </c>
      <c r="D278" s="122" t="inlineStr">
        <is>
          <t>维持</t>
        </is>
      </c>
      <c r="E278" s="123" t="inlineStr">
        <is>
          <t>A1</t>
        </is>
      </c>
      <c r="F278" s="124" t="inlineStr">
        <is>
          <t>社交情感互惠</t>
        </is>
      </c>
      <c r="G278" s="124" t="inlineStr">
        <is>
          <t>需求表达</t>
        </is>
      </c>
      <c r="H278" s="121" t="inlineStr">
        <is>
          <t>DV67</t>
        </is>
      </c>
      <c r="I278" s="113" t="inlineStr">
        <is>
          <t>表达需求（Expressing Wants and Needs）</t>
        </is>
      </c>
      <c r="J278" s="119" t="inlineStr">
        <is>
          <t>BL vs Maintenance</t>
        </is>
      </c>
    </row>
    <row r="279" ht="15" customHeight="1" s="111">
      <c r="A279" s="121" t="inlineStr">
        <is>
          <t>K446</t>
        </is>
      </c>
      <c r="B279" s="122" t="inlineStr">
        <is>
          <t>056-滚雪球</t>
        </is>
      </c>
      <c r="C279" s="121" t="inlineStr">
        <is>
          <t>Mark</t>
        </is>
      </c>
      <c r="D279" s="122" t="inlineStr">
        <is>
          <t>干预</t>
        </is>
      </c>
      <c r="E279" s="127" t="inlineStr">
        <is>
          <t>A3</t>
        </is>
      </c>
      <c r="F279" s="128" t="inlineStr">
        <is>
          <t>人际关系发展</t>
        </is>
      </c>
      <c r="G279" s="128" t="inlineStr">
        <is>
          <t>群体融入</t>
        </is>
      </c>
      <c r="H279" s="121" t="inlineStr">
        <is>
          <t>DV68</t>
        </is>
      </c>
      <c r="I279" s="113" t="inlineStr">
        <is>
          <t>参与（Participate）</t>
        </is>
      </c>
      <c r="J279" s="113" t="inlineStr">
        <is>
          <t>BL vs 紧接基线的第一个干预条件</t>
        </is>
      </c>
    </row>
    <row r="280" ht="29.85" customHeight="1" s="111">
      <c r="A280" s="121" t="inlineStr">
        <is>
          <t>K447</t>
        </is>
      </c>
      <c r="B280" s="122" t="inlineStr">
        <is>
          <t>056-滚雪球</t>
        </is>
      </c>
      <c r="C280" s="121" t="inlineStr">
        <is>
          <t>Jarvis</t>
        </is>
      </c>
      <c r="D280" s="122" t="inlineStr">
        <is>
          <t>干预</t>
        </is>
      </c>
      <c r="E280" s="123" t="inlineStr">
        <is>
          <t>A1</t>
        </is>
      </c>
      <c r="F280" s="124" t="inlineStr">
        <is>
          <t>社交情感互惠</t>
        </is>
      </c>
      <c r="G280" s="124" t="inlineStr">
        <is>
          <t>社交应答</t>
        </is>
      </c>
      <c r="H280" s="121" t="inlineStr">
        <is>
          <t>DV65</t>
        </is>
      </c>
      <c r="I280" s="113" t="inlineStr">
        <is>
          <t>回答问题（Responding to Questions）</t>
        </is>
      </c>
      <c r="J280" s="113" t="inlineStr">
        <is>
          <t>BL vs 紧接基线的第一个干预条件</t>
        </is>
      </c>
    </row>
    <row r="281" ht="29.85" customHeight="1" s="111">
      <c r="A281" s="121" t="inlineStr">
        <is>
          <t>K448</t>
        </is>
      </c>
      <c r="B281" s="122" t="inlineStr">
        <is>
          <t>056-滚雪球</t>
        </is>
      </c>
      <c r="C281" s="121" t="inlineStr">
        <is>
          <t>Jarvis</t>
        </is>
      </c>
      <c r="D281" s="122" t="inlineStr">
        <is>
          <t>维持</t>
        </is>
      </c>
      <c r="E281" s="123" t="inlineStr">
        <is>
          <t>A1</t>
        </is>
      </c>
      <c r="F281" s="124" t="inlineStr">
        <is>
          <t>社交情感互惠</t>
        </is>
      </c>
      <c r="G281" s="124" t="inlineStr">
        <is>
          <t>社交应答</t>
        </is>
      </c>
      <c r="H281" s="121" t="inlineStr">
        <is>
          <t>DV65</t>
        </is>
      </c>
      <c r="I281" s="113" t="inlineStr">
        <is>
          <t>回答问题（Responding to Questions）</t>
        </is>
      </c>
      <c r="J281" s="119" t="inlineStr">
        <is>
          <t>BL vs Maintenance</t>
        </is>
      </c>
    </row>
    <row r="282" ht="15" customHeight="1" s="111">
      <c r="A282" s="121" t="inlineStr">
        <is>
          <t>K449</t>
        </is>
      </c>
      <c r="B282" s="122" t="inlineStr">
        <is>
          <t>056-滚雪球</t>
        </is>
      </c>
      <c r="C282" s="121" t="inlineStr">
        <is>
          <t>Jarvis</t>
        </is>
      </c>
      <c r="D282" s="122" t="inlineStr">
        <is>
          <t>干预</t>
        </is>
      </c>
      <c r="E282" s="123" t="inlineStr">
        <is>
          <t>A1</t>
        </is>
      </c>
      <c r="F282" s="124" t="inlineStr">
        <is>
          <t>社交情感互惠</t>
        </is>
      </c>
      <c r="G282" s="124" t="inlineStr">
        <is>
          <t>会话维持</t>
        </is>
      </c>
      <c r="H282" s="121" t="inlineStr">
        <is>
          <t>DV66</t>
        </is>
      </c>
      <c r="I282" s="113" t="inlineStr">
        <is>
          <t>维持交谈（Maintaining a Conversation）</t>
        </is>
      </c>
      <c r="J282" s="113" t="inlineStr">
        <is>
          <t>BL vs 紧接基线的第一个干预条件</t>
        </is>
      </c>
    </row>
    <row r="283" ht="15" customHeight="1" s="111">
      <c r="A283" s="121" t="inlineStr">
        <is>
          <t>K450</t>
        </is>
      </c>
      <c r="B283" s="122" t="inlineStr">
        <is>
          <t>056-滚雪球</t>
        </is>
      </c>
      <c r="C283" s="121" t="inlineStr">
        <is>
          <t>Jarvis</t>
        </is>
      </c>
      <c r="D283" s="122" t="inlineStr">
        <is>
          <t>维持</t>
        </is>
      </c>
      <c r="E283" s="123" t="inlineStr">
        <is>
          <t>A1</t>
        </is>
      </c>
      <c r="F283" s="124" t="inlineStr">
        <is>
          <t>社交情感互惠</t>
        </is>
      </c>
      <c r="G283" s="124" t="inlineStr">
        <is>
          <t>会话维持</t>
        </is>
      </c>
      <c r="H283" s="121" t="inlineStr">
        <is>
          <t>DV66</t>
        </is>
      </c>
      <c r="I283" s="113" t="inlineStr">
        <is>
          <t>维持交谈（Maintaining a Conversation）</t>
        </is>
      </c>
      <c r="J283" s="119" t="inlineStr">
        <is>
          <t>BL vs Maintenance</t>
        </is>
      </c>
    </row>
    <row r="284" ht="15" customHeight="1" s="111">
      <c r="A284" s="121" t="inlineStr">
        <is>
          <t>K451</t>
        </is>
      </c>
      <c r="B284" s="122" t="inlineStr">
        <is>
          <t>056-滚雪球</t>
        </is>
      </c>
      <c r="C284" s="121" t="inlineStr">
        <is>
          <t>Jarvis</t>
        </is>
      </c>
      <c r="D284" s="122" t="inlineStr">
        <is>
          <t>干预</t>
        </is>
      </c>
      <c r="E284" s="123" t="inlineStr">
        <is>
          <t>A1</t>
        </is>
      </c>
      <c r="F284" s="124" t="inlineStr">
        <is>
          <t>社交情感互惠</t>
        </is>
      </c>
      <c r="G284" s="124" t="inlineStr">
        <is>
          <t>需求表达</t>
        </is>
      </c>
      <c r="H284" s="121" t="inlineStr">
        <is>
          <t>DV67</t>
        </is>
      </c>
      <c r="I284" s="113" t="inlineStr">
        <is>
          <t>表达需求（Expressing Wants and Needs）</t>
        </is>
      </c>
      <c r="J284" s="113" t="inlineStr">
        <is>
          <t>BL vs 紧接基线的第一个干预条件</t>
        </is>
      </c>
    </row>
    <row r="285" ht="15" customHeight="1" s="111">
      <c r="A285" s="121" t="inlineStr">
        <is>
          <t>K452</t>
        </is>
      </c>
      <c r="B285" s="122" t="inlineStr">
        <is>
          <t>056-滚雪球</t>
        </is>
      </c>
      <c r="C285" s="121" t="inlineStr">
        <is>
          <t>Jarvis</t>
        </is>
      </c>
      <c r="D285" s="122" t="inlineStr">
        <is>
          <t>维持</t>
        </is>
      </c>
      <c r="E285" s="123" t="inlineStr">
        <is>
          <t>A1</t>
        </is>
      </c>
      <c r="F285" s="124" t="inlineStr">
        <is>
          <t>社交情感互惠</t>
        </is>
      </c>
      <c r="G285" s="124" t="inlineStr">
        <is>
          <t>需求表达</t>
        </is>
      </c>
      <c r="H285" s="121" t="inlineStr">
        <is>
          <t>DV67</t>
        </is>
      </c>
      <c r="I285" s="113" t="inlineStr">
        <is>
          <t>表达需求（Expressing Wants and Needs）</t>
        </is>
      </c>
      <c r="J285" s="119" t="inlineStr">
        <is>
          <t>BL vs Maintenance</t>
        </is>
      </c>
    </row>
    <row r="286" ht="29.85" customHeight="1" s="111">
      <c r="A286" s="121" t="inlineStr">
        <is>
          <t>K453</t>
        </is>
      </c>
      <c r="B286" s="122" t="inlineStr">
        <is>
          <t>056-滚雪球</t>
        </is>
      </c>
      <c r="C286" s="121" t="inlineStr">
        <is>
          <t>Jarvis</t>
        </is>
      </c>
      <c r="D286" s="122" t="inlineStr">
        <is>
          <t>干预</t>
        </is>
      </c>
      <c r="E286" s="127" t="inlineStr">
        <is>
          <t>A3</t>
        </is>
      </c>
      <c r="F286" s="128" t="inlineStr">
        <is>
          <t>人际关系发展</t>
        </is>
      </c>
      <c r="G286" s="128" t="inlineStr">
        <is>
          <t>群体融入</t>
        </is>
      </c>
      <c r="H286" s="121" t="inlineStr">
        <is>
          <t>DV68</t>
        </is>
      </c>
      <c r="I286" s="113" t="inlineStr">
        <is>
          <t>参与（Participate）</t>
        </is>
      </c>
      <c r="J286" s="113" t="inlineStr">
        <is>
          <t>BL vs 紧接基线的第一个干预条件</t>
        </is>
      </c>
    </row>
    <row r="287" ht="15" customHeight="1" s="111">
      <c r="A287" s="121" t="inlineStr">
        <is>
          <t>K454</t>
        </is>
      </c>
      <c r="B287" s="122" t="inlineStr">
        <is>
          <t>056-滚雪球</t>
        </is>
      </c>
      <c r="C287" s="121" t="inlineStr">
        <is>
          <t>P3</t>
        </is>
      </c>
      <c r="D287" s="122" t="inlineStr">
        <is>
          <t>干预</t>
        </is>
      </c>
      <c r="E287" s="123" t="inlineStr">
        <is>
          <t>A1</t>
        </is>
      </c>
      <c r="F287" s="124" t="inlineStr">
        <is>
          <t>社交情感互惠</t>
        </is>
      </c>
      <c r="G287" s="124" t="inlineStr">
        <is>
          <t>社交应答</t>
        </is>
      </c>
      <c r="H287" s="121" t="inlineStr">
        <is>
          <t>DV65</t>
        </is>
      </c>
      <c r="I287" s="113" t="inlineStr">
        <is>
          <t>回答问题（Responding to Questions）</t>
        </is>
      </c>
      <c r="J287" s="113" t="inlineStr">
        <is>
          <t>BL vs 紧接基线的第一个干预条件</t>
        </is>
      </c>
    </row>
    <row r="288" ht="15" customHeight="1" s="111">
      <c r="A288" s="121" t="inlineStr">
        <is>
          <t>K455</t>
        </is>
      </c>
      <c r="B288" s="122" t="inlineStr">
        <is>
          <t>056-滚雪球</t>
        </is>
      </c>
      <c r="C288" s="121" t="inlineStr">
        <is>
          <t>P3</t>
        </is>
      </c>
      <c r="D288" s="122" t="inlineStr">
        <is>
          <t>维持</t>
        </is>
      </c>
      <c r="E288" s="123" t="inlineStr">
        <is>
          <t>A1</t>
        </is>
      </c>
      <c r="F288" s="124" t="inlineStr">
        <is>
          <t>社交情感互惠</t>
        </is>
      </c>
      <c r="G288" s="124" t="inlineStr">
        <is>
          <t>社交应答</t>
        </is>
      </c>
      <c r="H288" s="121" t="inlineStr">
        <is>
          <t>DV65</t>
        </is>
      </c>
      <c r="I288" s="113" t="inlineStr">
        <is>
          <t>回答问题（Responding to Questions）</t>
        </is>
      </c>
      <c r="J288" s="119" t="inlineStr">
        <is>
          <t>BL vs Maintenance</t>
        </is>
      </c>
    </row>
    <row r="289" ht="15" customHeight="1" s="111">
      <c r="A289" s="121" t="inlineStr">
        <is>
          <t>K456</t>
        </is>
      </c>
      <c r="B289" s="122" t="inlineStr">
        <is>
          <t>056-滚雪球</t>
        </is>
      </c>
      <c r="C289" s="121" t="inlineStr">
        <is>
          <t>P3</t>
        </is>
      </c>
      <c r="D289" s="122" t="inlineStr">
        <is>
          <t>干预</t>
        </is>
      </c>
      <c r="E289" s="123" t="inlineStr">
        <is>
          <t>A1</t>
        </is>
      </c>
      <c r="F289" s="124" t="inlineStr">
        <is>
          <t>社交情感互惠</t>
        </is>
      </c>
      <c r="G289" s="124" t="inlineStr">
        <is>
          <t>会话维持</t>
        </is>
      </c>
      <c r="H289" s="121" t="inlineStr">
        <is>
          <t>DV66</t>
        </is>
      </c>
      <c r="I289" s="113" t="inlineStr">
        <is>
          <t>维持交谈（Maintaining a Conversation）</t>
        </is>
      </c>
      <c r="J289" s="113" t="inlineStr">
        <is>
          <t>BL vs 紧接基线的第一个干预条件</t>
        </is>
      </c>
    </row>
    <row r="290" ht="15" customHeight="1" s="111">
      <c r="A290" s="121" t="inlineStr">
        <is>
          <t>K457</t>
        </is>
      </c>
      <c r="B290" s="122" t="inlineStr">
        <is>
          <t>056-滚雪球</t>
        </is>
      </c>
      <c r="C290" s="121" t="inlineStr">
        <is>
          <t>P3</t>
        </is>
      </c>
      <c r="D290" s="122" t="inlineStr">
        <is>
          <t>维持</t>
        </is>
      </c>
      <c r="E290" s="123" t="inlineStr">
        <is>
          <t>A1</t>
        </is>
      </c>
      <c r="F290" s="124" t="inlineStr">
        <is>
          <t>社交情感互惠</t>
        </is>
      </c>
      <c r="G290" s="124" t="inlineStr">
        <is>
          <t>会话维持</t>
        </is>
      </c>
      <c r="H290" s="121" t="inlineStr">
        <is>
          <t>DV66</t>
        </is>
      </c>
      <c r="I290" s="113" t="inlineStr">
        <is>
          <t>维持交谈（Maintaining a Conversation）</t>
        </is>
      </c>
      <c r="J290" s="119" t="inlineStr">
        <is>
          <t>BL vs Maintenance</t>
        </is>
      </c>
    </row>
    <row r="291" ht="29.85" customHeight="1" s="111">
      <c r="A291" s="121" t="inlineStr">
        <is>
          <t>K458</t>
        </is>
      </c>
      <c r="B291" s="122" t="inlineStr">
        <is>
          <t>056-滚雪球</t>
        </is>
      </c>
      <c r="C291" s="121" t="inlineStr">
        <is>
          <t>P3</t>
        </is>
      </c>
      <c r="D291" s="122" t="inlineStr">
        <is>
          <t>干预</t>
        </is>
      </c>
      <c r="E291" s="123" t="inlineStr">
        <is>
          <t>A1</t>
        </is>
      </c>
      <c r="F291" s="124" t="inlineStr">
        <is>
          <t>社交情感互惠</t>
        </is>
      </c>
      <c r="G291" s="124" t="inlineStr">
        <is>
          <t>需求表达</t>
        </is>
      </c>
      <c r="H291" s="121" t="inlineStr">
        <is>
          <t>DV67</t>
        </is>
      </c>
      <c r="I291" s="113" t="inlineStr">
        <is>
          <t>表达需求（Expressing Wants and Needs）</t>
        </is>
      </c>
      <c r="J291" s="113" t="inlineStr">
        <is>
          <t>BL vs 紧接基线的第一个干预条件</t>
        </is>
      </c>
    </row>
    <row r="292" ht="15" customHeight="1" s="111">
      <c r="A292" s="121" t="inlineStr">
        <is>
          <t>K459</t>
        </is>
      </c>
      <c r="B292" s="122" t="inlineStr">
        <is>
          <t>056-滚雪球</t>
        </is>
      </c>
      <c r="C292" s="121" t="inlineStr">
        <is>
          <t>P3</t>
        </is>
      </c>
      <c r="D292" s="122" t="inlineStr">
        <is>
          <t>维持</t>
        </is>
      </c>
      <c r="E292" s="123" t="inlineStr">
        <is>
          <t>A1</t>
        </is>
      </c>
      <c r="F292" s="124" t="inlineStr">
        <is>
          <t>社交情感互惠</t>
        </is>
      </c>
      <c r="G292" s="124" t="inlineStr">
        <is>
          <t>需求表达</t>
        </is>
      </c>
      <c r="H292" s="121" t="inlineStr">
        <is>
          <t>DV67</t>
        </is>
      </c>
      <c r="I292" s="113" t="inlineStr">
        <is>
          <t>表达需求（Expressing Wants and Needs）</t>
        </is>
      </c>
      <c r="J292" s="119" t="inlineStr">
        <is>
          <t>BL vs Maintenance</t>
        </is>
      </c>
    </row>
    <row r="293" ht="15" customHeight="1" s="111">
      <c r="A293" s="121" t="inlineStr">
        <is>
          <t>K460</t>
        </is>
      </c>
      <c r="B293" s="122" t="inlineStr">
        <is>
          <t>056-滚雪球</t>
        </is>
      </c>
      <c r="C293" s="121" t="inlineStr">
        <is>
          <t>P3</t>
        </is>
      </c>
      <c r="D293" s="122" t="inlineStr">
        <is>
          <t>干预</t>
        </is>
      </c>
      <c r="E293" s="127" t="inlineStr">
        <is>
          <t>A3</t>
        </is>
      </c>
      <c r="F293" s="128" t="inlineStr">
        <is>
          <t>人际关系发展</t>
        </is>
      </c>
      <c r="G293" s="128" t="inlineStr">
        <is>
          <t>群体融入</t>
        </is>
      </c>
      <c r="H293" s="121" t="inlineStr">
        <is>
          <t>DV68</t>
        </is>
      </c>
      <c r="I293" s="113" t="inlineStr">
        <is>
          <t>参与（Participate）</t>
        </is>
      </c>
      <c r="J293" s="113" t="inlineStr">
        <is>
          <t>BL vs 紧接基线的第一个干预条件</t>
        </is>
      </c>
    </row>
    <row r="294" ht="15" customHeight="1" s="111">
      <c r="A294" s="121" t="inlineStr">
        <is>
          <t>K461</t>
        </is>
      </c>
      <c r="B294" s="122" t="inlineStr">
        <is>
          <t>056-滚雪球</t>
        </is>
      </c>
      <c r="C294" s="121" t="inlineStr">
        <is>
          <t>Jarrod</t>
        </is>
      </c>
      <c r="D294" s="122" t="inlineStr">
        <is>
          <t>干预</t>
        </is>
      </c>
      <c r="E294" s="123" t="inlineStr">
        <is>
          <t>A1</t>
        </is>
      </c>
      <c r="F294" s="124" t="inlineStr">
        <is>
          <t>社交情感互惠</t>
        </is>
      </c>
      <c r="G294" s="124" t="inlineStr">
        <is>
          <t>社交应答</t>
        </is>
      </c>
      <c r="H294" s="121" t="inlineStr">
        <is>
          <t>DV65</t>
        </is>
      </c>
      <c r="I294" s="113" t="inlineStr">
        <is>
          <t>回答问题（Responding to Questions）</t>
        </is>
      </c>
      <c r="J294" s="113" t="inlineStr">
        <is>
          <t>BL vs 紧接基线的第一个干预条件</t>
        </is>
      </c>
    </row>
    <row r="295" ht="15" customHeight="1" s="111">
      <c r="A295" s="121" t="inlineStr">
        <is>
          <t>K462</t>
        </is>
      </c>
      <c r="B295" s="122" t="inlineStr">
        <is>
          <t>056-滚雪球</t>
        </is>
      </c>
      <c r="C295" s="121" t="inlineStr">
        <is>
          <t>Jarrod</t>
        </is>
      </c>
      <c r="D295" s="122" t="inlineStr">
        <is>
          <t>维持</t>
        </is>
      </c>
      <c r="E295" s="123" t="inlineStr">
        <is>
          <t>A1</t>
        </is>
      </c>
      <c r="F295" s="124" t="inlineStr">
        <is>
          <t>社交情感互惠</t>
        </is>
      </c>
      <c r="G295" s="124" t="inlineStr">
        <is>
          <t>社交应答</t>
        </is>
      </c>
      <c r="H295" s="121" t="inlineStr">
        <is>
          <t>DV65</t>
        </is>
      </c>
      <c r="I295" s="113" t="inlineStr">
        <is>
          <t>回答问题（Responding to Questions）</t>
        </is>
      </c>
      <c r="J295" s="119" t="inlineStr">
        <is>
          <t>BL vs Maintenance</t>
        </is>
      </c>
    </row>
    <row r="296" ht="15" customHeight="1" s="111">
      <c r="A296" s="121" t="inlineStr">
        <is>
          <t>K463</t>
        </is>
      </c>
      <c r="B296" s="122" t="inlineStr">
        <is>
          <t>056-滚雪球</t>
        </is>
      </c>
      <c r="C296" s="121" t="inlineStr">
        <is>
          <t>Jarrod</t>
        </is>
      </c>
      <c r="D296" s="122" t="inlineStr">
        <is>
          <t>干预</t>
        </is>
      </c>
      <c r="E296" s="123" t="inlineStr">
        <is>
          <t>A1</t>
        </is>
      </c>
      <c r="F296" s="124" t="inlineStr">
        <is>
          <t>社交情感互惠</t>
        </is>
      </c>
      <c r="G296" s="124" t="inlineStr">
        <is>
          <t>会话维持</t>
        </is>
      </c>
      <c r="H296" s="121" t="inlineStr">
        <is>
          <t>DV66</t>
        </is>
      </c>
      <c r="I296" s="113" t="inlineStr">
        <is>
          <t>维持交谈（Maintaining a Conversation）</t>
        </is>
      </c>
      <c r="J296" s="113" t="inlineStr">
        <is>
          <t>BL vs 紧接基线的第一个干预条件</t>
        </is>
      </c>
    </row>
    <row r="297" ht="15" customHeight="1" s="111">
      <c r="A297" s="121" t="inlineStr">
        <is>
          <t>K464</t>
        </is>
      </c>
      <c r="B297" s="122" t="inlineStr">
        <is>
          <t>056-滚雪球</t>
        </is>
      </c>
      <c r="C297" s="121" t="inlineStr">
        <is>
          <t>Jarrod</t>
        </is>
      </c>
      <c r="D297" s="122" t="inlineStr">
        <is>
          <t>维持</t>
        </is>
      </c>
      <c r="E297" s="123" t="inlineStr">
        <is>
          <t>A1</t>
        </is>
      </c>
      <c r="F297" s="124" t="inlineStr">
        <is>
          <t>社交情感互惠</t>
        </is>
      </c>
      <c r="G297" s="124" t="inlineStr">
        <is>
          <t>会话维持</t>
        </is>
      </c>
      <c r="H297" s="121" t="inlineStr">
        <is>
          <t>DV66</t>
        </is>
      </c>
      <c r="I297" s="113" t="inlineStr">
        <is>
          <t>维持交谈（Maintaining a Conversation）</t>
        </is>
      </c>
      <c r="J297" s="119" t="inlineStr">
        <is>
          <t>BL vs Maintenance</t>
        </is>
      </c>
    </row>
    <row r="298" ht="15" customHeight="1" s="111">
      <c r="A298" s="121" t="inlineStr">
        <is>
          <t>K465</t>
        </is>
      </c>
      <c r="B298" s="122" t="inlineStr">
        <is>
          <t>056-滚雪球</t>
        </is>
      </c>
      <c r="C298" s="121" t="inlineStr">
        <is>
          <t>Jarrod</t>
        </is>
      </c>
      <c r="D298" s="122" t="inlineStr">
        <is>
          <t>干预</t>
        </is>
      </c>
      <c r="E298" s="123" t="inlineStr">
        <is>
          <t>A1</t>
        </is>
      </c>
      <c r="F298" s="124" t="inlineStr">
        <is>
          <t>社交情感互惠</t>
        </is>
      </c>
      <c r="G298" s="124" t="inlineStr">
        <is>
          <t>需求表达</t>
        </is>
      </c>
      <c r="H298" s="121" t="inlineStr">
        <is>
          <t>DV67</t>
        </is>
      </c>
      <c r="I298" s="113" t="inlineStr">
        <is>
          <t>表达需求（Expressing Wants and Needs）</t>
        </is>
      </c>
      <c r="J298" s="113" t="inlineStr">
        <is>
          <t>BL vs 紧接基线的第一个干预条件</t>
        </is>
      </c>
    </row>
    <row r="299" ht="15" customHeight="1" s="111">
      <c r="A299" s="121" t="inlineStr">
        <is>
          <t>K466</t>
        </is>
      </c>
      <c r="B299" s="122" t="inlineStr">
        <is>
          <t>056-滚雪球</t>
        </is>
      </c>
      <c r="C299" s="121" t="inlineStr">
        <is>
          <t>Jarrod</t>
        </is>
      </c>
      <c r="D299" s="122" t="inlineStr">
        <is>
          <t>维持</t>
        </is>
      </c>
      <c r="E299" s="123" t="inlineStr">
        <is>
          <t>A1</t>
        </is>
      </c>
      <c r="F299" s="124" t="inlineStr">
        <is>
          <t>社交情感互惠</t>
        </is>
      </c>
      <c r="G299" s="124" t="inlineStr">
        <is>
          <t>需求表达</t>
        </is>
      </c>
      <c r="H299" s="121" t="inlineStr">
        <is>
          <t>DV67</t>
        </is>
      </c>
      <c r="I299" s="113" t="inlineStr">
        <is>
          <t>表达需求（Expressing Wants and Needs）</t>
        </is>
      </c>
      <c r="J299" s="119" t="inlineStr">
        <is>
          <t>BL vs Maintenance</t>
        </is>
      </c>
    </row>
    <row r="300" ht="15" customHeight="1" s="111">
      <c r="A300" s="121" t="inlineStr">
        <is>
          <t>K467</t>
        </is>
      </c>
      <c r="B300" s="122" t="inlineStr">
        <is>
          <t>056-滚雪球</t>
        </is>
      </c>
      <c r="C300" s="121" t="inlineStr">
        <is>
          <t>Jarrod</t>
        </is>
      </c>
      <c r="D300" s="122" t="inlineStr">
        <is>
          <t>干预</t>
        </is>
      </c>
      <c r="E300" s="127" t="inlineStr">
        <is>
          <t>A3</t>
        </is>
      </c>
      <c r="F300" s="128" t="inlineStr">
        <is>
          <t>人际关系发展</t>
        </is>
      </c>
      <c r="G300" s="128" t="inlineStr">
        <is>
          <t>群体融入</t>
        </is>
      </c>
      <c r="H300" s="121" t="inlineStr">
        <is>
          <t>DV68</t>
        </is>
      </c>
      <c r="I300" s="113" t="inlineStr">
        <is>
          <t>参与（Participate）</t>
        </is>
      </c>
      <c r="J300" s="113" t="inlineStr">
        <is>
          <t>BL vs 紧接基线的第一个干预条件</t>
        </is>
      </c>
    </row>
    <row r="301" ht="15" customHeight="1" s="111">
      <c r="A301" s="121" t="inlineStr">
        <is>
          <t>K468</t>
        </is>
      </c>
      <c r="B301" s="122" t="inlineStr">
        <is>
          <t>056-滚雪球</t>
        </is>
      </c>
      <c r="C301" s="121" t="inlineStr">
        <is>
          <t>Tony</t>
        </is>
      </c>
      <c r="D301" s="122" t="inlineStr">
        <is>
          <t>干预</t>
        </is>
      </c>
      <c r="E301" s="123" t="inlineStr">
        <is>
          <t>A1</t>
        </is>
      </c>
      <c r="F301" s="124" t="inlineStr">
        <is>
          <t>社交情感互惠</t>
        </is>
      </c>
      <c r="G301" s="124" t="inlineStr">
        <is>
          <t>社交应答</t>
        </is>
      </c>
      <c r="H301" s="121" t="inlineStr">
        <is>
          <t>DV65</t>
        </is>
      </c>
      <c r="I301" s="113" t="inlineStr">
        <is>
          <t>回答问题（Responding to Questions）</t>
        </is>
      </c>
      <c r="J301" s="113" t="inlineStr">
        <is>
          <t>BL vs 紧接基线的第一个干预条件</t>
        </is>
      </c>
    </row>
    <row r="302" ht="15" customHeight="1" s="111">
      <c r="A302" s="121" t="inlineStr">
        <is>
          <t>K469</t>
        </is>
      </c>
      <c r="B302" s="122" t="inlineStr">
        <is>
          <t>056-滚雪球</t>
        </is>
      </c>
      <c r="C302" s="121" t="inlineStr">
        <is>
          <t>Tony</t>
        </is>
      </c>
      <c r="D302" s="122" t="inlineStr">
        <is>
          <t>维持</t>
        </is>
      </c>
      <c r="E302" s="123" t="inlineStr">
        <is>
          <t>A1</t>
        </is>
      </c>
      <c r="F302" s="124" t="inlineStr">
        <is>
          <t>社交情感互惠</t>
        </is>
      </c>
      <c r="G302" s="124" t="inlineStr">
        <is>
          <t>社交应答</t>
        </is>
      </c>
      <c r="H302" s="121" t="inlineStr">
        <is>
          <t>DV65</t>
        </is>
      </c>
      <c r="I302" s="113" t="inlineStr">
        <is>
          <t>回答问题（Responding to Questions）</t>
        </is>
      </c>
      <c r="J302" s="119" t="inlineStr">
        <is>
          <t>BL vs Maintenance</t>
        </is>
      </c>
    </row>
    <row r="303" ht="15" customHeight="1" s="111">
      <c r="A303" s="121" t="inlineStr">
        <is>
          <t>K470</t>
        </is>
      </c>
      <c r="B303" s="122" t="inlineStr">
        <is>
          <t>056-滚雪球</t>
        </is>
      </c>
      <c r="C303" s="121" t="inlineStr">
        <is>
          <t>Tony</t>
        </is>
      </c>
      <c r="D303" s="122" t="inlineStr">
        <is>
          <t>干预</t>
        </is>
      </c>
      <c r="E303" s="123" t="inlineStr">
        <is>
          <t>A1</t>
        </is>
      </c>
      <c r="F303" s="124" t="inlineStr">
        <is>
          <t>社交情感互惠</t>
        </is>
      </c>
      <c r="G303" s="124" t="inlineStr">
        <is>
          <t>会话维持</t>
        </is>
      </c>
      <c r="H303" s="121" t="inlineStr">
        <is>
          <t>DV66</t>
        </is>
      </c>
      <c r="I303" s="113" t="inlineStr">
        <is>
          <t>维持交谈（Maintaining a Conversation）</t>
        </is>
      </c>
      <c r="J303" s="113" t="inlineStr">
        <is>
          <t>BL vs 紧接基线的第一个干预条件</t>
        </is>
      </c>
    </row>
    <row r="304" ht="15" customHeight="1" s="111">
      <c r="A304" s="121" t="inlineStr">
        <is>
          <t>K471</t>
        </is>
      </c>
      <c r="B304" s="122" t="inlineStr">
        <is>
          <t>056-滚雪球</t>
        </is>
      </c>
      <c r="C304" s="121" t="inlineStr">
        <is>
          <t>Tony</t>
        </is>
      </c>
      <c r="D304" s="122" t="inlineStr">
        <is>
          <t>维持</t>
        </is>
      </c>
      <c r="E304" s="123" t="inlineStr">
        <is>
          <t>A1</t>
        </is>
      </c>
      <c r="F304" s="124" t="inlineStr">
        <is>
          <t>社交情感互惠</t>
        </is>
      </c>
      <c r="G304" s="124" t="inlineStr">
        <is>
          <t>会话维持</t>
        </is>
      </c>
      <c r="H304" s="121" t="inlineStr">
        <is>
          <t>DV66</t>
        </is>
      </c>
      <c r="I304" s="113" t="inlineStr">
        <is>
          <t>维持交谈（Maintaining a Conversation）</t>
        </is>
      </c>
      <c r="J304" s="119" t="inlineStr">
        <is>
          <t>BL vs Maintenance</t>
        </is>
      </c>
    </row>
    <row r="305" ht="15" customHeight="1" s="111">
      <c r="A305" s="121" t="inlineStr">
        <is>
          <t>K472</t>
        </is>
      </c>
      <c r="B305" s="122" t="inlineStr">
        <is>
          <t>056-滚雪球</t>
        </is>
      </c>
      <c r="C305" s="121" t="inlineStr">
        <is>
          <t>Tony</t>
        </is>
      </c>
      <c r="D305" s="122" t="inlineStr">
        <is>
          <t>干预</t>
        </is>
      </c>
      <c r="E305" s="123" t="inlineStr">
        <is>
          <t>A1</t>
        </is>
      </c>
      <c r="F305" s="124" t="inlineStr">
        <is>
          <t>社交情感互惠</t>
        </is>
      </c>
      <c r="G305" s="124" t="inlineStr">
        <is>
          <t>需求表达</t>
        </is>
      </c>
      <c r="H305" s="121" t="inlineStr">
        <is>
          <t>DV67</t>
        </is>
      </c>
      <c r="I305" s="113" t="inlineStr">
        <is>
          <t>表达需求（Expressing Wants and Needs）</t>
        </is>
      </c>
      <c r="J305" s="113" t="inlineStr">
        <is>
          <t>BL vs 紧接基线的第一个干预条件</t>
        </is>
      </c>
    </row>
    <row r="306" ht="15" customHeight="1" s="111">
      <c r="A306" s="121" t="inlineStr">
        <is>
          <t>K473</t>
        </is>
      </c>
      <c r="B306" s="122" t="inlineStr">
        <is>
          <t>056-滚雪球</t>
        </is>
      </c>
      <c r="C306" s="121" t="inlineStr">
        <is>
          <t>Tony</t>
        </is>
      </c>
      <c r="D306" s="122" t="inlineStr">
        <is>
          <t>维持</t>
        </is>
      </c>
      <c r="E306" s="123" t="inlineStr">
        <is>
          <t>A1</t>
        </is>
      </c>
      <c r="F306" s="124" t="inlineStr">
        <is>
          <t>社交情感互惠</t>
        </is>
      </c>
      <c r="G306" s="124" t="inlineStr">
        <is>
          <t>需求表达</t>
        </is>
      </c>
      <c r="H306" s="121" t="inlineStr">
        <is>
          <t>DV67</t>
        </is>
      </c>
      <c r="I306" s="113" t="inlineStr">
        <is>
          <t>表达需求（Expressing Wants and Needs）</t>
        </is>
      </c>
      <c r="J306" s="119" t="inlineStr">
        <is>
          <t>BL vs Maintenance</t>
        </is>
      </c>
    </row>
    <row r="307" ht="15" customHeight="1" s="111">
      <c r="A307" s="121" t="inlineStr">
        <is>
          <t>K474</t>
        </is>
      </c>
      <c r="B307" s="122" t="inlineStr">
        <is>
          <t>056-滚雪球</t>
        </is>
      </c>
      <c r="C307" s="121" t="inlineStr">
        <is>
          <t>Tony</t>
        </is>
      </c>
      <c r="D307" s="122" t="inlineStr">
        <is>
          <t>干预</t>
        </is>
      </c>
      <c r="E307" s="127" t="inlineStr">
        <is>
          <t>A3</t>
        </is>
      </c>
      <c r="F307" s="128" t="inlineStr">
        <is>
          <t>人际关系发展</t>
        </is>
      </c>
      <c r="G307" s="128" t="inlineStr">
        <is>
          <t>群体融入</t>
        </is>
      </c>
      <c r="H307" s="121" t="inlineStr">
        <is>
          <t>DV68</t>
        </is>
      </c>
      <c r="I307" s="113" t="inlineStr">
        <is>
          <t>参与（Participate）</t>
        </is>
      </c>
      <c r="J307" s="113" t="inlineStr">
        <is>
          <t>BL vs 紧接基线的第一个干预条件</t>
        </is>
      </c>
    </row>
    <row r="308" ht="15" customHeight="1" s="111">
      <c r="A308" s="121" t="inlineStr">
        <is>
          <t>K477</t>
        </is>
      </c>
      <c r="B308" s="122" t="inlineStr">
        <is>
          <t>057-二次</t>
        </is>
      </c>
      <c r="C308" s="122" t="inlineStr">
        <is>
          <t>Abby（化名）</t>
        </is>
      </c>
      <c r="D308" s="122" t="inlineStr">
        <is>
          <t>干预</t>
        </is>
      </c>
      <c r="E308" s="123" t="inlineStr">
        <is>
          <t>A1</t>
        </is>
      </c>
      <c r="F308" s="124" t="inlineStr">
        <is>
          <t>社交情感互惠</t>
        </is>
      </c>
      <c r="G308" s="124" t="inlineStr">
        <is>
          <t>会话维持</t>
        </is>
      </c>
      <c r="H308" s="121" t="inlineStr">
        <is>
          <t>DV69</t>
        </is>
      </c>
      <c r="I308" s="113" t="inlineStr">
        <is>
          <t>向对话者询问意见</t>
        </is>
      </c>
      <c r="J308" s="113" t="inlineStr">
        <is>
          <t>Baseline vs Intervention（自我管理含视频示范）</t>
        </is>
      </c>
    </row>
    <row r="309" ht="15" customHeight="1" s="111">
      <c r="A309" s="121" t="inlineStr">
        <is>
          <t>K478</t>
        </is>
      </c>
      <c r="B309" s="122" t="inlineStr">
        <is>
          <t>057-二次</t>
        </is>
      </c>
      <c r="C309" s="122" t="inlineStr">
        <is>
          <t>Abby（化名）</t>
        </is>
      </c>
      <c r="D309" s="122" t="inlineStr">
        <is>
          <t>维持</t>
        </is>
      </c>
      <c r="E309" s="123" t="inlineStr">
        <is>
          <t>A1</t>
        </is>
      </c>
      <c r="F309" s="124" t="inlineStr">
        <is>
          <t>社交情感互惠</t>
        </is>
      </c>
      <c r="G309" s="124" t="inlineStr">
        <is>
          <t>会话维持</t>
        </is>
      </c>
      <c r="H309" s="121" t="inlineStr">
        <is>
          <t>DV69</t>
        </is>
      </c>
      <c r="I309" s="113" t="inlineStr">
        <is>
          <t>向对话者询问意见</t>
        </is>
      </c>
      <c r="J309" s="113" t="inlineStr">
        <is>
          <t>Baseline vs Follow-up（1 个月后；Fading 段不用）</t>
        </is>
      </c>
    </row>
    <row r="310" ht="15" customHeight="1" s="111">
      <c r="A310" s="121" t="inlineStr">
        <is>
          <t>K479</t>
        </is>
      </c>
      <c r="B310" s="122" t="inlineStr">
        <is>
          <t>057-二次</t>
        </is>
      </c>
      <c r="C310" s="122" t="inlineStr">
        <is>
          <t>Abby（化名）</t>
        </is>
      </c>
      <c r="D310" s="122" t="inlineStr">
        <is>
          <t>干预</t>
        </is>
      </c>
      <c r="E310" s="127" t="inlineStr">
        <is>
          <t>A3</t>
        </is>
      </c>
      <c r="F310" s="128" t="inlineStr">
        <is>
          <t>人际关系发展</t>
        </is>
      </c>
      <c r="G310" s="128" t="inlineStr">
        <is>
          <t>情境适应</t>
        </is>
      </c>
      <c r="H310" s="121" t="inlineStr">
        <is>
          <t>DV70</t>
        </is>
      </c>
      <c r="I310" s="113" t="inlineStr">
        <is>
          <t>恰当问候陌生成人</t>
        </is>
      </c>
      <c r="J310" s="113" t="inlineStr">
        <is>
          <t>Baseline vs Intervention（自我管理含视频示范）</t>
        </is>
      </c>
    </row>
    <row r="311" ht="15" customHeight="1" s="111">
      <c r="A311" s="121" t="inlineStr">
        <is>
          <t>K480</t>
        </is>
      </c>
      <c r="B311" s="122" t="inlineStr">
        <is>
          <t>057-二次</t>
        </is>
      </c>
      <c r="C311" s="122" t="inlineStr">
        <is>
          <t>Abby（化名）</t>
        </is>
      </c>
      <c r="D311" s="122" t="inlineStr">
        <is>
          <t>维持</t>
        </is>
      </c>
      <c r="E311" s="127" t="inlineStr">
        <is>
          <t>A3</t>
        </is>
      </c>
      <c r="F311" s="128" t="inlineStr">
        <is>
          <t>人际关系发展</t>
        </is>
      </c>
      <c r="G311" s="128" t="inlineStr">
        <is>
          <t>情境适应</t>
        </is>
      </c>
      <c r="H311" s="121" t="inlineStr">
        <is>
          <t>DV70</t>
        </is>
      </c>
      <c r="I311" s="113" t="inlineStr">
        <is>
          <t>恰当问候陌生成人</t>
        </is>
      </c>
      <c r="J311" s="113" t="inlineStr">
        <is>
          <t>Baseline vs Follow-up（1 个月后；Fading 段不用）</t>
        </is>
      </c>
    </row>
    <row r="312" ht="15" customHeight="1" s="111">
      <c r="A312" s="121" t="inlineStr">
        <is>
          <t>K481</t>
        </is>
      </c>
      <c r="B312" s="122" t="inlineStr">
        <is>
          <t>065-二次</t>
        </is>
      </c>
      <c r="C312" s="121" t="inlineStr">
        <is>
          <t>Efe</t>
        </is>
      </c>
      <c r="D312" s="122" t="inlineStr">
        <is>
          <t>干预</t>
        </is>
      </c>
      <c r="E312" s="125" t="inlineStr">
        <is>
          <t>A2</t>
        </is>
      </c>
      <c r="F312" s="126" t="inlineStr">
        <is>
          <t>非言语沟通</t>
        </is>
      </c>
      <c r="G312" s="126" t="inlineStr">
        <is>
          <t>情绪表达</t>
        </is>
      </c>
      <c r="H312" s="121" t="inlineStr">
        <is>
          <t>DV71</t>
        </is>
      </c>
      <c r="I312" s="113" t="inlineStr">
        <is>
          <t>恰当社会回应（高兴/生气情境中的表情、手势、言语）</t>
        </is>
      </c>
      <c r="J312" s="113" t="inlineStr">
        <is>
          <t>Baseline vs Intervention（每日探测）</t>
        </is>
      </c>
    </row>
    <row r="313" ht="15" customHeight="1" s="111">
      <c r="A313" s="121" t="inlineStr">
        <is>
          <t>K482</t>
        </is>
      </c>
      <c r="B313" s="122" t="inlineStr">
        <is>
          <t>065-二次</t>
        </is>
      </c>
      <c r="C313" s="121" t="inlineStr">
        <is>
          <t>Efe</t>
        </is>
      </c>
      <c r="D313" s="122" t="inlineStr">
        <is>
          <t>维持</t>
        </is>
      </c>
      <c r="E313" s="125" t="inlineStr">
        <is>
          <t>A2</t>
        </is>
      </c>
      <c r="F313" s="126" t="inlineStr">
        <is>
          <t>非言语沟通</t>
        </is>
      </c>
      <c r="G313" s="126" t="inlineStr">
        <is>
          <t>情绪表达</t>
        </is>
      </c>
      <c r="H313" s="121" t="inlineStr">
        <is>
          <t>DV71</t>
        </is>
      </c>
      <c r="I313" s="113" t="inlineStr">
        <is>
          <t>恰当社会回应（高兴/生气情境中的表情、手势、言语）</t>
        </is>
      </c>
      <c r="J313" s="113" t="inlineStr">
        <is>
          <t>Baseline vs Maintenance（4 周、6 周、7 个月）</t>
        </is>
      </c>
    </row>
    <row r="314" ht="15" customHeight="1" s="111">
      <c r="A314" s="121" t="inlineStr">
        <is>
          <t>K483</t>
        </is>
      </c>
      <c r="B314" s="122" t="inlineStr">
        <is>
          <t>065-二次</t>
        </is>
      </c>
      <c r="C314" s="121" t="inlineStr">
        <is>
          <t>Uzay</t>
        </is>
      </c>
      <c r="D314" s="122" t="inlineStr">
        <is>
          <t>干预</t>
        </is>
      </c>
      <c r="E314" s="125" t="inlineStr">
        <is>
          <t>A2</t>
        </is>
      </c>
      <c r="F314" s="126" t="inlineStr">
        <is>
          <t>非言语沟通</t>
        </is>
      </c>
      <c r="G314" s="126" t="inlineStr">
        <is>
          <t>情绪表达</t>
        </is>
      </c>
      <c r="H314" s="121" t="inlineStr">
        <is>
          <t>DV71</t>
        </is>
      </c>
      <c r="I314" s="113" t="inlineStr">
        <is>
          <t>恰当社会回应（高兴/生气情境中的表情、手势、言语）</t>
        </is>
      </c>
      <c r="J314" s="113" t="inlineStr">
        <is>
          <t>Baseline vs Intervention（每日探测）</t>
        </is>
      </c>
    </row>
    <row r="315" ht="15" customHeight="1" s="111">
      <c r="A315" s="121" t="inlineStr">
        <is>
          <t>K484</t>
        </is>
      </c>
      <c r="B315" s="122" t="inlineStr">
        <is>
          <t>065-二次</t>
        </is>
      </c>
      <c r="C315" s="121" t="inlineStr">
        <is>
          <t>Uzay</t>
        </is>
      </c>
      <c r="D315" s="122" t="inlineStr">
        <is>
          <t>维持</t>
        </is>
      </c>
      <c r="E315" s="125" t="inlineStr">
        <is>
          <t>A2</t>
        </is>
      </c>
      <c r="F315" s="126" t="inlineStr">
        <is>
          <t>非言语沟通</t>
        </is>
      </c>
      <c r="G315" s="126" t="inlineStr">
        <is>
          <t>情绪表达</t>
        </is>
      </c>
      <c r="H315" s="121" t="inlineStr">
        <is>
          <t>DV71</t>
        </is>
      </c>
      <c r="I315" s="113" t="inlineStr">
        <is>
          <t>恰当社会回应（高兴/生气情境中的表情、手势、言语）</t>
        </is>
      </c>
      <c r="J315" s="113" t="inlineStr">
        <is>
          <t>Baseline vs Maintenance（4 周、6 周、7 个月）</t>
        </is>
      </c>
    </row>
    <row r="316" ht="15" customHeight="1" s="111">
      <c r="A316" s="121" t="inlineStr">
        <is>
          <t>K485</t>
        </is>
      </c>
      <c r="B316" s="122" t="inlineStr">
        <is>
          <t>065-二次</t>
        </is>
      </c>
      <c r="C316" s="121" t="inlineStr">
        <is>
          <t>Eren</t>
        </is>
      </c>
      <c r="D316" s="122" t="inlineStr">
        <is>
          <t>干预</t>
        </is>
      </c>
      <c r="E316" s="125" t="inlineStr">
        <is>
          <t>A2</t>
        </is>
      </c>
      <c r="F316" s="126" t="inlineStr">
        <is>
          <t>非言语沟通</t>
        </is>
      </c>
      <c r="G316" s="126" t="inlineStr">
        <is>
          <t>情绪表达</t>
        </is>
      </c>
      <c r="H316" s="121" t="inlineStr">
        <is>
          <t>DV71</t>
        </is>
      </c>
      <c r="I316" s="113" t="inlineStr">
        <is>
          <t>恰当社会回应（高兴/生气情境中的表情、手势、言语）</t>
        </is>
      </c>
      <c r="J316" s="113" t="inlineStr">
        <is>
          <t>Baseline vs Intervention（每日探测）</t>
        </is>
      </c>
    </row>
    <row r="317" ht="15" customHeight="1" s="111">
      <c r="A317" s="121" t="inlineStr">
        <is>
          <t>K486</t>
        </is>
      </c>
      <c r="B317" s="122" t="inlineStr">
        <is>
          <t>065-二次</t>
        </is>
      </c>
      <c r="C317" s="121" t="inlineStr">
        <is>
          <t>Eren</t>
        </is>
      </c>
      <c r="D317" s="122" t="inlineStr">
        <is>
          <t>维持</t>
        </is>
      </c>
      <c r="E317" s="125" t="inlineStr">
        <is>
          <t>A2</t>
        </is>
      </c>
      <c r="F317" s="126" t="inlineStr">
        <is>
          <t>非言语沟通</t>
        </is>
      </c>
      <c r="G317" s="126" t="inlineStr">
        <is>
          <t>情绪表达</t>
        </is>
      </c>
      <c r="H317" s="121" t="inlineStr">
        <is>
          <t>DV71</t>
        </is>
      </c>
      <c r="I317" s="113" t="inlineStr">
        <is>
          <t>恰当社会回应（高兴/生气情境中的表情、手势、言语）</t>
        </is>
      </c>
      <c r="J317" s="113" t="inlineStr">
        <is>
          <t>Baseline vs Maintenance（4 周、6 周、7 个月）</t>
        </is>
      </c>
    </row>
    <row r="318" ht="15" customHeight="1" s="111">
      <c r="A318" s="121" t="inlineStr">
        <is>
          <t>K487</t>
        </is>
      </c>
      <c r="B318" s="122" t="inlineStr">
        <is>
          <t>066-二次</t>
        </is>
      </c>
      <c r="C318" s="122" t="inlineStr">
        <is>
          <t>小A</t>
        </is>
      </c>
      <c r="D318" s="122" t="inlineStr">
        <is>
          <t>干预</t>
        </is>
      </c>
      <c r="E318" s="125" t="inlineStr">
        <is>
          <t>A1</t>
        </is>
      </c>
      <c r="F318" s="126" t="inlineStr">
        <is>
          <t>社交情感互惠</t>
        </is>
      </c>
      <c r="G318" s="126" t="inlineStr">
        <is>
          <t>需求表达</t>
        </is>
      </c>
      <c r="H318" s="121" t="inlineStr">
        <is>
          <t>DV72</t>
        </is>
      </c>
      <c r="I318" s="113" t="inlineStr">
        <is>
          <t>主动沟通行为（口语＋非口语）</t>
        </is>
      </c>
      <c r="J318" s="113" t="inlineStr">
        <is>
          <t>基线期 vs PECS 第一至第四阶段合并（每阶段都有对应视频）</t>
        </is>
      </c>
    </row>
    <row r="319" ht="15" customHeight="1" s="111">
      <c r="A319" s="121" t="inlineStr">
        <is>
          <t>K488</t>
        </is>
      </c>
      <c r="B319" s="122" t="inlineStr">
        <is>
          <t>066-二次</t>
        </is>
      </c>
      <c r="C319" s="122" t="inlineStr">
        <is>
          <t>小A</t>
        </is>
      </c>
      <c r="D319" s="122" t="inlineStr">
        <is>
          <t>维持</t>
        </is>
      </c>
      <c r="E319" s="125" t="inlineStr">
        <is>
          <t>A1</t>
        </is>
      </c>
      <c r="F319" s="126" t="inlineStr">
        <is>
          <t>社交情感互惠</t>
        </is>
      </c>
      <c r="G319" s="126" t="inlineStr">
        <is>
          <t>需求表达</t>
        </is>
      </c>
      <c r="H319" s="121" t="inlineStr">
        <is>
          <t>DV72</t>
        </is>
      </c>
      <c r="I319" s="113" t="inlineStr">
        <is>
          <t>主动沟通行为（口语＋非口语）</t>
        </is>
      </c>
      <c r="J319" s="113" t="inlineStr">
        <is>
          <t>基线期 vs 维持期（每周一次）</t>
        </is>
      </c>
    </row>
    <row r="320" ht="15" customHeight="1" s="111">
      <c r="A320" s="121" t="inlineStr">
        <is>
          <t>K489</t>
        </is>
      </c>
      <c r="B320" s="122" t="inlineStr">
        <is>
          <t>066-二次</t>
        </is>
      </c>
      <c r="C320" s="122" t="inlineStr">
        <is>
          <t>小B</t>
        </is>
      </c>
      <c r="D320" s="122" t="inlineStr">
        <is>
          <t>干预</t>
        </is>
      </c>
      <c r="E320" s="125" t="inlineStr">
        <is>
          <t>A1</t>
        </is>
      </c>
      <c r="F320" s="126" t="inlineStr">
        <is>
          <t>社交情感互惠</t>
        </is>
      </c>
      <c r="G320" s="126" t="inlineStr">
        <is>
          <t>需求表达</t>
        </is>
      </c>
      <c r="H320" s="121" t="inlineStr">
        <is>
          <t>DV72</t>
        </is>
      </c>
      <c r="I320" s="113" t="inlineStr">
        <is>
          <t>主动沟通行为（口语＋非口语）</t>
        </is>
      </c>
      <c r="J320" s="113" t="inlineStr">
        <is>
          <t>基线期 vs PECS 第一至第四阶段合并（每阶段都有对应视频）</t>
        </is>
      </c>
    </row>
    <row r="321" ht="15" customHeight="1" s="111">
      <c r="A321" s="121" t="inlineStr">
        <is>
          <t>K490</t>
        </is>
      </c>
      <c r="B321" s="122" t="inlineStr">
        <is>
          <t>066-二次</t>
        </is>
      </c>
      <c r="C321" s="122" t="inlineStr">
        <is>
          <t>小B</t>
        </is>
      </c>
      <c r="D321" s="122" t="inlineStr">
        <is>
          <t>维持</t>
        </is>
      </c>
      <c r="E321" s="125" t="inlineStr">
        <is>
          <t>A1</t>
        </is>
      </c>
      <c r="F321" s="126" t="inlineStr">
        <is>
          <t>社交情感互惠</t>
        </is>
      </c>
      <c r="G321" s="126" t="inlineStr">
        <is>
          <t>需求表达</t>
        </is>
      </c>
      <c r="H321" s="121" t="inlineStr">
        <is>
          <t>DV72</t>
        </is>
      </c>
      <c r="I321" s="113" t="inlineStr">
        <is>
          <t>主动沟通行为（口语＋非口语）</t>
        </is>
      </c>
      <c r="J321" s="113" t="inlineStr">
        <is>
          <t>基线期 vs 维持期（每周一次）</t>
        </is>
      </c>
    </row>
    <row r="322" ht="15" customHeight="1" s="111">
      <c r="A322" s="121" t="inlineStr">
        <is>
          <t>K491</t>
        </is>
      </c>
      <c r="B322" s="122" t="inlineStr">
        <is>
          <t>066-二次</t>
        </is>
      </c>
      <c r="C322" s="122" t="inlineStr">
        <is>
          <t>小C</t>
        </is>
      </c>
      <c r="D322" s="122" t="inlineStr">
        <is>
          <t>干预</t>
        </is>
      </c>
      <c r="E322" s="125" t="inlineStr">
        <is>
          <t>A1</t>
        </is>
      </c>
      <c r="F322" s="126" t="inlineStr">
        <is>
          <t>社交情感互惠</t>
        </is>
      </c>
      <c r="G322" s="126" t="inlineStr">
        <is>
          <t>需求表达</t>
        </is>
      </c>
      <c r="H322" s="121" t="inlineStr">
        <is>
          <t>DV72</t>
        </is>
      </c>
      <c r="I322" s="113" t="inlineStr">
        <is>
          <t>主动沟通行为（口语＋非口语）</t>
        </is>
      </c>
      <c r="J322" s="113" t="inlineStr">
        <is>
          <t>基线期 vs PECS 第一至第四阶段合并（每阶段都有对应视频）</t>
        </is>
      </c>
    </row>
    <row r="323" ht="15" customHeight="1" s="111">
      <c r="A323" s="121" t="inlineStr">
        <is>
          <t>K492</t>
        </is>
      </c>
      <c r="B323" s="122" t="inlineStr">
        <is>
          <t>066-二次</t>
        </is>
      </c>
      <c r="C323" s="122" t="inlineStr">
        <is>
          <t>小C</t>
        </is>
      </c>
      <c r="D323" s="122" t="inlineStr">
        <is>
          <t>维持</t>
        </is>
      </c>
      <c r="E323" s="125" t="inlineStr">
        <is>
          <t>A1</t>
        </is>
      </c>
      <c r="F323" s="126" t="inlineStr">
        <is>
          <t>社交情感互惠</t>
        </is>
      </c>
      <c r="G323" s="126" t="inlineStr">
        <is>
          <t>需求表达</t>
        </is>
      </c>
      <c r="H323" s="121" t="inlineStr">
        <is>
          <t>DV72</t>
        </is>
      </c>
      <c r="I323" s="113" t="inlineStr">
        <is>
          <t>主动沟通行为（口语＋非口语）</t>
        </is>
      </c>
      <c r="J323" s="113" t="inlineStr">
        <is>
          <t>基线期 vs 维持期（每周一次）</t>
        </is>
      </c>
    </row>
    <row r="324" ht="15" customHeight="1" s="111">
      <c r="A324" s="121" t="inlineStr">
        <is>
          <t>K499</t>
        </is>
      </c>
      <c r="B324" s="122" t="inlineStr">
        <is>
          <t>069-滚雪球</t>
        </is>
      </c>
      <c r="C324" s="121" t="inlineStr">
        <is>
          <t>Delia</t>
        </is>
      </c>
      <c r="D324" s="122" t="inlineStr">
        <is>
          <t>干预</t>
        </is>
      </c>
      <c r="E324" s="123" t="inlineStr">
        <is>
          <t>A1</t>
        </is>
      </c>
      <c r="F324" s="124" t="inlineStr">
        <is>
          <t>社交情感互惠</t>
        </is>
      </c>
      <c r="G324" s="124" t="inlineStr">
        <is>
          <t>会话维持</t>
        </is>
      </c>
      <c r="H324" s="121" t="inlineStr">
        <is>
          <t>DV73</t>
        </is>
      </c>
      <c r="I324" s="113" t="inlineStr">
        <is>
          <t>相关言语句子</t>
        </is>
      </c>
      <c r="J324" s="113" t="inlineStr">
        <is>
          <t>该情境自然课堂基线 vs 该情境电脑训练开始后的自然课堂</t>
        </is>
      </c>
    </row>
    <row r="325" ht="15" customHeight="1" s="111">
      <c r="A325" s="121" t="inlineStr">
        <is>
          <t>K500</t>
        </is>
      </c>
      <c r="B325" s="122" t="inlineStr">
        <is>
          <t>069-滚雪球</t>
        </is>
      </c>
      <c r="C325" s="121" t="inlineStr">
        <is>
          <t>Delia</t>
        </is>
      </c>
      <c r="D325" s="122" t="inlineStr">
        <is>
          <t>干预</t>
        </is>
      </c>
      <c r="E325" s="123" t="inlineStr">
        <is>
          <t>A1</t>
        </is>
      </c>
      <c r="F325" s="124" t="inlineStr">
        <is>
          <t>社交情感互惠</t>
        </is>
      </c>
      <c r="G325" s="124" t="inlineStr">
        <is>
          <t>会话维持</t>
        </is>
      </c>
      <c r="H325" s="121" t="inlineStr">
        <is>
          <t>DV73</t>
        </is>
      </c>
      <c r="I325" s="113" t="inlineStr">
        <is>
          <t>相关言语句子</t>
        </is>
      </c>
      <c r="J325" s="113" t="inlineStr">
        <is>
          <t>该情境自然课堂基线 vs 该情境电脑训练开始后的自然课堂</t>
        </is>
      </c>
    </row>
    <row r="326" ht="15" customHeight="1" s="111">
      <c r="A326" s="121" t="inlineStr">
        <is>
          <t>K501</t>
        </is>
      </c>
      <c r="B326" s="122" t="inlineStr">
        <is>
          <t>069-滚雪球</t>
        </is>
      </c>
      <c r="C326" s="121" t="inlineStr">
        <is>
          <t>Delia</t>
        </is>
      </c>
      <c r="D326" s="122" t="inlineStr">
        <is>
          <t>干预</t>
        </is>
      </c>
      <c r="E326" s="123" t="inlineStr">
        <is>
          <t>A1</t>
        </is>
      </c>
      <c r="F326" s="124" t="inlineStr">
        <is>
          <t>社交情感互惠</t>
        </is>
      </c>
      <c r="G326" s="124" t="inlineStr">
        <is>
          <t>会话维持</t>
        </is>
      </c>
      <c r="H326" s="121" t="inlineStr">
        <is>
          <t>DV73</t>
        </is>
      </c>
      <c r="I326" s="113" t="inlineStr">
        <is>
          <t>相关言语句子</t>
        </is>
      </c>
      <c r="J326" s="113" t="inlineStr">
        <is>
          <t>该情境自然课堂基线 vs 该情境电脑训练开始后的自然课堂</t>
        </is>
      </c>
    </row>
    <row r="327" ht="15" customHeight="1" s="111">
      <c r="A327" s="121" t="inlineStr">
        <is>
          <t>K502</t>
        </is>
      </c>
      <c r="B327" s="122" t="inlineStr">
        <is>
          <t>069-滚雪球</t>
        </is>
      </c>
      <c r="C327" s="121" t="inlineStr">
        <is>
          <t>Tom</t>
        </is>
      </c>
      <c r="D327" s="122" t="inlineStr">
        <is>
          <t>干预</t>
        </is>
      </c>
      <c r="E327" s="123" t="inlineStr">
        <is>
          <t>A1</t>
        </is>
      </c>
      <c r="F327" s="124" t="inlineStr">
        <is>
          <t>社交情感互惠</t>
        </is>
      </c>
      <c r="G327" s="124" t="inlineStr">
        <is>
          <t>会话维持</t>
        </is>
      </c>
      <c r="H327" s="121" t="inlineStr">
        <is>
          <t>DV73</t>
        </is>
      </c>
      <c r="I327" s="113" t="inlineStr">
        <is>
          <t>相关言语句子</t>
        </is>
      </c>
      <c r="J327" s="113" t="inlineStr">
        <is>
          <t>该情境自然课堂基线 vs 该情境电脑训练开始后的自然课堂</t>
        </is>
      </c>
    </row>
    <row r="328" ht="15" customHeight="1" s="111">
      <c r="A328" s="121" t="inlineStr">
        <is>
          <t>K503</t>
        </is>
      </c>
      <c r="B328" s="122" t="inlineStr">
        <is>
          <t>069-滚雪球</t>
        </is>
      </c>
      <c r="C328" s="121" t="inlineStr">
        <is>
          <t>Tom</t>
        </is>
      </c>
      <c r="D328" s="122" t="inlineStr">
        <is>
          <t>干预</t>
        </is>
      </c>
      <c r="E328" s="123" t="inlineStr">
        <is>
          <t>A1</t>
        </is>
      </c>
      <c r="F328" s="124" t="inlineStr">
        <is>
          <t>社交情感互惠</t>
        </is>
      </c>
      <c r="G328" s="124" t="inlineStr">
        <is>
          <t>会话维持</t>
        </is>
      </c>
      <c r="H328" s="121" t="inlineStr">
        <is>
          <t>DV73</t>
        </is>
      </c>
      <c r="I328" s="113" t="inlineStr">
        <is>
          <t>相关言语句子</t>
        </is>
      </c>
      <c r="J328" s="113" t="inlineStr">
        <is>
          <t>该情境自然课堂基线 vs 该情境电脑训练开始后的自然课堂</t>
        </is>
      </c>
    </row>
    <row r="329" ht="15" customHeight="1" s="111">
      <c r="A329" s="121" t="inlineStr">
        <is>
          <t>K504</t>
        </is>
      </c>
      <c r="B329" s="122" t="inlineStr">
        <is>
          <t>069-滚雪球</t>
        </is>
      </c>
      <c r="C329" s="121" t="inlineStr">
        <is>
          <t>Tom</t>
        </is>
      </c>
      <c r="D329" s="122" t="inlineStr">
        <is>
          <t>干预</t>
        </is>
      </c>
      <c r="E329" s="123" t="inlineStr">
        <is>
          <t>A1</t>
        </is>
      </c>
      <c r="F329" s="124" t="inlineStr">
        <is>
          <t>社交情感互惠</t>
        </is>
      </c>
      <c r="G329" s="124" t="inlineStr">
        <is>
          <t>会话维持</t>
        </is>
      </c>
      <c r="H329" s="121" t="inlineStr">
        <is>
          <t>DV73</t>
        </is>
      </c>
      <c r="I329" s="113" t="inlineStr">
        <is>
          <t>相关言语句子</t>
        </is>
      </c>
      <c r="J329" s="113" t="inlineStr">
        <is>
          <t>该情境自然课堂基线 vs 该情境电脑训练开始后的自然课堂</t>
        </is>
      </c>
    </row>
    <row r="330" ht="15" customHeight="1" s="111">
      <c r="A330" s="121" t="inlineStr">
        <is>
          <t>K505</t>
        </is>
      </c>
      <c r="B330" s="122" t="inlineStr">
        <is>
          <t>069-滚雪球</t>
        </is>
      </c>
      <c r="C330" s="121" t="inlineStr">
        <is>
          <t>Sid</t>
        </is>
      </c>
      <c r="D330" s="122" t="inlineStr">
        <is>
          <t>干预</t>
        </is>
      </c>
      <c r="E330" s="123" t="inlineStr">
        <is>
          <t>A1</t>
        </is>
      </c>
      <c r="F330" s="124" t="inlineStr">
        <is>
          <t>社交情感互惠</t>
        </is>
      </c>
      <c r="G330" s="124" t="inlineStr">
        <is>
          <t>社交发起</t>
        </is>
      </c>
      <c r="H330" s="121" t="inlineStr">
        <is>
          <t>DV74</t>
        </is>
      </c>
      <c r="I330" s="113" t="inlineStr">
        <is>
          <t>沟通发起</t>
        </is>
      </c>
      <c r="J330" s="113" t="inlineStr">
        <is>
          <t>该情境自然课堂基线 vs 该情境电脑训练开始后的自然课堂</t>
        </is>
      </c>
    </row>
    <row r="331" ht="15" customHeight="1" s="111">
      <c r="A331" s="121" t="inlineStr">
        <is>
          <t>K506</t>
        </is>
      </c>
      <c r="B331" s="122" t="inlineStr">
        <is>
          <t>069-滚雪球</t>
        </is>
      </c>
      <c r="C331" s="121" t="inlineStr">
        <is>
          <t>Sid</t>
        </is>
      </c>
      <c r="D331" s="122" t="inlineStr">
        <is>
          <t>干预</t>
        </is>
      </c>
      <c r="E331" s="123" t="inlineStr">
        <is>
          <t>A1</t>
        </is>
      </c>
      <c r="F331" s="124" t="inlineStr">
        <is>
          <t>社交情感互惠</t>
        </is>
      </c>
      <c r="G331" s="124" t="inlineStr">
        <is>
          <t>社交发起</t>
        </is>
      </c>
      <c r="H331" s="121" t="inlineStr">
        <is>
          <t>DV74</t>
        </is>
      </c>
      <c r="I331" s="113" t="inlineStr">
        <is>
          <t>沟通发起</t>
        </is>
      </c>
      <c r="J331" s="113" t="inlineStr">
        <is>
          <t>该情境自然课堂基线 vs 该情境电脑训练开始后的自然课堂</t>
        </is>
      </c>
    </row>
    <row r="332" ht="15" customHeight="1" s="111">
      <c r="A332" s="121" t="inlineStr">
        <is>
          <t>K507</t>
        </is>
      </c>
      <c r="B332" s="122" t="inlineStr">
        <is>
          <t>069-滚雪球</t>
        </is>
      </c>
      <c r="C332" s="121" t="inlineStr">
        <is>
          <t>Sid</t>
        </is>
      </c>
      <c r="D332" s="122" t="inlineStr">
        <is>
          <t>干预</t>
        </is>
      </c>
      <c r="E332" s="123" t="inlineStr">
        <is>
          <t>A1</t>
        </is>
      </c>
      <c r="F332" s="124" t="inlineStr">
        <is>
          <t>社交情感互惠</t>
        </is>
      </c>
      <c r="G332" s="124" t="inlineStr">
        <is>
          <t>社交发起</t>
        </is>
      </c>
      <c r="H332" s="121" t="inlineStr">
        <is>
          <t>DV74</t>
        </is>
      </c>
      <c r="I332" s="113" t="inlineStr">
        <is>
          <t>沟通发起</t>
        </is>
      </c>
      <c r="J332" s="113" t="inlineStr">
        <is>
          <t>该情境自然课堂基线 vs 该情境电脑训练开始后的自然课堂</t>
        </is>
      </c>
    </row>
    <row r="333" ht="15" customHeight="1" s="111">
      <c r="A333" s="121" t="inlineStr">
        <is>
          <t>K508</t>
        </is>
      </c>
      <c r="B333" s="122" t="inlineStr">
        <is>
          <t>080-二次</t>
        </is>
      </c>
      <c r="C333" s="121" t="inlineStr">
        <is>
          <t>Samuel</t>
        </is>
      </c>
      <c r="D333" s="122" t="inlineStr">
        <is>
          <t>干预</t>
        </is>
      </c>
      <c r="E333" s="123" t="inlineStr">
        <is>
          <t>A1</t>
        </is>
      </c>
      <c r="F333" s="124" t="inlineStr">
        <is>
          <t>社交情感互惠</t>
        </is>
      </c>
      <c r="G333" s="124" t="inlineStr">
        <is>
          <t>社交发起</t>
        </is>
      </c>
      <c r="H333" s="121" t="inlineStr">
        <is>
          <t>DV75</t>
        </is>
      </c>
      <c r="I333" s="113" t="inlineStr">
        <is>
          <t>自主问候</t>
        </is>
      </c>
      <c r="J333" s="113" t="inlineStr">
        <is>
          <t>两段基线合并 vs Intervention</t>
        </is>
      </c>
    </row>
    <row r="334" ht="15" customHeight="1" s="111">
      <c r="A334" s="121" t="inlineStr">
        <is>
          <t>K509</t>
        </is>
      </c>
      <c r="B334" s="122" t="inlineStr">
        <is>
          <t>080-二次</t>
        </is>
      </c>
      <c r="C334" s="121" t="inlineStr">
        <is>
          <t>Samuel</t>
        </is>
      </c>
      <c r="D334" s="122" t="inlineStr">
        <is>
          <t>维持</t>
        </is>
      </c>
      <c r="E334" s="123" t="inlineStr">
        <is>
          <t>A1</t>
        </is>
      </c>
      <c r="F334" s="124" t="inlineStr">
        <is>
          <t>社交情感互惠</t>
        </is>
      </c>
      <c r="G334" s="124" t="inlineStr">
        <is>
          <t>社交发起</t>
        </is>
      </c>
      <c r="H334" s="121" t="inlineStr">
        <is>
          <t>DV75</t>
        </is>
      </c>
      <c r="I334" s="113" t="inlineStr">
        <is>
          <t>自主问候</t>
        </is>
      </c>
      <c r="J334" s="113" t="inlineStr">
        <is>
          <t>两段基线合并 vs Follow Up（图标 Generalization）</t>
        </is>
      </c>
    </row>
    <row r="335" ht="15" customHeight="1" s="111">
      <c r="A335" s="121" t="inlineStr">
        <is>
          <t>K510</t>
        </is>
      </c>
      <c r="B335" s="122" t="inlineStr">
        <is>
          <t>080-二次</t>
        </is>
      </c>
      <c r="C335" s="121" t="inlineStr">
        <is>
          <t>Katarina</t>
        </is>
      </c>
      <c r="D335" s="122" t="inlineStr">
        <is>
          <t>干预</t>
        </is>
      </c>
      <c r="E335" s="123" t="inlineStr">
        <is>
          <t>A1</t>
        </is>
      </c>
      <c r="F335" s="124" t="inlineStr">
        <is>
          <t>社交情感互惠</t>
        </is>
      </c>
      <c r="G335" s="124" t="inlineStr">
        <is>
          <t>社交发起</t>
        </is>
      </c>
      <c r="H335" s="121" t="inlineStr">
        <is>
          <t>DV75</t>
        </is>
      </c>
      <c r="I335" s="113" t="inlineStr">
        <is>
          <t>自主问候</t>
        </is>
      </c>
      <c r="J335" s="113" t="inlineStr">
        <is>
          <t>两段基线合并 vs Intervention</t>
        </is>
      </c>
    </row>
    <row r="336" ht="15" customHeight="1" s="111">
      <c r="A336" s="121" t="inlineStr">
        <is>
          <t>K511</t>
        </is>
      </c>
      <c r="B336" s="122" t="inlineStr">
        <is>
          <t>080-二次</t>
        </is>
      </c>
      <c r="C336" s="121" t="inlineStr">
        <is>
          <t>Katarina</t>
        </is>
      </c>
      <c r="D336" s="122" t="inlineStr">
        <is>
          <t>维持</t>
        </is>
      </c>
      <c r="E336" s="123" t="inlineStr">
        <is>
          <t>A1</t>
        </is>
      </c>
      <c r="F336" s="124" t="inlineStr">
        <is>
          <t>社交情感互惠</t>
        </is>
      </c>
      <c r="G336" s="124" t="inlineStr">
        <is>
          <t>社交发起</t>
        </is>
      </c>
      <c r="H336" s="121" t="inlineStr">
        <is>
          <t>DV75</t>
        </is>
      </c>
      <c r="I336" s="113" t="inlineStr">
        <is>
          <t>自主问候</t>
        </is>
      </c>
      <c r="J336" s="113" t="inlineStr">
        <is>
          <t>两段基线合并 vs Follow Up（图标 Generalization）</t>
        </is>
      </c>
    </row>
    <row r="337" ht="15" customHeight="1" s="111">
      <c r="A337" s="121" t="inlineStr">
        <is>
          <t>K512</t>
        </is>
      </c>
      <c r="B337" s="122" t="inlineStr">
        <is>
          <t>102-滚雪球</t>
        </is>
      </c>
      <c r="C337" s="121" t="inlineStr">
        <is>
          <t>Isaiah</t>
        </is>
      </c>
      <c r="D337" s="122" t="inlineStr">
        <is>
          <t>干预</t>
        </is>
      </c>
      <c r="E337" s="127" t="inlineStr">
        <is>
          <t>A3</t>
        </is>
      </c>
      <c r="F337" s="128" t="inlineStr">
        <is>
          <t>人际关系发展</t>
        </is>
      </c>
      <c r="G337" s="128" t="inlineStr">
        <is>
          <t>亲社会行为</t>
        </is>
      </c>
      <c r="H337" s="121" t="inlineStr">
        <is>
          <t>DV76</t>
        </is>
      </c>
      <c r="I337" s="113" t="inlineStr">
        <is>
          <t>分享材料</t>
        </is>
      </c>
      <c r="J337" s="113" t="inlineStr">
        <is>
          <t>Baseline vs 电脑嵌入视频教学期</t>
        </is>
      </c>
    </row>
    <row r="338" ht="15" customHeight="1" s="111">
      <c r="A338" s="121" t="inlineStr">
        <is>
          <t>K513</t>
        </is>
      </c>
      <c r="B338" s="122" t="inlineStr">
        <is>
          <t>102-滚雪球</t>
        </is>
      </c>
      <c r="C338" s="121" t="inlineStr">
        <is>
          <t>Isaiah</t>
        </is>
      </c>
      <c r="D338" s="122" t="inlineStr">
        <is>
          <t>干预</t>
        </is>
      </c>
      <c r="E338" s="123" t="inlineStr">
        <is>
          <t>A1</t>
        </is>
      </c>
      <c r="F338" s="124" t="inlineStr">
        <is>
          <t>社交情感互惠</t>
        </is>
      </c>
      <c r="G338" s="124" t="inlineStr">
        <is>
          <t>社交发起</t>
        </is>
      </c>
      <c r="H338" s="121" t="inlineStr">
        <is>
          <t>DV77</t>
        </is>
      </c>
      <c r="I338" s="113" t="inlineStr">
        <is>
          <t>问候他人</t>
        </is>
      </c>
      <c r="J338" s="113" t="inlineStr">
        <is>
          <t>Baseline vs 电脑嵌入视频教学期</t>
        </is>
      </c>
    </row>
    <row r="339" ht="15" customHeight="1" s="111">
      <c r="A339" s="121" t="inlineStr">
        <is>
          <t>K514</t>
        </is>
      </c>
      <c r="B339" s="122" t="inlineStr">
        <is>
          <t>102-滚雪球</t>
        </is>
      </c>
      <c r="C339" s="121" t="inlineStr">
        <is>
          <t>Hannah</t>
        </is>
      </c>
      <c r="D339" s="122" t="inlineStr">
        <is>
          <t>干预</t>
        </is>
      </c>
      <c r="E339" s="127" t="inlineStr">
        <is>
          <t>A3</t>
        </is>
      </c>
      <c r="F339" s="128" t="inlineStr">
        <is>
          <t>人际关系发展</t>
        </is>
      </c>
      <c r="G339" s="128" t="inlineStr">
        <is>
          <t>亲社会行为</t>
        </is>
      </c>
      <c r="H339" s="121" t="inlineStr">
        <is>
          <t>DV76</t>
        </is>
      </c>
      <c r="I339" s="113" t="inlineStr">
        <is>
          <t>分享材料</t>
        </is>
      </c>
      <c r="J339" s="113" t="inlineStr">
        <is>
          <t>Baseline vs 电脑嵌入视频教学期</t>
        </is>
      </c>
    </row>
    <row r="340" ht="15" customHeight="1" s="111">
      <c r="A340" s="121" t="inlineStr">
        <is>
          <t>K515</t>
        </is>
      </c>
      <c r="B340" s="122" t="inlineStr">
        <is>
          <t>102-滚雪球</t>
        </is>
      </c>
      <c r="C340" s="121" t="inlineStr">
        <is>
          <t>Hannah</t>
        </is>
      </c>
      <c r="D340" s="122" t="inlineStr">
        <is>
          <t>干预</t>
        </is>
      </c>
      <c r="E340" s="123" t="inlineStr">
        <is>
          <t>A1</t>
        </is>
      </c>
      <c r="F340" s="124" t="inlineStr">
        <is>
          <t>社交情感互惠</t>
        </is>
      </c>
      <c r="G340" s="124" t="inlineStr">
        <is>
          <t>社交发起</t>
        </is>
      </c>
      <c r="H340" s="121" t="inlineStr">
        <is>
          <t>DV77</t>
        </is>
      </c>
      <c r="I340" s="113" t="inlineStr">
        <is>
          <t>问候他人</t>
        </is>
      </c>
      <c r="J340" s="113" t="inlineStr">
        <is>
          <t>Baseline vs 电脑嵌入视频教学期</t>
        </is>
      </c>
    </row>
    <row r="341" ht="15" customHeight="1" s="111">
      <c r="A341" s="121" t="inlineStr">
        <is>
          <t>K516</t>
        </is>
      </c>
      <c r="B341" s="122" t="inlineStr">
        <is>
          <t>102-滚雪球</t>
        </is>
      </c>
      <c r="C341" s="121" t="inlineStr">
        <is>
          <t>Marcus</t>
        </is>
      </c>
      <c r="D341" s="122" t="inlineStr">
        <is>
          <t>干预</t>
        </is>
      </c>
      <c r="E341" s="127" t="inlineStr">
        <is>
          <t>A3</t>
        </is>
      </c>
      <c r="F341" s="128" t="inlineStr">
        <is>
          <t>人际关系发展</t>
        </is>
      </c>
      <c r="G341" s="128" t="inlineStr">
        <is>
          <t>亲社会行为</t>
        </is>
      </c>
      <c r="H341" s="121" t="inlineStr">
        <is>
          <t>DV76</t>
        </is>
      </c>
      <c r="I341" s="113" t="inlineStr">
        <is>
          <t>分享材料</t>
        </is>
      </c>
      <c r="J341" s="113" t="inlineStr">
        <is>
          <t>Baseline vs 电脑嵌入视频教学期</t>
        </is>
      </c>
    </row>
    <row r="342" ht="15" customHeight="1" s="111">
      <c r="A342" s="121" t="inlineStr">
        <is>
          <t>K517</t>
        </is>
      </c>
      <c r="B342" s="122" t="inlineStr">
        <is>
          <t>102-滚雪球</t>
        </is>
      </c>
      <c r="C342" s="121" t="inlineStr">
        <is>
          <t>Marcus</t>
        </is>
      </c>
      <c r="D342" s="122" t="inlineStr">
        <is>
          <t>干预</t>
        </is>
      </c>
      <c r="E342" s="123" t="inlineStr">
        <is>
          <t>A1</t>
        </is>
      </c>
      <c r="F342" s="124" t="inlineStr">
        <is>
          <t>社交情感互惠</t>
        </is>
      </c>
      <c r="G342" s="124" t="inlineStr">
        <is>
          <t>社交发起</t>
        </is>
      </c>
      <c r="H342" s="121" t="inlineStr">
        <is>
          <t>DV77</t>
        </is>
      </c>
      <c r="I342" s="113" t="inlineStr">
        <is>
          <t>问候他人</t>
        </is>
      </c>
      <c r="J342" s="113" t="inlineStr">
        <is>
          <t>Baseline vs 电脑嵌入视频教学期</t>
        </is>
      </c>
    </row>
    <row r="343" ht="15" customHeight="1" s="111">
      <c r="A343" s="121" t="inlineStr">
        <is>
          <t>K518</t>
        </is>
      </c>
      <c r="B343" s="122" t="inlineStr">
        <is>
          <t>102-滚雪球</t>
        </is>
      </c>
      <c r="C343" s="121" t="inlineStr">
        <is>
          <t>Kia</t>
        </is>
      </c>
      <c r="D343" s="122" t="inlineStr">
        <is>
          <t>干预</t>
        </is>
      </c>
      <c r="E343" s="127" t="inlineStr">
        <is>
          <t>A3</t>
        </is>
      </c>
      <c r="F343" s="128" t="inlineStr">
        <is>
          <t>人际关系发展</t>
        </is>
      </c>
      <c r="G343" s="128" t="inlineStr">
        <is>
          <t>亲社会行为</t>
        </is>
      </c>
      <c r="H343" s="121" t="inlineStr">
        <is>
          <t>DV76</t>
        </is>
      </c>
      <c r="I343" s="113" t="inlineStr">
        <is>
          <t>分享材料</t>
        </is>
      </c>
      <c r="J343" s="113" t="inlineStr">
        <is>
          <t>Baseline vs 电脑嵌入视频教学期</t>
        </is>
      </c>
    </row>
    <row r="344" ht="29.85" customHeight="1" s="111">
      <c r="A344" s="121" t="inlineStr">
        <is>
          <t>K519</t>
        </is>
      </c>
      <c r="B344" s="122" t="inlineStr">
        <is>
          <t>102-滚雪球</t>
        </is>
      </c>
      <c r="C344" s="121" t="inlineStr">
        <is>
          <t>Kia</t>
        </is>
      </c>
      <c r="D344" s="122" t="inlineStr">
        <is>
          <t>干预</t>
        </is>
      </c>
      <c r="E344" s="123" t="inlineStr">
        <is>
          <t>A1</t>
        </is>
      </c>
      <c r="F344" s="124" t="inlineStr">
        <is>
          <t>社交情感互惠</t>
        </is>
      </c>
      <c r="G344" s="124" t="inlineStr">
        <is>
          <t>社交发起</t>
        </is>
      </c>
      <c r="H344" s="121" t="inlineStr">
        <is>
          <t>DV77</t>
        </is>
      </c>
      <c r="I344" s="113" t="inlineStr">
        <is>
          <t>问候他人</t>
        </is>
      </c>
      <c r="J344" s="113" t="inlineStr">
        <is>
          <t>Baseline vs 电脑嵌入视频教学期</t>
        </is>
      </c>
    </row>
    <row r="345" ht="29.85" customHeight="1" s="111">
      <c r="A345" s="121" t="inlineStr">
        <is>
          <t>K520</t>
        </is>
      </c>
      <c r="B345" s="122" t="inlineStr">
        <is>
          <t>110-二次</t>
        </is>
      </c>
      <c r="C345" s="121" t="inlineStr">
        <is>
          <t>Isaac</t>
        </is>
      </c>
      <c r="D345" s="122" t="inlineStr">
        <is>
          <t>干预</t>
        </is>
      </c>
      <c r="E345" s="125" t="inlineStr">
        <is>
          <t>A2</t>
        </is>
      </c>
      <c r="F345" s="126" t="inlineStr">
        <is>
          <t>非言语沟通</t>
        </is>
      </c>
      <c r="G345" s="126" t="inlineStr">
        <is>
          <t>综合沟通</t>
        </is>
      </c>
      <c r="H345" s="121" t="inlineStr">
        <is>
          <t>DV78</t>
        </is>
      </c>
      <c r="I345" s="113" t="inlineStr">
        <is>
          <t>社会脚本情境中的正确反应（言语回应＋面部表情＋身体表达）</t>
        </is>
      </c>
      <c r="J345" s="113" t="inlineStr">
        <is>
          <t>该示范者脚本的基线 vs 该示范者视频示范期</t>
        </is>
      </c>
    </row>
    <row r="346" ht="29.85" customHeight="1" s="111">
      <c r="A346" s="121" t="inlineStr">
        <is>
          <t>K521</t>
        </is>
      </c>
      <c r="B346" s="122" t="inlineStr">
        <is>
          <t>110-二次</t>
        </is>
      </c>
      <c r="C346" s="121" t="inlineStr">
        <is>
          <t>Isaac</t>
        </is>
      </c>
      <c r="D346" s="122" t="inlineStr">
        <is>
          <t>干预</t>
        </is>
      </c>
      <c r="E346" s="125" t="inlineStr">
        <is>
          <t>A2</t>
        </is>
      </c>
      <c r="F346" s="126" t="inlineStr">
        <is>
          <t>非言语沟通</t>
        </is>
      </c>
      <c r="G346" s="126" t="inlineStr">
        <is>
          <t>综合沟通</t>
        </is>
      </c>
      <c r="H346" s="121" t="inlineStr">
        <is>
          <t>DV78</t>
        </is>
      </c>
      <c r="I346" s="113" t="inlineStr">
        <is>
          <t>社会脚本情境中的正确反应（言语回应＋面部表情＋身体表达）</t>
        </is>
      </c>
      <c r="J346" s="113" t="inlineStr">
        <is>
          <t>该示范者脚本的基线 vs 该示范者视频示范期</t>
        </is>
      </c>
    </row>
    <row r="347" ht="29.85" customHeight="1" s="111">
      <c r="A347" s="121" t="inlineStr">
        <is>
          <t>K522</t>
        </is>
      </c>
      <c r="B347" s="122" t="inlineStr">
        <is>
          <t>110-二次</t>
        </is>
      </c>
      <c r="C347" s="121" t="inlineStr">
        <is>
          <t>Mark</t>
        </is>
      </c>
      <c r="D347" s="122" t="inlineStr">
        <is>
          <t>干预</t>
        </is>
      </c>
      <c r="E347" s="125" t="inlineStr">
        <is>
          <t>A2</t>
        </is>
      </c>
      <c r="F347" s="126" t="inlineStr">
        <is>
          <t>非言语沟通</t>
        </is>
      </c>
      <c r="G347" s="126" t="inlineStr">
        <is>
          <t>综合沟通</t>
        </is>
      </c>
      <c r="H347" s="121" t="inlineStr">
        <is>
          <t>DV78</t>
        </is>
      </c>
      <c r="I347" s="113" t="inlineStr">
        <is>
          <t>社会脚本情境中的正确反应（言语回应＋面部表情＋身体表达）</t>
        </is>
      </c>
      <c r="J347" s="113" t="inlineStr">
        <is>
          <t>该示范者脚本的基线 vs 该示范者视频示范期</t>
        </is>
      </c>
    </row>
    <row r="348" ht="29.85" customHeight="1" s="111">
      <c r="A348" s="121" t="inlineStr">
        <is>
          <t>K523</t>
        </is>
      </c>
      <c r="B348" s="122" t="inlineStr">
        <is>
          <t>110-二次</t>
        </is>
      </c>
      <c r="C348" s="121" t="inlineStr">
        <is>
          <t>Mark</t>
        </is>
      </c>
      <c r="D348" s="122" t="inlineStr">
        <is>
          <t>干预</t>
        </is>
      </c>
      <c r="E348" s="125" t="inlineStr">
        <is>
          <t>A2</t>
        </is>
      </c>
      <c r="F348" s="126" t="inlineStr">
        <is>
          <t>非言语沟通</t>
        </is>
      </c>
      <c r="G348" s="126" t="inlineStr">
        <is>
          <t>综合沟通</t>
        </is>
      </c>
      <c r="H348" s="121" t="inlineStr">
        <is>
          <t>DV78</t>
        </is>
      </c>
      <c r="I348" s="113" t="inlineStr">
        <is>
          <t>社会脚本情境中的正确反应（言语回应＋面部表情＋身体表达）</t>
        </is>
      </c>
      <c r="J348" s="113" t="inlineStr">
        <is>
          <t>该示范者脚本的基线 vs 该示范者视频示范期</t>
        </is>
      </c>
    </row>
    <row r="349" ht="29.85" customHeight="1" s="111">
      <c r="A349" s="121" t="inlineStr">
        <is>
          <t>K524</t>
        </is>
      </c>
      <c r="B349" s="122" t="inlineStr">
        <is>
          <t>110-二次</t>
        </is>
      </c>
      <c r="C349" s="121" t="inlineStr">
        <is>
          <t>Anesha</t>
        </is>
      </c>
      <c r="D349" s="122" t="inlineStr">
        <is>
          <t>干预</t>
        </is>
      </c>
      <c r="E349" s="125" t="inlineStr">
        <is>
          <t>A2</t>
        </is>
      </c>
      <c r="F349" s="126" t="inlineStr">
        <is>
          <t>非言语沟通</t>
        </is>
      </c>
      <c r="G349" s="126" t="inlineStr">
        <is>
          <t>综合沟通</t>
        </is>
      </c>
      <c r="H349" s="121" t="inlineStr">
        <is>
          <t>DV78</t>
        </is>
      </c>
      <c r="I349" s="113" t="inlineStr">
        <is>
          <t>社会脚本情境中的正确反应（言语回应＋面部表情＋身体表达）</t>
        </is>
      </c>
      <c r="J349" s="113" t="inlineStr">
        <is>
          <t>该示范者脚本的基线 vs 该示范者视频示范期</t>
        </is>
      </c>
    </row>
    <row r="350" ht="29.85" customHeight="1" s="111">
      <c r="A350" s="121" t="inlineStr">
        <is>
          <t>K525</t>
        </is>
      </c>
      <c r="B350" s="122" t="inlineStr">
        <is>
          <t>110-二次</t>
        </is>
      </c>
      <c r="C350" s="121" t="inlineStr">
        <is>
          <t>Anesha</t>
        </is>
      </c>
      <c r="D350" s="122" t="inlineStr">
        <is>
          <t>干预</t>
        </is>
      </c>
      <c r="E350" s="125" t="inlineStr">
        <is>
          <t>A2</t>
        </is>
      </c>
      <c r="F350" s="126" t="inlineStr">
        <is>
          <t>非言语沟通</t>
        </is>
      </c>
      <c r="G350" s="126" t="inlineStr">
        <is>
          <t>综合沟通</t>
        </is>
      </c>
      <c r="H350" s="121" t="inlineStr">
        <is>
          <t>DV78</t>
        </is>
      </c>
      <c r="I350" s="113" t="inlineStr">
        <is>
          <t>社会脚本情境中的正确反应（言语回应＋面部表情＋身体表达）</t>
        </is>
      </c>
      <c r="J350" s="113" t="inlineStr">
        <is>
          <t>该示范者脚本的基线 vs 该示范者视频示范期</t>
        </is>
      </c>
    </row>
    <row r="351" ht="29.85" customHeight="1" s="111">
      <c r="A351" s="121" t="inlineStr">
        <is>
          <t>K526</t>
        </is>
      </c>
      <c r="B351" s="122" t="inlineStr">
        <is>
          <t>110-二次</t>
        </is>
      </c>
      <c r="C351" s="121" t="inlineStr">
        <is>
          <t>Maria</t>
        </is>
      </c>
      <c r="D351" s="122" t="inlineStr">
        <is>
          <t>干预</t>
        </is>
      </c>
      <c r="E351" s="125" t="inlineStr">
        <is>
          <t>A2</t>
        </is>
      </c>
      <c r="F351" s="126" t="inlineStr">
        <is>
          <t>非言语沟通</t>
        </is>
      </c>
      <c r="G351" s="126" t="inlineStr">
        <is>
          <t>综合沟通</t>
        </is>
      </c>
      <c r="H351" s="121" t="inlineStr">
        <is>
          <t>DV78</t>
        </is>
      </c>
      <c r="I351" s="113" t="inlineStr">
        <is>
          <t>社会脚本情境中的正确反应（言语回应＋面部表情＋身体表达）</t>
        </is>
      </c>
      <c r="J351" s="113" t="inlineStr">
        <is>
          <t>该示范者脚本的基线 vs 该示范者视频示范期</t>
        </is>
      </c>
    </row>
    <row r="352" ht="29.85" customHeight="1" s="111">
      <c r="A352" s="121" t="inlineStr">
        <is>
          <t>K527</t>
        </is>
      </c>
      <c r="B352" s="122" t="inlineStr">
        <is>
          <t>110-二次</t>
        </is>
      </c>
      <c r="C352" s="121" t="inlineStr">
        <is>
          <t>Maria</t>
        </is>
      </c>
      <c r="D352" s="122" t="inlineStr">
        <is>
          <t>干预</t>
        </is>
      </c>
      <c r="E352" s="125" t="inlineStr">
        <is>
          <t>A2</t>
        </is>
      </c>
      <c r="F352" s="126" t="inlineStr">
        <is>
          <t>非言语沟通</t>
        </is>
      </c>
      <c r="G352" s="126" t="inlineStr">
        <is>
          <t>综合沟通</t>
        </is>
      </c>
      <c r="H352" s="121" t="inlineStr">
        <is>
          <t>DV78</t>
        </is>
      </c>
      <c r="I352" s="113" t="inlineStr">
        <is>
          <t>社会脚本情境中的正确反应（言语回应＋面部表情＋身体表达）</t>
        </is>
      </c>
      <c r="J352" s="113" t="inlineStr">
        <is>
          <t>该示范者脚本的基线 vs 该示范者视频示范期</t>
        </is>
      </c>
    </row>
    <row r="353" ht="29.85" customHeight="1" s="111">
      <c r="A353" s="121" t="inlineStr">
        <is>
          <t>K528</t>
        </is>
      </c>
      <c r="B353" s="122" t="inlineStr">
        <is>
          <t>110-二次</t>
        </is>
      </c>
      <c r="C353" s="121" t="inlineStr">
        <is>
          <t>Ray</t>
        </is>
      </c>
      <c r="D353" s="122" t="inlineStr">
        <is>
          <t>干预</t>
        </is>
      </c>
      <c r="E353" s="125" t="inlineStr">
        <is>
          <t>A2</t>
        </is>
      </c>
      <c r="F353" s="126" t="inlineStr">
        <is>
          <t>非言语沟通</t>
        </is>
      </c>
      <c r="G353" s="126" t="inlineStr">
        <is>
          <t>综合沟通</t>
        </is>
      </c>
      <c r="H353" s="121" t="inlineStr">
        <is>
          <t>DV78</t>
        </is>
      </c>
      <c r="I353" s="113" t="inlineStr">
        <is>
          <t>社会脚本情境中的正确反应（言语回应＋面部表情＋身体表达）</t>
        </is>
      </c>
      <c r="J353" s="113" t="inlineStr">
        <is>
          <t>该示范者脚本的基线 vs 该示范者视频示范期</t>
        </is>
      </c>
    </row>
    <row r="354" ht="29.85" customHeight="1" s="111">
      <c r="A354" s="121" t="inlineStr">
        <is>
          <t>K529</t>
        </is>
      </c>
      <c r="B354" s="122" t="inlineStr">
        <is>
          <t>110-二次</t>
        </is>
      </c>
      <c r="C354" s="121" t="inlineStr">
        <is>
          <t>Ray</t>
        </is>
      </c>
      <c r="D354" s="122" t="inlineStr">
        <is>
          <t>干预</t>
        </is>
      </c>
      <c r="E354" s="125" t="inlineStr">
        <is>
          <t>A2</t>
        </is>
      </c>
      <c r="F354" s="126" t="inlineStr">
        <is>
          <t>非言语沟通</t>
        </is>
      </c>
      <c r="G354" s="126" t="inlineStr">
        <is>
          <t>综合沟通</t>
        </is>
      </c>
      <c r="H354" s="121" t="inlineStr">
        <is>
          <t>DV78</t>
        </is>
      </c>
      <c r="I354" s="113" t="inlineStr">
        <is>
          <t>社会脚本情境中的正确反应（言语回应＋面部表情＋身体表达）</t>
        </is>
      </c>
      <c r="J354" s="113" t="inlineStr">
        <is>
          <t>该示范者脚本的基线 vs 该示范者视频示范期</t>
        </is>
      </c>
    </row>
    <row r="355" ht="15" customHeight="1" s="111">
      <c r="A355" s="121" t="inlineStr">
        <is>
          <t>K530</t>
        </is>
      </c>
      <c r="B355" s="122" t="inlineStr">
        <is>
          <t>110-二次</t>
        </is>
      </c>
      <c r="C355" s="121" t="inlineStr">
        <is>
          <t>Kadeem</t>
        </is>
      </c>
      <c r="D355" s="122" t="inlineStr">
        <is>
          <t>干预</t>
        </is>
      </c>
      <c r="E355" s="125" t="inlineStr">
        <is>
          <t>A2</t>
        </is>
      </c>
      <c r="F355" s="126" t="inlineStr">
        <is>
          <t>非言语沟通</t>
        </is>
      </c>
      <c r="G355" s="126" t="inlineStr">
        <is>
          <t>综合沟通</t>
        </is>
      </c>
      <c r="H355" s="121" t="inlineStr">
        <is>
          <t>DV78</t>
        </is>
      </c>
      <c r="I355" s="113" t="inlineStr">
        <is>
          <t>社会脚本情境中的正确反应（言语回应＋面部表情＋身体表达）</t>
        </is>
      </c>
      <c r="J355" s="113" t="inlineStr">
        <is>
          <t>该示范者脚本的基线 vs 该示范者视频示范期</t>
        </is>
      </c>
    </row>
    <row r="356" ht="29.85" customHeight="1" s="111">
      <c r="A356" s="121" t="inlineStr">
        <is>
          <t>K531</t>
        </is>
      </c>
      <c r="B356" s="122" t="inlineStr">
        <is>
          <t>110-二次</t>
        </is>
      </c>
      <c r="C356" s="121" t="inlineStr">
        <is>
          <t>Kadeem</t>
        </is>
      </c>
      <c r="D356" s="122" t="inlineStr">
        <is>
          <t>干预</t>
        </is>
      </c>
      <c r="E356" s="125" t="inlineStr">
        <is>
          <t>A2</t>
        </is>
      </c>
      <c r="F356" s="126" t="inlineStr">
        <is>
          <t>非言语沟通</t>
        </is>
      </c>
      <c r="G356" s="126" t="inlineStr">
        <is>
          <t>综合沟通</t>
        </is>
      </c>
      <c r="H356" s="121" t="inlineStr">
        <is>
          <t>DV78</t>
        </is>
      </c>
      <c r="I356" s="113" t="inlineStr">
        <is>
          <t>社会脚本情境中的正确反应（言语回应＋面部表情＋身体表达）</t>
        </is>
      </c>
      <c r="J356" s="113" t="inlineStr">
        <is>
          <t>该示范者脚本的基线 vs 该示范者视频示范期</t>
        </is>
      </c>
    </row>
    <row r="357" ht="15" customHeight="1" s="111">
      <c r="A357" s="121" t="inlineStr">
        <is>
          <t>K532</t>
        </is>
      </c>
      <c r="B357" s="122" t="inlineStr">
        <is>
          <t>110-二次</t>
        </is>
      </c>
      <c r="C357" s="121" t="inlineStr">
        <is>
          <t>Leon</t>
        </is>
      </c>
      <c r="D357" s="122" t="inlineStr">
        <is>
          <t>干预</t>
        </is>
      </c>
      <c r="E357" s="125" t="inlineStr">
        <is>
          <t>A2</t>
        </is>
      </c>
      <c r="F357" s="126" t="inlineStr">
        <is>
          <t>非言语沟通</t>
        </is>
      </c>
      <c r="G357" s="126" t="inlineStr">
        <is>
          <t>综合沟通</t>
        </is>
      </c>
      <c r="H357" s="121" t="inlineStr">
        <is>
          <t>DV78</t>
        </is>
      </c>
      <c r="I357" s="113" t="inlineStr">
        <is>
          <t>社会脚本情境中的正确反应（言语回应＋面部表情＋身体表达）</t>
        </is>
      </c>
      <c r="J357" s="113" t="inlineStr">
        <is>
          <t>该示范者脚本的基线 vs 该示范者视频示范期</t>
        </is>
      </c>
    </row>
    <row r="358" ht="29.85" customHeight="1" s="111">
      <c r="A358" s="121" t="inlineStr">
        <is>
          <t>K533</t>
        </is>
      </c>
      <c r="B358" s="122" t="inlineStr">
        <is>
          <t>110-二次</t>
        </is>
      </c>
      <c r="C358" s="121" t="inlineStr">
        <is>
          <t>Leon</t>
        </is>
      </c>
      <c r="D358" s="122" t="inlineStr">
        <is>
          <t>干预</t>
        </is>
      </c>
      <c r="E358" s="125" t="inlineStr">
        <is>
          <t>A2</t>
        </is>
      </c>
      <c r="F358" s="126" t="inlineStr">
        <is>
          <t>非言语沟通</t>
        </is>
      </c>
      <c r="G358" s="126" t="inlineStr">
        <is>
          <t>综合沟通</t>
        </is>
      </c>
      <c r="H358" s="121" t="inlineStr">
        <is>
          <t>DV78</t>
        </is>
      </c>
      <c r="I358" s="113" t="inlineStr">
        <is>
          <t>社会脚本情境中的正确反应（言语回应＋面部表情＋身体表达）</t>
        </is>
      </c>
      <c r="J358" s="113" t="inlineStr">
        <is>
          <t>该示范者脚本的基线 vs 该示范者视频示范期</t>
        </is>
      </c>
    </row>
    <row r="359" ht="15" customHeight="1" s="111">
      <c r="A359" s="121" t="inlineStr">
        <is>
          <t>K534</t>
        </is>
      </c>
      <c r="B359" s="122" t="inlineStr">
        <is>
          <t>110-二次</t>
        </is>
      </c>
      <c r="C359" s="121" t="inlineStr">
        <is>
          <t>Gavin</t>
        </is>
      </c>
      <c r="D359" s="122" t="inlineStr">
        <is>
          <t>干预</t>
        </is>
      </c>
      <c r="E359" s="125" t="inlineStr">
        <is>
          <t>A2</t>
        </is>
      </c>
      <c r="F359" s="126" t="inlineStr">
        <is>
          <t>非言语沟通</t>
        </is>
      </c>
      <c r="G359" s="126" t="inlineStr">
        <is>
          <t>综合沟通</t>
        </is>
      </c>
      <c r="H359" s="121" t="inlineStr">
        <is>
          <t>DV78</t>
        </is>
      </c>
      <c r="I359" s="113" t="inlineStr">
        <is>
          <t>社会脚本情境中的正确反应（言语回应＋面部表情＋身体表达）</t>
        </is>
      </c>
      <c r="J359" s="113" t="inlineStr">
        <is>
          <t>该示范者脚本的基线 vs 该示范者视频示范期</t>
        </is>
      </c>
    </row>
    <row r="360" ht="29.85" customHeight="1" s="111">
      <c r="A360" s="121" t="inlineStr">
        <is>
          <t>K535</t>
        </is>
      </c>
      <c r="B360" s="122" t="inlineStr">
        <is>
          <t>110-二次</t>
        </is>
      </c>
      <c r="C360" s="121" t="inlineStr">
        <is>
          <t>Gavin</t>
        </is>
      </c>
      <c r="D360" s="122" t="inlineStr">
        <is>
          <t>干预</t>
        </is>
      </c>
      <c r="E360" s="125" t="inlineStr">
        <is>
          <t>A2</t>
        </is>
      </c>
      <c r="F360" s="126" t="inlineStr">
        <is>
          <t>非言语沟通</t>
        </is>
      </c>
      <c r="G360" s="126" t="inlineStr">
        <is>
          <t>综合沟通</t>
        </is>
      </c>
      <c r="H360" s="121" t="inlineStr">
        <is>
          <t>DV78</t>
        </is>
      </c>
      <c r="I360" s="113" t="inlineStr">
        <is>
          <t>社会脚本情境中的正确反应（言语回应＋面部表情＋身体表达）</t>
        </is>
      </c>
      <c r="J360" s="113" t="inlineStr">
        <is>
          <t>该示范者脚本的基线 vs 该示范者视频示范期</t>
        </is>
      </c>
    </row>
    <row r="361" ht="29.85" customHeight="1" s="111">
      <c r="A361" s="121" t="inlineStr">
        <is>
          <t>K536</t>
        </is>
      </c>
      <c r="B361" s="122" t="inlineStr">
        <is>
          <t>059-二次</t>
        </is>
      </c>
      <c r="C361" s="121" t="inlineStr">
        <is>
          <t>Eleni</t>
        </is>
      </c>
      <c r="D361" s="122" t="inlineStr">
        <is>
          <t>干预</t>
        </is>
      </c>
      <c r="E361" s="125" t="inlineStr">
        <is>
          <t>A2</t>
        </is>
      </c>
      <c r="F361" s="126" t="inlineStr">
        <is>
          <t>非言语沟通</t>
        </is>
      </c>
      <c r="G361" s="126" t="inlineStr">
        <is>
          <t>情绪表达</t>
        </is>
      </c>
      <c r="H361" s="121" t="inlineStr">
        <is>
          <t>DV80</t>
        </is>
      </c>
      <c r="I361" s="113" t="inlineStr">
        <is>
          <t>适宜情感反应（同情、赞赏、不赞同）</t>
        </is>
      </c>
      <c r="J361" s="113" t="inlineStr">
        <is>
          <t>Baseline II vs Video Modeling（训练试次，实心点）</t>
        </is>
      </c>
    </row>
    <row r="362" ht="29.85" customHeight="1" s="111">
      <c r="A362" s="121" t="inlineStr">
        <is>
          <t>K537</t>
        </is>
      </c>
      <c r="B362" s="122" t="inlineStr">
        <is>
          <t>059-二次</t>
        </is>
      </c>
      <c r="C362" s="121" t="inlineStr">
        <is>
          <t>Billy</t>
        </is>
      </c>
      <c r="D362" s="122" t="inlineStr">
        <is>
          <t>干预</t>
        </is>
      </c>
      <c r="E362" s="125" t="inlineStr">
        <is>
          <t>A2</t>
        </is>
      </c>
      <c r="F362" s="126" t="inlineStr">
        <is>
          <t>非言语沟通</t>
        </is>
      </c>
      <c r="G362" s="126" t="inlineStr">
        <is>
          <t>情绪表达</t>
        </is>
      </c>
      <c r="H362" s="121" t="inlineStr">
        <is>
          <t>DV80</t>
        </is>
      </c>
      <c r="I362" s="113" t="inlineStr">
        <is>
          <t>适宜情感反应（同情、赞赏、不赞同）</t>
        </is>
      </c>
      <c r="J362" s="113" t="inlineStr">
        <is>
          <t>Baseline I vs Video Modeling（训练试次，实心点）</t>
        </is>
      </c>
    </row>
    <row r="363" ht="29.85" customHeight="1" s="111">
      <c r="A363" s="121" t="inlineStr">
        <is>
          <t>K538</t>
        </is>
      </c>
      <c r="B363" s="122" t="inlineStr">
        <is>
          <t>059-二次</t>
        </is>
      </c>
      <c r="C363" s="121" t="inlineStr">
        <is>
          <t>Mike</t>
        </is>
      </c>
      <c r="D363" s="122" t="inlineStr">
        <is>
          <t>干预</t>
        </is>
      </c>
      <c r="E363" s="125" t="inlineStr">
        <is>
          <t>A2</t>
        </is>
      </c>
      <c r="F363" s="126" t="inlineStr">
        <is>
          <t>非言语沟通</t>
        </is>
      </c>
      <c r="G363" s="126" t="inlineStr">
        <is>
          <t>情绪表达</t>
        </is>
      </c>
      <c r="H363" s="121" t="inlineStr">
        <is>
          <t>DV80</t>
        </is>
      </c>
      <c r="I363" s="113" t="inlineStr">
        <is>
          <t>适宜情感反应（同情、赞赏、不赞同）</t>
        </is>
      </c>
      <c r="J363" s="113" t="inlineStr">
        <is>
          <t>Baseline II vs Video Modeling（训练试次，实心点）</t>
        </is>
      </c>
    </row>
    <row r="364" ht="29.85" customHeight="1" s="111">
      <c r="A364" s="121" t="inlineStr">
        <is>
          <t>K539</t>
        </is>
      </c>
      <c r="B364" s="122" t="inlineStr">
        <is>
          <t>059-二次</t>
        </is>
      </c>
      <c r="C364" s="121" t="inlineStr">
        <is>
          <t>Eleni</t>
        </is>
      </c>
      <c r="D364" s="122" t="inlineStr">
        <is>
          <t>泛化</t>
        </is>
      </c>
      <c r="E364" s="125" t="inlineStr">
        <is>
          <t>A2</t>
        </is>
      </c>
      <c r="F364" s="126" t="inlineStr">
        <is>
          <t>非言语沟通</t>
        </is>
      </c>
      <c r="G364" s="126" t="inlineStr">
        <is>
          <t>情绪表达</t>
        </is>
      </c>
      <c r="H364" s="121" t="inlineStr">
        <is>
          <t>DV80</t>
        </is>
      </c>
      <c r="I364" s="113" t="inlineStr">
        <is>
          <t>适宜情感反应（同情、赞赏、不赞同）</t>
        </is>
      </c>
      <c r="J364" s="113" t="inlineStr">
        <is>
          <t>Baseline II vs Video Modeling（探测试次＝未训练情境，空心圆）</t>
        </is>
      </c>
    </row>
    <row r="365" ht="29.85" customHeight="1" s="111">
      <c r="A365" s="121" t="inlineStr">
        <is>
          <t>K540</t>
        </is>
      </c>
      <c r="B365" s="122" t="inlineStr">
        <is>
          <t>059-二次</t>
        </is>
      </c>
      <c r="C365" s="121" t="inlineStr">
        <is>
          <t>Billy</t>
        </is>
      </c>
      <c r="D365" s="122" t="inlineStr">
        <is>
          <t>泛化</t>
        </is>
      </c>
      <c r="E365" s="125" t="inlineStr">
        <is>
          <t>A2</t>
        </is>
      </c>
      <c r="F365" s="126" t="inlineStr">
        <is>
          <t>非言语沟通</t>
        </is>
      </c>
      <c r="G365" s="126" t="inlineStr">
        <is>
          <t>情绪表达</t>
        </is>
      </c>
      <c r="H365" s="121" t="inlineStr">
        <is>
          <t>DV80</t>
        </is>
      </c>
      <c r="I365" s="113" t="inlineStr">
        <is>
          <t>适宜情感反应（同情、赞赏、不赞同）</t>
        </is>
      </c>
      <c r="J365" s="113" t="inlineStr">
        <is>
          <t>Baseline I vs Video Modeling（探测试次＝未训练情境，空心圆）</t>
        </is>
      </c>
    </row>
    <row r="366" ht="29.85" customHeight="1" s="111">
      <c r="A366" s="121" t="inlineStr">
        <is>
          <t>K541</t>
        </is>
      </c>
      <c r="B366" s="122" t="inlineStr">
        <is>
          <t>059-二次</t>
        </is>
      </c>
      <c r="C366" s="121" t="inlineStr">
        <is>
          <t>Mike</t>
        </is>
      </c>
      <c r="D366" s="122" t="inlineStr">
        <is>
          <t>泛化</t>
        </is>
      </c>
      <c r="E366" s="125" t="inlineStr">
        <is>
          <t>A2</t>
        </is>
      </c>
      <c r="F366" s="126" t="inlineStr">
        <is>
          <t>非言语沟通</t>
        </is>
      </c>
      <c r="G366" s="126" t="inlineStr">
        <is>
          <t>情绪表达</t>
        </is>
      </c>
      <c r="H366" s="121" t="inlineStr">
        <is>
          <t>DV80</t>
        </is>
      </c>
      <c r="I366" s="113" t="inlineStr">
        <is>
          <t>适宜情感反应（同情、赞赏、不赞同）</t>
        </is>
      </c>
      <c r="J366" s="113" t="inlineStr">
        <is>
          <t>Baseline II vs Video Modeling（探测试次＝未训练情境，空心圆）</t>
        </is>
      </c>
    </row>
    <row r="367" ht="29.85" customHeight="1" s="111">
      <c r="A367" s="121" t="inlineStr">
        <is>
          <t>K542</t>
        </is>
      </c>
      <c r="B367" s="122" t="inlineStr">
        <is>
          <t>068-二次</t>
        </is>
      </c>
      <c r="C367" s="121" t="inlineStr">
        <is>
          <t>Z</t>
        </is>
      </c>
      <c r="D367" s="122" t="inlineStr">
        <is>
          <t>干预</t>
        </is>
      </c>
      <c r="E367" s="125" t="inlineStr">
        <is>
          <t>A2</t>
        </is>
      </c>
      <c r="F367" s="126" t="inlineStr">
        <is>
          <t>非言语沟通</t>
        </is>
      </c>
      <c r="G367" s="126" t="inlineStr">
        <is>
          <t>综合沟通</t>
        </is>
      </c>
      <c r="H367" s="121" t="inlineStr">
        <is>
          <t>DV79</t>
        </is>
      </c>
      <c r="I367" s="113" t="inlineStr">
        <is>
          <t>社交沟通目标行为总得分（回应他人＋主动表达，口语＋动作）</t>
        </is>
      </c>
      <c r="J367" s="113" t="inlineStr">
        <is>
          <t>基线期A vs 交替处理期B中的录像示范点（实线）</t>
        </is>
      </c>
    </row>
    <row r="368" ht="29.85" customHeight="1" s="111">
      <c r="A368" s="121" t="inlineStr">
        <is>
          <t>K543</t>
        </is>
      </c>
      <c r="B368" s="122" t="inlineStr">
        <is>
          <t>068-二次</t>
        </is>
      </c>
      <c r="C368" s="121" t="inlineStr">
        <is>
          <t>M</t>
        </is>
      </c>
      <c r="D368" s="122" t="inlineStr">
        <is>
          <t>干预</t>
        </is>
      </c>
      <c r="E368" s="125" t="inlineStr">
        <is>
          <t>A2</t>
        </is>
      </c>
      <c r="F368" s="126" t="inlineStr">
        <is>
          <t>非言语沟通</t>
        </is>
      </c>
      <c r="G368" s="126" t="inlineStr">
        <is>
          <t>综合沟通</t>
        </is>
      </c>
      <c r="H368" s="121" t="inlineStr">
        <is>
          <t>DV79</t>
        </is>
      </c>
      <c r="I368" s="113" t="inlineStr">
        <is>
          <t>社交沟通目标行为总得分（回应他人＋主动表达，口语＋动作）</t>
        </is>
      </c>
      <c r="J368" s="113" t="inlineStr">
        <is>
          <t>基线期A vs 交替处理期B中的录像示范点（实线）</t>
        </is>
      </c>
    </row>
    <row r="369" ht="15" customHeight="1" s="111">
      <c r="A369" s="121" t="inlineStr">
        <is>
          <t>K544</t>
        </is>
      </c>
      <c r="B369" s="122" t="inlineStr">
        <is>
          <t>068-二次</t>
        </is>
      </c>
      <c r="C369" s="121" t="inlineStr">
        <is>
          <t>Y</t>
        </is>
      </c>
      <c r="D369" s="122" t="inlineStr">
        <is>
          <t>干预</t>
        </is>
      </c>
      <c r="E369" s="125" t="inlineStr">
        <is>
          <t>A2</t>
        </is>
      </c>
      <c r="F369" s="126" t="inlineStr">
        <is>
          <t>非言语沟通</t>
        </is>
      </c>
      <c r="G369" s="126" t="inlineStr">
        <is>
          <t>综合沟通</t>
        </is>
      </c>
      <c r="H369" s="121" t="inlineStr">
        <is>
          <t>DV79</t>
        </is>
      </c>
      <c r="I369" s="113" t="inlineStr">
        <is>
          <t>社交沟通目标行为总得分（回应他人＋主动表达，口语＋动作）</t>
        </is>
      </c>
      <c r="J369" s="113" t="inlineStr">
        <is>
          <t>基线期A vs 交替处理期B中的录像示范点（实线）</t>
        </is>
      </c>
    </row>
    <row r="370" ht="29.85" customHeight="1" s="111">
      <c r="A370" s="121" t="inlineStr">
        <is>
          <t>K545</t>
        </is>
      </c>
      <c r="B370" s="122" t="inlineStr">
        <is>
          <t>068-二次</t>
        </is>
      </c>
      <c r="C370" s="121" t="inlineStr">
        <is>
          <t>Z</t>
        </is>
      </c>
      <c r="D370" s="122" t="inlineStr">
        <is>
          <t>维持</t>
        </is>
      </c>
      <c r="E370" s="125" t="inlineStr">
        <is>
          <t>A2</t>
        </is>
      </c>
      <c r="F370" s="126" t="inlineStr">
        <is>
          <t>非言语沟通</t>
        </is>
      </c>
      <c r="G370" s="126" t="inlineStr">
        <is>
          <t>综合沟通</t>
        </is>
      </c>
      <c r="H370" s="121" t="inlineStr">
        <is>
          <t>DV79</t>
        </is>
      </c>
      <c r="I370" s="113" t="inlineStr">
        <is>
          <t>社交沟通目标行为总得分（回应他人＋主动表达，口语＋动作）</t>
        </is>
      </c>
      <c r="J370" s="113" t="inlineStr">
        <is>
          <t>基线期A vs 维持期G（在最佳处理期录像示范之后）</t>
        </is>
      </c>
    </row>
    <row r="371" ht="15" customHeight="1" s="111">
      <c r="A371" s="121" t="inlineStr">
        <is>
          <t>K546</t>
        </is>
      </c>
      <c r="B371" s="122" t="inlineStr">
        <is>
          <t>068-二次</t>
        </is>
      </c>
      <c r="C371" s="121" t="inlineStr">
        <is>
          <t>M</t>
        </is>
      </c>
      <c r="D371" s="122" t="inlineStr">
        <is>
          <t>维持</t>
        </is>
      </c>
      <c r="E371" s="125" t="inlineStr">
        <is>
          <t>A2</t>
        </is>
      </c>
      <c r="F371" s="126" t="inlineStr">
        <is>
          <t>非言语沟通</t>
        </is>
      </c>
      <c r="G371" s="126" t="inlineStr">
        <is>
          <t>综合沟通</t>
        </is>
      </c>
      <c r="H371" s="121" t="inlineStr">
        <is>
          <t>DV79</t>
        </is>
      </c>
      <c r="I371" s="113" t="inlineStr">
        <is>
          <t>社交沟通目标行为总得分（回应他人＋主动表达，口语＋动作）</t>
        </is>
      </c>
      <c r="J371" s="113" t="inlineStr">
        <is>
          <t>基线期A vs 维持期G（在最佳处理期录像示范之后）</t>
        </is>
      </c>
    </row>
    <row r="372" ht="29.85" customHeight="1" s="111">
      <c r="A372" s="121" t="inlineStr">
        <is>
          <t>K547</t>
        </is>
      </c>
      <c r="B372" s="122" t="inlineStr">
        <is>
          <t>068-二次</t>
        </is>
      </c>
      <c r="C372" s="121" t="inlineStr">
        <is>
          <t>Y</t>
        </is>
      </c>
      <c r="D372" s="122" t="inlineStr">
        <is>
          <t>维持</t>
        </is>
      </c>
      <c r="E372" s="125" t="inlineStr">
        <is>
          <t>A2</t>
        </is>
      </c>
      <c r="F372" s="126" t="inlineStr">
        <is>
          <t>非言语沟通</t>
        </is>
      </c>
      <c r="G372" s="126" t="inlineStr">
        <is>
          <t>综合沟通</t>
        </is>
      </c>
      <c r="H372" s="121" t="inlineStr">
        <is>
          <t>DV79</t>
        </is>
      </c>
      <c r="I372" s="113" t="inlineStr">
        <is>
          <t>社交沟通目标行为总得分（回应他人＋主动表达，口语＋动作）</t>
        </is>
      </c>
      <c r="J372" s="113" t="inlineStr">
        <is>
          <t>基线期A vs 维持期G（在最佳处理期录像示范之后）</t>
        </is>
      </c>
    </row>
    <row r="373" ht="15" customHeight="1" s="111">
      <c r="A373" s="121" t="inlineStr">
        <is>
          <t>K548</t>
        </is>
      </c>
      <c r="B373" s="122" t="inlineStr">
        <is>
          <t>01-补充</t>
        </is>
      </c>
      <c r="C373" s="121" t="inlineStr">
        <is>
          <t>Anan</t>
        </is>
      </c>
      <c r="D373" s="122" t="inlineStr">
        <is>
          <t>干预</t>
        </is>
      </c>
      <c r="E373" s="125" t="inlineStr">
        <is>
          <t>A2</t>
        </is>
      </c>
      <c r="F373" s="126" t="inlineStr">
        <is>
          <t>非言语沟通</t>
        </is>
      </c>
      <c r="G373" s="126" t="inlineStr">
        <is>
          <t>综合沟通</t>
        </is>
      </c>
      <c r="H373" s="121" t="inlineStr">
        <is>
          <t>DV81</t>
        </is>
      </c>
      <c r="I373" s="113" t="inlineStr">
        <is>
          <t>脚本内社交沟通（Scripted social communication）</t>
        </is>
      </c>
      <c r="J373" s="113" t="inlineStr">
        <is>
          <t>基线 vs 第一次交替期中的动画视频点（实心方块）</t>
        </is>
      </c>
    </row>
    <row r="374" ht="15" customHeight="1" s="111">
      <c r="A374" s="121" t="inlineStr">
        <is>
          <t>K549</t>
        </is>
      </c>
      <c r="B374" s="122" t="inlineStr">
        <is>
          <t>01-补充</t>
        </is>
      </c>
      <c r="C374" s="121" t="inlineStr">
        <is>
          <t>Anan</t>
        </is>
      </c>
      <c r="D374" s="122" t="inlineStr">
        <is>
          <t>干预</t>
        </is>
      </c>
      <c r="E374" s="125" t="inlineStr">
        <is>
          <t>A2</t>
        </is>
      </c>
      <c r="F374" s="126" t="inlineStr">
        <is>
          <t>非言语沟通</t>
        </is>
      </c>
      <c r="G374" s="126" t="inlineStr">
        <is>
          <t>综合沟通</t>
        </is>
      </c>
      <c r="H374" s="121" t="inlineStr">
        <is>
          <t>DV81</t>
        </is>
      </c>
      <c r="I374" s="113" t="inlineStr">
        <is>
          <t>脚本内社交沟通（Scripted social communication）</t>
        </is>
      </c>
      <c r="J374" s="113" t="inlineStr">
        <is>
          <t>基线 vs 第一次交替期中的成人视频点（实心三角）</t>
        </is>
      </c>
    </row>
    <row r="375" ht="15" customHeight="1" s="111">
      <c r="A375" s="121" t="inlineStr">
        <is>
          <t>K550</t>
        </is>
      </c>
      <c r="B375" s="122" t="inlineStr">
        <is>
          <t>01-补充</t>
        </is>
      </c>
      <c r="C375" s="121" t="inlineStr">
        <is>
          <t>Bobo</t>
        </is>
      </c>
      <c r="D375" s="122" t="inlineStr">
        <is>
          <t>干预</t>
        </is>
      </c>
      <c r="E375" s="125" t="inlineStr">
        <is>
          <t>A2</t>
        </is>
      </c>
      <c r="F375" s="126" t="inlineStr">
        <is>
          <t>非言语沟通</t>
        </is>
      </c>
      <c r="G375" s="126" t="inlineStr">
        <is>
          <t>综合沟通</t>
        </is>
      </c>
      <c r="H375" s="121" t="inlineStr">
        <is>
          <t>DV81</t>
        </is>
      </c>
      <c r="I375" s="113" t="inlineStr">
        <is>
          <t>脚本内社交沟通（Scripted social communication）</t>
        </is>
      </c>
      <c r="J375" s="113" t="inlineStr">
        <is>
          <t>基线 vs 第一次交替期中的动画视频点（实心方块）</t>
        </is>
      </c>
    </row>
    <row r="376" ht="15" customHeight="1" s="111">
      <c r="A376" s="121" t="inlineStr">
        <is>
          <t>K551</t>
        </is>
      </c>
      <c r="B376" s="122" t="inlineStr">
        <is>
          <t>01-补充</t>
        </is>
      </c>
      <c r="C376" s="121" t="inlineStr">
        <is>
          <t>Bobo</t>
        </is>
      </c>
      <c r="D376" s="122" t="inlineStr">
        <is>
          <t>干预</t>
        </is>
      </c>
      <c r="E376" s="125" t="inlineStr">
        <is>
          <t>A2</t>
        </is>
      </c>
      <c r="F376" s="126" t="inlineStr">
        <is>
          <t>非言语沟通</t>
        </is>
      </c>
      <c r="G376" s="126" t="inlineStr">
        <is>
          <t>综合沟通</t>
        </is>
      </c>
      <c r="H376" s="121" t="inlineStr">
        <is>
          <t>DV81</t>
        </is>
      </c>
      <c r="I376" s="113" t="inlineStr">
        <is>
          <t>脚本内社交沟通（Scripted social communication）</t>
        </is>
      </c>
      <c r="J376" s="113" t="inlineStr">
        <is>
          <t>基线 vs 第一次交替期中的成人视频点（实心三角）</t>
        </is>
      </c>
    </row>
    <row r="377" ht="15" customHeight="1" s="111">
      <c r="A377" s="121" t="inlineStr">
        <is>
          <t>K552</t>
        </is>
      </c>
      <c r="B377" s="122" t="inlineStr">
        <is>
          <t>01-补充</t>
        </is>
      </c>
      <c r="C377" s="121" t="inlineStr">
        <is>
          <t>Cici</t>
        </is>
      </c>
      <c r="D377" s="122" t="inlineStr">
        <is>
          <t>干预</t>
        </is>
      </c>
      <c r="E377" s="125" t="inlineStr">
        <is>
          <t>A2</t>
        </is>
      </c>
      <c r="F377" s="126" t="inlineStr">
        <is>
          <t>非言语沟通</t>
        </is>
      </c>
      <c r="G377" s="126" t="inlineStr">
        <is>
          <t>综合沟通</t>
        </is>
      </c>
      <c r="H377" s="121" t="inlineStr">
        <is>
          <t>DV81</t>
        </is>
      </c>
      <c r="I377" s="113" t="inlineStr">
        <is>
          <t>脚本内社交沟通（Scripted social communication）</t>
        </is>
      </c>
      <c r="J377" s="113" t="inlineStr">
        <is>
          <t>基线 vs 第一次交替期中的动画视频点（实心方块）</t>
        </is>
      </c>
    </row>
    <row r="378" ht="15" customHeight="1" s="111">
      <c r="A378" s="121" t="inlineStr">
        <is>
          <t>K553</t>
        </is>
      </c>
      <c r="B378" s="122" t="inlineStr">
        <is>
          <t>01-补充</t>
        </is>
      </c>
      <c r="C378" s="121" t="inlineStr">
        <is>
          <t>Cici</t>
        </is>
      </c>
      <c r="D378" s="122" t="inlineStr">
        <is>
          <t>干预</t>
        </is>
      </c>
      <c r="E378" s="125" t="inlineStr">
        <is>
          <t>A2</t>
        </is>
      </c>
      <c r="F378" s="126" t="inlineStr">
        <is>
          <t>非言语沟通</t>
        </is>
      </c>
      <c r="G378" s="126" t="inlineStr">
        <is>
          <t>综合沟通</t>
        </is>
      </c>
      <c r="H378" s="121" t="inlineStr">
        <is>
          <t>DV81</t>
        </is>
      </c>
      <c r="I378" s="113" t="inlineStr">
        <is>
          <t>脚本内社交沟通（Scripted social communication）</t>
        </is>
      </c>
      <c r="J378" s="113" t="inlineStr">
        <is>
          <t>基线 vs 第一次交替期中的成人视频点（实心三角）</t>
        </is>
      </c>
    </row>
    <row r="379" ht="15" customHeight="1" s="111">
      <c r="A379" s="121" t="inlineStr">
        <is>
          <t>K554</t>
        </is>
      </c>
      <c r="B379" s="122" t="inlineStr">
        <is>
          <t>01-补充</t>
        </is>
      </c>
      <c r="C379" s="121" t="inlineStr">
        <is>
          <t>Anan</t>
        </is>
      </c>
      <c r="D379" s="122" t="inlineStr">
        <is>
          <t>干预</t>
        </is>
      </c>
      <c r="E379" s="125" t="inlineStr">
        <is>
          <t>A2</t>
        </is>
      </c>
      <c r="F379" s="126" t="inlineStr">
        <is>
          <t>非言语沟通</t>
        </is>
      </c>
      <c r="G379" s="126" t="inlineStr">
        <is>
          <t>综合沟通</t>
        </is>
      </c>
      <c r="H379" s="121" t="inlineStr">
        <is>
          <t>DV82</t>
        </is>
      </c>
      <c r="I379" s="113" t="inlineStr">
        <is>
          <t>脚本外社交沟通（Unscripted social communication）</t>
        </is>
      </c>
      <c r="J379" s="113" t="inlineStr">
        <is>
          <t>基线 vs 第一次交替期中的动画视频点（实心方块）</t>
        </is>
      </c>
    </row>
    <row r="380" ht="15" customHeight="1" s="111">
      <c r="A380" s="121" t="inlineStr">
        <is>
          <t>K555</t>
        </is>
      </c>
      <c r="B380" s="122" t="inlineStr">
        <is>
          <t>01-补充</t>
        </is>
      </c>
      <c r="C380" s="121" t="inlineStr">
        <is>
          <t>Anan</t>
        </is>
      </c>
      <c r="D380" s="122" t="inlineStr">
        <is>
          <t>干预</t>
        </is>
      </c>
      <c r="E380" s="125" t="inlineStr">
        <is>
          <t>A2</t>
        </is>
      </c>
      <c r="F380" s="126" t="inlineStr">
        <is>
          <t>非言语沟通</t>
        </is>
      </c>
      <c r="G380" s="126" t="inlineStr">
        <is>
          <t>综合沟通</t>
        </is>
      </c>
      <c r="H380" s="121" t="inlineStr">
        <is>
          <t>DV82</t>
        </is>
      </c>
      <c r="I380" s="113" t="inlineStr">
        <is>
          <t>脚本外社交沟通（Unscripted social communication）</t>
        </is>
      </c>
      <c r="J380" s="113" t="inlineStr">
        <is>
          <t>基线 vs 第一次交替期中的成人视频点（实心三角）</t>
        </is>
      </c>
    </row>
    <row r="381" ht="29.85" customHeight="1" s="111">
      <c r="A381" s="121" t="inlineStr">
        <is>
          <t>K556</t>
        </is>
      </c>
      <c r="B381" s="122" t="inlineStr">
        <is>
          <t>01-补充</t>
        </is>
      </c>
      <c r="C381" s="121" t="inlineStr">
        <is>
          <t>Bobo</t>
        </is>
      </c>
      <c r="D381" s="122" t="inlineStr">
        <is>
          <t>干预</t>
        </is>
      </c>
      <c r="E381" s="125" t="inlineStr">
        <is>
          <t>A2</t>
        </is>
      </c>
      <c r="F381" s="126" t="inlineStr">
        <is>
          <t>非言语沟通</t>
        </is>
      </c>
      <c r="G381" s="126" t="inlineStr">
        <is>
          <t>综合沟通</t>
        </is>
      </c>
      <c r="H381" s="121" t="inlineStr">
        <is>
          <t>DV82</t>
        </is>
      </c>
      <c r="I381" s="113" t="inlineStr">
        <is>
          <t>脚本外社交沟通（Unscripted social communication）</t>
        </is>
      </c>
      <c r="J381" s="113" t="inlineStr">
        <is>
          <t>基线 vs 第一次交替期中的动画视频点（实心方块）</t>
        </is>
      </c>
    </row>
    <row r="382" ht="29.85" customHeight="1" s="111">
      <c r="A382" s="121" t="inlineStr">
        <is>
          <t>K557</t>
        </is>
      </c>
      <c r="B382" s="122" t="inlineStr">
        <is>
          <t>01-补充</t>
        </is>
      </c>
      <c r="C382" s="121" t="inlineStr">
        <is>
          <t>Bobo</t>
        </is>
      </c>
      <c r="D382" s="122" t="inlineStr">
        <is>
          <t>干预</t>
        </is>
      </c>
      <c r="E382" s="125" t="inlineStr">
        <is>
          <t>A2</t>
        </is>
      </c>
      <c r="F382" s="126" t="inlineStr">
        <is>
          <t>非言语沟通</t>
        </is>
      </c>
      <c r="G382" s="126" t="inlineStr">
        <is>
          <t>综合沟通</t>
        </is>
      </c>
      <c r="H382" s="121" t="inlineStr">
        <is>
          <t>DV82</t>
        </is>
      </c>
      <c r="I382" s="113" t="inlineStr">
        <is>
          <t>脚本外社交沟通（Unscripted social communication）</t>
        </is>
      </c>
      <c r="J382" s="113" t="inlineStr">
        <is>
          <t>基线 vs 第一次交替期中的成人视频点（实心三角）</t>
        </is>
      </c>
    </row>
    <row r="383" ht="29.85" customHeight="1" s="111">
      <c r="A383" s="121" t="inlineStr">
        <is>
          <t>K558</t>
        </is>
      </c>
      <c r="B383" s="122" t="inlineStr">
        <is>
          <t>01-补充</t>
        </is>
      </c>
      <c r="C383" s="121" t="inlineStr">
        <is>
          <t>Cici</t>
        </is>
      </c>
      <c r="D383" s="122" t="inlineStr">
        <is>
          <t>干预</t>
        </is>
      </c>
      <c r="E383" s="125" t="inlineStr">
        <is>
          <t>A2</t>
        </is>
      </c>
      <c r="F383" s="126" t="inlineStr">
        <is>
          <t>非言语沟通</t>
        </is>
      </c>
      <c r="G383" s="126" t="inlineStr">
        <is>
          <t>综合沟通</t>
        </is>
      </c>
      <c r="H383" s="121" t="inlineStr">
        <is>
          <t>DV82</t>
        </is>
      </c>
      <c r="I383" s="113" t="inlineStr">
        <is>
          <t>脚本外社交沟通（Unscripted social communication）</t>
        </is>
      </c>
      <c r="J383" s="113" t="inlineStr">
        <is>
          <t>基线 vs 第一次交替期中的动画视频点（实心方块）</t>
        </is>
      </c>
    </row>
    <row r="384" ht="29.85" customHeight="1" s="111">
      <c r="A384" s="121" t="inlineStr">
        <is>
          <t>K559</t>
        </is>
      </c>
      <c r="B384" s="122" t="inlineStr">
        <is>
          <t>01-补充</t>
        </is>
      </c>
      <c r="C384" s="121" t="inlineStr">
        <is>
          <t>Cici</t>
        </is>
      </c>
      <c r="D384" s="122" t="inlineStr">
        <is>
          <t>干预</t>
        </is>
      </c>
      <c r="E384" s="125" t="inlineStr">
        <is>
          <t>A2</t>
        </is>
      </c>
      <c r="F384" s="126" t="inlineStr">
        <is>
          <t>非言语沟通</t>
        </is>
      </c>
      <c r="G384" s="126" t="inlineStr">
        <is>
          <t>综合沟通</t>
        </is>
      </c>
      <c r="H384" s="121" t="inlineStr">
        <is>
          <t>DV82</t>
        </is>
      </c>
      <c r="I384" s="113" t="inlineStr">
        <is>
          <t>脚本外社交沟通（Unscripted social communication）</t>
        </is>
      </c>
      <c r="J384" s="113" t="inlineStr">
        <is>
          <t>基线 vs 第一次交替期中的成人视频点（实心三角）</t>
        </is>
      </c>
    </row>
    <row r="385" ht="29.85" customHeight="1" s="111">
      <c r="A385" s="129" t="inlineStr">
        <is>
          <t>K564</t>
        </is>
      </c>
      <c r="B385" s="130" t="inlineStr">
        <is>
          <t>002-滚雪球</t>
        </is>
      </c>
      <c r="C385" s="129" t="inlineStr">
        <is>
          <t>Nick</t>
        </is>
      </c>
      <c r="D385" s="130" t="inlineStr">
        <is>
          <t>干预</t>
        </is>
      </c>
      <c r="E385" s="129" t="inlineStr">
        <is>
          <t>A3</t>
        </is>
      </c>
      <c r="F385" s="130" t="inlineStr">
        <is>
          <t>人际关系发展</t>
        </is>
      </c>
      <c r="G385" s="130" t="inlineStr">
        <is>
          <t>情境适应</t>
        </is>
      </c>
      <c r="H385" s="129" t="inlineStr">
        <is>
          <t>DV84</t>
        </is>
      </c>
      <c r="I385" s="131" t="inlineStr">
        <is>
          <t>购物结账社会及购买技能独立完成步骤总数（6步，含付款、取货）</t>
        </is>
      </c>
      <c r="J385" s="131" t="inlineStr">
        <is>
          <t>原购物店Baseline vs 视频示范+言语提示Intervention</t>
        </is>
      </c>
    </row>
    <row r="386" ht="29.85" customHeight="1" s="111">
      <c r="A386" s="129" t="inlineStr">
        <is>
          <t>K565</t>
        </is>
      </c>
      <c r="B386" s="130" t="inlineStr">
        <is>
          <t>002-滚雪球</t>
        </is>
      </c>
      <c r="C386" s="129" t="inlineStr">
        <is>
          <t>Nick</t>
        </is>
      </c>
      <c r="D386" s="130" t="inlineStr">
        <is>
          <t>泛化</t>
        </is>
      </c>
      <c r="E386" s="129" t="inlineStr">
        <is>
          <t>A3</t>
        </is>
      </c>
      <c r="F386" s="130" t="inlineStr">
        <is>
          <t>人际关系发展</t>
        </is>
      </c>
      <c r="G386" s="130" t="inlineStr">
        <is>
          <t>情境适应</t>
        </is>
      </c>
      <c r="H386" s="129" t="inlineStr">
        <is>
          <t>DV84</t>
        </is>
      </c>
      <c r="I386" s="131" t="inlineStr">
        <is>
          <t>购物结账社会及购买技能独立完成步骤总数（6步，含付款、取货）</t>
        </is>
      </c>
      <c r="J386" s="131" t="inlineStr">
        <is>
          <t>原购物店Baseline vs 第二家未训练店Generalization</t>
        </is>
      </c>
    </row>
    <row r="387" ht="29.85" customHeight="1" s="111">
      <c r="A387" s="129" t="inlineStr">
        <is>
          <t>K566</t>
        </is>
      </c>
      <c r="B387" s="130" t="inlineStr">
        <is>
          <t>061-二次</t>
        </is>
      </c>
      <c r="C387" s="129" t="inlineStr">
        <is>
          <t>Kevin</t>
        </is>
      </c>
      <c r="D387" s="130" t="inlineStr">
        <is>
          <t>干预</t>
        </is>
      </c>
      <c r="E387" s="129" t="inlineStr">
        <is>
          <t>A2</t>
        </is>
      </c>
      <c r="F387" s="130" t="inlineStr">
        <is>
          <t>非言语沟通</t>
        </is>
      </c>
      <c r="G387" s="130" t="inlineStr">
        <is>
          <t>综合沟通</t>
        </is>
      </c>
      <c r="H387" s="129" t="inlineStr">
        <is>
          <t>DV85</t>
        </is>
      </c>
      <c r="I387" s="131" t="inlineStr">
        <is>
          <t>三项社交沟通目标合计正确率（请求拼图、合作积木、排队转换）</t>
        </is>
      </c>
      <c r="J387" s="131" t="inlineStr">
        <is>
          <t>第一次Baseline A（会话1–5）vs第一次Treatment B（会话6–10）；第二轮A/B不另增加K。</t>
        </is>
      </c>
    </row>
    <row r="388" ht="29.85" customHeight="1" s="111">
      <c r="A388" s="129" t="inlineStr">
        <is>
          <t>K567</t>
        </is>
      </c>
      <c r="B388" s="130" t="inlineStr">
        <is>
          <t>061-二次</t>
        </is>
      </c>
      <c r="C388" s="129" t="inlineStr">
        <is>
          <t>Ricky</t>
        </is>
      </c>
      <c r="D388" s="130" t="inlineStr">
        <is>
          <t>干预</t>
        </is>
      </c>
      <c r="E388" s="129" t="inlineStr">
        <is>
          <t>A2</t>
        </is>
      </c>
      <c r="F388" s="130" t="inlineStr">
        <is>
          <t>非言语沟通</t>
        </is>
      </c>
      <c r="G388" s="130" t="inlineStr">
        <is>
          <t>综合沟通</t>
        </is>
      </c>
      <c r="H388" s="129" t="inlineStr">
        <is>
          <t>DV85</t>
        </is>
      </c>
      <c r="I388" s="131" t="inlineStr">
        <is>
          <t>三项社交沟通目标合计正确率（请求拼图、合作积木、排队转换）</t>
        </is>
      </c>
      <c r="J388" s="131" t="inlineStr">
        <is>
          <t>第一次Baseline A（会话1–5）vs第一次Treatment B（会话6–10）；第二轮A/B不另增加K。</t>
        </is>
      </c>
    </row>
    <row r="389" ht="29.85" customHeight="1" s="111">
      <c r="A389" s="129" t="inlineStr">
        <is>
          <t>K568</t>
        </is>
      </c>
      <c r="B389" s="130" t="inlineStr">
        <is>
          <t>061-二次</t>
        </is>
      </c>
      <c r="C389" s="129" t="inlineStr">
        <is>
          <t>Andy</t>
        </is>
      </c>
      <c r="D389" s="130" t="inlineStr">
        <is>
          <t>干预</t>
        </is>
      </c>
      <c r="E389" s="129" t="inlineStr">
        <is>
          <t>A2</t>
        </is>
      </c>
      <c r="F389" s="130" t="inlineStr">
        <is>
          <t>非言语沟通</t>
        </is>
      </c>
      <c r="G389" s="130" t="inlineStr">
        <is>
          <t>综合沟通</t>
        </is>
      </c>
      <c r="H389" s="129" t="inlineStr">
        <is>
          <t>DV85</t>
        </is>
      </c>
      <c r="I389" s="131" t="inlineStr">
        <is>
          <t>三项社交沟通目标合计正确率（请求拼图、合作积木、排队转换）</t>
        </is>
      </c>
      <c r="J389" s="131" t="inlineStr">
        <is>
          <t>第一次Baseline A（会话1–5）vs第一次Treatment B（会话6–10）；第二轮A/B不另增加K。</t>
        </is>
      </c>
    </row>
    <row r="390" ht="29.85" customHeight="1" s="111">
      <c r="A390" s="129" t="inlineStr">
        <is>
          <t>K569</t>
        </is>
      </c>
      <c r="B390" s="130" t="inlineStr">
        <is>
          <t>061-二次</t>
        </is>
      </c>
      <c r="C390" s="129" t="inlineStr">
        <is>
          <t>Adrian</t>
        </is>
      </c>
      <c r="D390" s="130" t="inlineStr">
        <is>
          <t>干预</t>
        </is>
      </c>
      <c r="E390" s="129" t="inlineStr">
        <is>
          <t>A2</t>
        </is>
      </c>
      <c r="F390" s="130" t="inlineStr">
        <is>
          <t>非言语沟通</t>
        </is>
      </c>
      <c r="G390" s="130" t="inlineStr">
        <is>
          <t>综合沟通</t>
        </is>
      </c>
      <c r="H390" s="129" t="inlineStr">
        <is>
          <t>DV85</t>
        </is>
      </c>
      <c r="I390" s="131" t="inlineStr">
        <is>
          <t>三项社交沟通目标合计正确率（请求拼图、合作积木、排队转换）</t>
        </is>
      </c>
      <c r="J390" s="131" t="inlineStr">
        <is>
          <t>第一次Baseline A（会话1–5）vs第一次Treatment B（会话6–10）；第二轮A/B不另增加K。</t>
        </is>
      </c>
    </row>
    <row r="391" ht="29.85" customHeight="1" s="111">
      <c r="A391" s="129" t="inlineStr">
        <is>
          <t>K570</t>
        </is>
      </c>
      <c r="B391" s="130" t="inlineStr">
        <is>
          <t>061-二次</t>
        </is>
      </c>
      <c r="C391" s="129" t="inlineStr">
        <is>
          <t>Sue</t>
        </is>
      </c>
      <c r="D391" s="130" t="inlineStr">
        <is>
          <t>干预</t>
        </is>
      </c>
      <c r="E391" s="129" t="inlineStr">
        <is>
          <t>A2</t>
        </is>
      </c>
      <c r="F391" s="130" t="inlineStr">
        <is>
          <t>非言语沟通</t>
        </is>
      </c>
      <c r="G391" s="130" t="inlineStr">
        <is>
          <t>综合沟通</t>
        </is>
      </c>
      <c r="H391" s="129" t="inlineStr">
        <is>
          <t>DV85</t>
        </is>
      </c>
      <c r="I391" s="131" t="inlineStr">
        <is>
          <t>三项社交沟通目标合计正确率（请求拼图、合作积木、排队转换）</t>
        </is>
      </c>
      <c r="J391" s="131" t="inlineStr">
        <is>
          <t>第一次Baseline A（会话1–5）vs第一次Treatment B（会话6–10）；第二轮A/B不另增加K。</t>
        </is>
      </c>
    </row>
    <row r="392" ht="29.85" customHeight="1" s="111">
      <c r="A392" s="129" t="inlineStr">
        <is>
          <t>K571</t>
        </is>
      </c>
      <c r="B392" s="130" t="inlineStr">
        <is>
          <t>061-二次</t>
        </is>
      </c>
      <c r="C392" s="129" t="inlineStr">
        <is>
          <t>Wes</t>
        </is>
      </c>
      <c r="D392" s="130" t="inlineStr">
        <is>
          <t>干预</t>
        </is>
      </c>
      <c r="E392" s="129" t="inlineStr">
        <is>
          <t>A2</t>
        </is>
      </c>
      <c r="F392" s="130" t="inlineStr">
        <is>
          <t>非言语沟通</t>
        </is>
      </c>
      <c r="G392" s="130" t="inlineStr">
        <is>
          <t>综合沟通</t>
        </is>
      </c>
      <c r="H392" s="129" t="inlineStr">
        <is>
          <t>DV85</t>
        </is>
      </c>
      <c r="I392" s="131" t="inlineStr">
        <is>
          <t>三项社交沟通目标合计正确率（请求拼图、合作积木、排队转换）</t>
        </is>
      </c>
      <c r="J392" s="131" t="inlineStr">
        <is>
          <t>第一次Baseline A（会话1–5）vs第一次Treatment B（会话6–10）；第二轮A/B不另增加K。</t>
        </is>
      </c>
    </row>
    <row r="393" ht="29.85" customHeight="1" s="111">
      <c r="A393" s="129" t="inlineStr">
        <is>
          <t>K572</t>
        </is>
      </c>
      <c r="B393" s="130" t="inlineStr">
        <is>
          <t>061-二次</t>
        </is>
      </c>
      <c r="C393" s="129" t="inlineStr">
        <is>
          <t>Kade</t>
        </is>
      </c>
      <c r="D393" s="130" t="inlineStr">
        <is>
          <t>干预</t>
        </is>
      </c>
      <c r="E393" s="129" t="inlineStr">
        <is>
          <t>A2</t>
        </is>
      </c>
      <c r="F393" s="130" t="inlineStr">
        <is>
          <t>非言语沟通</t>
        </is>
      </c>
      <c r="G393" s="130" t="inlineStr">
        <is>
          <t>综合沟通</t>
        </is>
      </c>
      <c r="H393" s="129" t="inlineStr">
        <is>
          <t>DV85</t>
        </is>
      </c>
      <c r="I393" s="131" t="inlineStr">
        <is>
          <t>三项社交沟通目标合计正确率（请求拼图、合作积木、排队转换）</t>
        </is>
      </c>
      <c r="J393" s="131" t="inlineStr">
        <is>
          <t>两个首次VM前Baseline A（会话1–10）vs连续两个Treatment B（会话11–19）；B1五点、B2四点。</t>
        </is>
      </c>
    </row>
    <row r="394" ht="29.85" customHeight="1" s="111">
      <c r="A394" s="129" t="inlineStr">
        <is>
          <t>K573</t>
        </is>
      </c>
      <c r="B394" s="130" t="inlineStr">
        <is>
          <t>061-二次</t>
        </is>
      </c>
      <c r="C394" s="129" t="inlineStr">
        <is>
          <t>Hank</t>
        </is>
      </c>
      <c r="D394" s="130" t="inlineStr">
        <is>
          <t>干预</t>
        </is>
      </c>
      <c r="E394" s="129" t="inlineStr">
        <is>
          <t>A2</t>
        </is>
      </c>
      <c r="F394" s="130" t="inlineStr">
        <is>
          <t>非言语沟通</t>
        </is>
      </c>
      <c r="G394" s="130" t="inlineStr">
        <is>
          <t>综合沟通</t>
        </is>
      </c>
      <c r="H394" s="129" t="inlineStr">
        <is>
          <t>DV85</t>
        </is>
      </c>
      <c r="I394" s="131" t="inlineStr">
        <is>
          <t>三项社交沟通目标合计正确率（请求拼图、合作积木、排队转换）</t>
        </is>
      </c>
      <c r="J394" s="131" t="inlineStr">
        <is>
          <t>两个首次VM前Baseline A（会话1–10）vs连续两个Treatment B（会话11–19）；B1五点、B2四点。</t>
        </is>
      </c>
    </row>
    <row r="395" ht="29.85" customHeight="1" s="111"/>
    <row r="396" ht="29.85" customHeight="1" s="111"/>
    <row r="397" ht="29.85" customHeight="1" s="111"/>
    <row r="398" ht="29.85" customHeight="1" s="111"/>
    <row r="399" ht="29.85" customHeight="1" s="111"/>
    <row r="400" ht="29.85" customHeight="1" s="111"/>
    <row r="401" ht="29.85" customHeight="1" s="111"/>
    <row r="402" ht="29.85" customHeight="1" s="111"/>
    <row r="403" ht="29.85" customHeight="1" s="111"/>
    <row r="404" ht="29.85" customHeight="1" s="111"/>
    <row r="405" ht="29.85" customHeight="1" s="111"/>
    <row r="406" ht="29.85" customHeight="1" s="111"/>
    <row r="407" ht="29.85" customHeight="1" s="111"/>
    <row r="408" ht="29.85" customHeight="1" s="111"/>
    <row r="409" ht="29.85" customHeight="1" s="111"/>
    <row r="410" ht="29.85" customHeight="1" s="111"/>
    <row r="411" ht="29.85" customHeight="1" s="111"/>
    <row r="412" ht="29.85" customHeight="1" s="111"/>
    <row r="413" ht="29.85" customHeight="1" s="111"/>
    <row r="414" ht="29.85" customHeight="1" s="111"/>
    <row r="415" ht="29.85" customHeight="1" s="111"/>
    <row r="416" ht="29.85" customHeight="1" s="111"/>
    <row r="417" ht="29.85" customHeight="1" s="111"/>
    <row r="418" ht="29.85" customHeight="1" s="111"/>
    <row r="419" ht="29.85" customHeight="1" s="111"/>
    <row r="420" ht="29.85" customHeight="1" s="111"/>
    <row r="421" ht="54" customHeight="1" s="111"/>
    <row r="422" ht="54" customHeight="1" s="111"/>
    <row r="423" ht="54" customHeight="1" s="111"/>
    <row r="424" ht="54" customHeight="1" s="111"/>
    <row r="425" ht="54" customHeight="1" s="111"/>
    <row r="426" ht="54" customHeight="1" s="111"/>
    <row r="427" ht="54" customHeight="1" s="111"/>
    <row r="428" ht="54" customHeight="1" s="111"/>
    <row r="429" ht="54" customHeight="1" s="111"/>
    <row r="430" ht="54" customHeight="1" s="111"/>
  </sheetData>
  <autoFilter ref="A1:J39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15"/>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9" customWidth="1" style="110" min="1" max="1"/>
    <col width="12" customWidth="1" style="110" min="2" max="2"/>
    <col width="11" customWidth="1" style="110" min="3" max="3"/>
    <col width="48" customWidth="1" style="110" min="4" max="4"/>
    <col width="34" customWidth="1" style="110" min="5" max="5"/>
    <col width="8" customWidth="1" style="110" min="6" max="6"/>
    <col width="7" customWidth="1" style="110" min="7" max="7"/>
    <col width="8" customWidth="1" style="110" min="8" max="8"/>
    <col width="70" customWidth="1" style="110" min="9" max="9"/>
  </cols>
  <sheetData>
    <row r="1" ht="30" customHeight="1" s="111">
      <c r="A1" s="120" t="inlineStr">
        <is>
          <t>DSM-5-TR条目</t>
        </is>
      </c>
      <c r="B1" s="120" t="inlineStr">
        <is>
          <t>领域</t>
        </is>
      </c>
      <c r="C1" s="120" t="inlineStr">
        <is>
          <t>类型</t>
        </is>
      </c>
      <c r="D1" s="120" t="inlineStr">
        <is>
          <t>这一类指什么</t>
        </is>
      </c>
      <c r="E1" s="120" t="inlineStr">
        <is>
          <t>对应诊断标准A的说法</t>
        </is>
      </c>
      <c r="F1" s="120" t="inlineStr">
        <is>
          <t>因变量数</t>
        </is>
      </c>
      <c r="G1" s="120" t="inlineStr">
        <is>
          <t>K数</t>
        </is>
      </c>
      <c r="H1" s="120" t="inlineStr">
        <is>
          <t>文献篇数</t>
        </is>
      </c>
      <c r="I1" s="120" t="inlineStr">
        <is>
          <t>包含的因变量</t>
        </is>
      </c>
    </row>
    <row r="2" ht="180" customHeight="1" s="111">
      <c r="A2" s="132" t="inlineStr">
        <is>
          <t>A1</t>
        </is>
      </c>
      <c r="B2" s="133" t="inlineStr">
        <is>
          <t>社交情感互惠</t>
        </is>
      </c>
      <c r="C2" s="133" t="inlineStr">
        <is>
          <t>社交发起</t>
        </is>
      </c>
      <c r="D2" s="113" t="inlineStr">
        <is>
          <t>儿童主动接近他人、用言语或动作引起同伴注意、向同伴发起互动、主动开始交谈、问候他人或介绍自己。</t>
        </is>
      </c>
      <c r="E2" s="113" t="inlineStr">
        <is>
          <t>A1：异常的社交接近；不能发起社交互动</t>
        </is>
      </c>
      <c r="F2" s="119">
        <f>SUMPRODUCT((K分组表!$G$2:$G$394=C2)/COUNTIFS(K分组表!$H$2:$H$394,K分组表!$H$2:$H$394,K分组表!$G$2:$G$394,K分组表!$G$2:$G$394))</f>
        <v/>
      </c>
      <c r="G2" s="119">
        <f>COUNTIF(K分组表!$G$2:$G$394,C2)</f>
        <v/>
      </c>
      <c r="H2" s="119">
        <f>SUMPRODUCT((K分组表!$G$2:$G$394=C2)/COUNTIFS(K分组表!$B$2:$B$394,K分组表!$B$2:$B$394,K分组表!$G$2:$G$394,K分组表!$G$2:$G$394))</f>
        <v/>
      </c>
      <c r="I2" s="113" t="inlineStr">
        <is>
          <t>DV22 026 向同伴社会发起（身体发起＋发声发起）；DV23 027 向同伴社会发起（身体发起＋发声发起）；DV24 029 向同伴自发发起游戏互动；DV56 051 向同伴社会发起（身体发起＋发声发起）；DV16 013滚 介绍自己（Introducing Self）；DV37 034 主动发起问题或评论；DV41 035 开始交谈（Conversation）；DV74 069滚 沟通发起；DV77 102滚 问候他人；DV75 080 自主问候</t>
        </is>
      </c>
    </row>
    <row r="3" ht="58.2" customHeight="1" s="111">
      <c r="A3" s="132" t="inlineStr">
        <is>
          <t>A1</t>
        </is>
      </c>
      <c r="B3" s="133" t="inlineStr">
        <is>
          <t>社交情感互惠</t>
        </is>
      </c>
      <c r="C3" s="133" t="inlineStr">
        <is>
          <t>社交应答</t>
        </is>
      </c>
      <c r="D3" s="113" t="inlineStr">
        <is>
          <t>对他人的提问、请求或问候作出回应。</t>
        </is>
      </c>
      <c r="E3" s="113" t="inlineStr">
        <is>
          <t>A1：不能回应社交互动</t>
        </is>
      </c>
      <c r="F3" s="119">
        <f>SUMPRODUCT((K分组表!$G$2:$G$394=C3)/COUNTIFS(K分组表!$H$2:$H$394,K分组表!$H$2:$H$394,K分组表!$G$2:$G$394,K分组表!$G$2:$G$394))</f>
        <v/>
      </c>
      <c r="G3" s="119">
        <f>COUNTIF(K分组表!$G$2:$G$394,C3)</f>
        <v/>
      </c>
      <c r="H3" s="119">
        <f>SUMPRODUCT((K分组表!$G$2:$G$394=C3)/COUNTIFS(K分组表!$B$2:$B$394,K分组表!$B$2:$B$394,K分组表!$G$2:$G$394,K分组表!$G$2:$G$394))</f>
        <v/>
      </c>
      <c r="I3" s="113" t="inlineStr">
        <is>
          <t>DV02 001 回答问题（Responding to Questions）；DV05 002 回答问题和请求（Responding to Questions and Requests）；DV42 037 回答游戏情境中的提问；DV65 056滚 回答问题（Responding to Questions）；DV13 011 回应问候（Greetings）</t>
        </is>
      </c>
    </row>
    <row r="4" ht="86.55" customHeight="1" s="111">
      <c r="A4" s="132" t="inlineStr">
        <is>
          <t>A1</t>
        </is>
      </c>
      <c r="B4" s="133" t="inlineStr">
        <is>
          <t>社交情感互惠</t>
        </is>
      </c>
      <c r="C4" s="133" t="inlineStr">
        <is>
          <t>会话维持</t>
        </is>
      </c>
      <c r="D4" s="113" t="inlineStr">
        <is>
          <t>对话中的来回轮替：回答后反问、接话、就对方所说评论或提问，维持话题。</t>
        </is>
      </c>
      <c r="E4" s="113" t="inlineStr">
        <is>
          <t>A1：不能正常地来回对话</t>
        </is>
      </c>
      <c r="F4" s="119">
        <f>SUMPRODUCT((K分组表!$G$2:$G$394=C4)/COUNTIFS(K分组表!$H$2:$H$394,K分组表!$H$2:$H$394,K分组表!$G$2:$G$394,K分组表!$G$2:$G$394))</f>
        <v/>
      </c>
      <c r="G4" s="119">
        <f>COUNTIF(K分组表!$G$2:$G$394,C4)</f>
        <v/>
      </c>
      <c r="H4" s="119">
        <f>SUMPRODUCT((K分组表!$G$2:$G$394=C4)/COUNTIFS(K分组表!$B$2:$B$394,K分组表!$B$2:$B$394,K分组表!$G$2:$G$394,K分组表!$G$2:$G$394))</f>
        <v/>
      </c>
      <c r="I4" s="113" t="inlineStr">
        <is>
          <t>DV01 001 会话（Conversation）；DV06 002 维持会话（Conversation Maintenance）；DV10 005 话题对话（回答并就话题提问；学校/家庭话题）；DV20 017 维持会话（Maintaining conversations）；DV26 030滚 会话（Conversation）；DV66 056滚 维持交谈（Maintaining a Conversation）；DV69 057 向对话者询问意见；DV73 069滚 相关言语句子；DV21 018 会话：回答问题并反问</t>
        </is>
      </c>
    </row>
    <row r="5" ht="168" customHeight="1" s="111">
      <c r="A5" s="132" t="inlineStr">
        <is>
          <t>A1</t>
        </is>
      </c>
      <c r="B5" s="133" t="inlineStr">
        <is>
          <t>社交情感互惠</t>
        </is>
      </c>
      <c r="C5" s="133" t="inlineStr">
        <is>
          <t>需求表达</t>
        </is>
      </c>
      <c r="D5" s="113" t="inlineStr">
        <is>
          <t>通过口语、图卡或动作向他人表达愿望和需求，请求物品或行动，询问信息；主动或自发请求也归本类。</t>
        </is>
      </c>
      <c r="E5" s="113" t="inlineStr">
        <is>
          <t>A1：不能发起社交互动（以表达需求、提出请求为目的）</t>
        </is>
      </c>
      <c r="F5" s="119">
        <f>SUMPRODUCT((K分组表!$G$2:$G$394=C5)/COUNTIFS(K分组表!$H$2:$H$394,K分组表!$H$2:$H$394,K分组表!$G$2:$G$394,K分组表!$G$2:$G$394))</f>
        <v/>
      </c>
      <c r="G5" s="119">
        <f>COUNTIF(K分组表!$G$2:$G$394,C5)</f>
        <v/>
      </c>
      <c r="H5" s="119">
        <f>SUMPRODUCT((K分组表!$G$2:$G$394=C5)/COUNTIFS(K分组表!$B$2:$B$394,K分组表!$B$2:$B$394,K分组表!$G$2:$G$394,K分组表!$G$2:$G$394))</f>
        <v/>
      </c>
      <c r="I5" s="113" t="inlineStr">
        <is>
          <t>DV04 002 表达愿望和需求（Expressing Wants and Needs）；DV40 035 表达需求（Wants and Needs）；DV45 038滚 表达需求（Expressing Wants and Needs）；DV57 051滚 表达需求（Expressing Wants and Needs）；DV67 056滚 表达需求（Expressing Wants and Needs）；DV08 005 条件请求（conditional mands）；DV60 052 自发请求（无协助请求物品或行动）；DV09 005 提问（Where/Who问句）；DV72 066 主动表达需要（口语、图卡或动作）</t>
        </is>
      </c>
    </row>
    <row r="6" ht="72.34999999999999" customHeight="1" s="111">
      <c r="A6" s="132" t="inlineStr">
        <is>
          <t>A1</t>
        </is>
      </c>
      <c r="B6" s="133" t="inlineStr">
        <is>
          <t>社交情感互惠</t>
        </is>
      </c>
      <c r="C6" s="133" t="inlineStr">
        <is>
          <t>情感分享</t>
        </is>
      </c>
      <c r="D6" s="113" t="inlineStr">
        <is>
          <t>就共同活动主动评论，说出自己的情绪及原因，询问他人感受、安慰他人或从对方角度回应。</t>
        </is>
      </c>
      <c r="E6" s="113" t="inlineStr">
        <is>
          <t>A1：分享兴趣、情绪或情感减少</t>
        </is>
      </c>
      <c r="F6" s="119">
        <f>SUMPRODUCT((K分组表!$G$2:$G$394=C6)/COUNTIFS(K分组表!$H$2:$H$394,K分组表!$H$2:$H$394,K分组表!$G$2:$G$394,K分组表!$G$2:$G$394))</f>
        <v/>
      </c>
      <c r="G6" s="119">
        <f>COUNTIF(K分组表!$G$2:$G$394,C6)</f>
        <v/>
      </c>
      <c r="H6" s="119">
        <f>SUMPRODUCT((K分组表!$G$2:$G$394=C6)/COUNTIFS(K分组表!$B$2:$B$394,K分组表!$B$2:$B$394,K分组表!$G$2:$G$394,K分组表!$G$2:$G$394))</f>
        <v/>
      </c>
      <c r="I6" s="113" t="inlineStr">
        <is>
          <t>DV61 055 恰当言语评论；DV59 051滚 识别和表达情绪（Recognizing and Expressing Emotions）；DV12 011 社交评论（Social Commenting）；DV27 030滚 观点采择（Perspective Taking）；DV58 051滚 观点采择（Perspective Taking）</t>
        </is>
      </c>
    </row>
    <row r="7" ht="44" customHeight="1" s="111">
      <c r="A7" s="134" t="inlineStr">
        <is>
          <t>A2</t>
        </is>
      </c>
      <c r="B7" s="135" t="inlineStr">
        <is>
          <t>非言语沟通</t>
        </is>
      </c>
      <c r="C7" s="135" t="inlineStr">
        <is>
          <t>交往仪态</t>
        </is>
      </c>
      <c r="D7" s="113" t="inlineStr">
        <is>
          <t>与人沟通时的目光接触及基本交往表现，包括身体朝向、适宜音量、面部表情和身体放松等（含Body Basics综合指标）。</t>
        </is>
      </c>
      <c r="E7" s="113" t="inlineStr">
        <is>
          <t>A2：目光接触和身体语言异常</t>
        </is>
      </c>
      <c r="F7" s="119">
        <f>SUMPRODUCT((K分组表!$G$2:$G$394=C7)/COUNTIFS(K分组表!$H$2:$H$394,K分组表!$H$2:$H$394,K分组表!$G$2:$G$394,K分组表!$G$2:$G$394))</f>
        <v/>
      </c>
      <c r="G7" s="119">
        <f>COUNTIF(K分组表!$G$2:$G$394,C7)</f>
        <v/>
      </c>
      <c r="H7" s="119">
        <f>SUMPRODUCT((K分组表!$G$2:$G$394=C7)/COUNTIFS(K分组表!$B$2:$B$394,K分组表!$B$2:$B$394,K分组表!$G$2:$G$394,K分组表!$G$2:$G$394))</f>
        <v/>
      </c>
      <c r="I7" s="113" t="inlineStr">
        <is>
          <t>DV03 002 非言语基本技能（Body Basics）；DV18 013滚 非言语基本技能（Body Basics）；DV38 035 非言语基本技能（Body Basics）；DV43 038滚 非言语基本技能（Body Basics）；DV35 034 目光接触</t>
        </is>
      </c>
    </row>
    <row r="8" ht="29.85" customHeight="1" s="111">
      <c r="A8" s="134" t="inlineStr">
        <is>
          <t>A2</t>
        </is>
      </c>
      <c r="B8" s="135" t="inlineStr">
        <is>
          <t>非言语沟通</t>
        </is>
      </c>
      <c r="C8" s="135" t="inlineStr">
        <is>
          <t>表情与手势</t>
        </is>
      </c>
      <c r="D8" s="113" t="inlineStr">
        <is>
          <t>微笑、恰当的面部表情和沟通手势。</t>
        </is>
      </c>
      <c r="E8" s="113" t="inlineStr">
        <is>
          <t>A2：理解和使用手势的缺陷；缺乏面部表情</t>
        </is>
      </c>
      <c r="F8" s="119">
        <f>SUMPRODUCT((K分组表!$G$2:$G$394=C8)/COUNTIFS(K分组表!$H$2:$H$394,K分组表!$H$2:$H$394,K分组表!$G$2:$G$394,K分组表!$G$2:$G$394))</f>
        <v/>
      </c>
      <c r="G8" s="119">
        <f>COUNTIF(K分组表!$G$2:$G$394,C8)</f>
        <v/>
      </c>
      <c r="H8" s="119">
        <f>SUMPRODUCT((K分组表!$G$2:$G$394=C8)/COUNTIFS(K分组表!$B$2:$B$394,K分组表!$B$2:$B$394,K分组表!$G$2:$G$394,K分组表!$G$2:$G$394))</f>
        <v/>
      </c>
      <c r="I8" s="113" t="inlineStr">
        <is>
          <t>DV36 034 微笑；DV64 055 恰当面部表情；DV63 055 沟通手势</t>
        </is>
      </c>
    </row>
    <row r="9" ht="29.85" customHeight="1" s="111">
      <c r="A9" s="134" t="inlineStr">
        <is>
          <t>A2</t>
        </is>
      </c>
      <c r="B9" s="135" t="inlineStr">
        <is>
          <t>非言语沟通</t>
        </is>
      </c>
      <c r="C9" s="135" t="inlineStr">
        <is>
          <t>情绪表达</t>
        </is>
      </c>
      <c r="D9" s="113" t="inlineStr">
        <is>
          <t>通过表情、手势、语调和言语表达与情境相符的情绪或情感态度，包括高兴、生气、同情、赞赏、不赞同及带有正负情感色彩的语调。</t>
        </is>
      </c>
      <c r="E9" s="113" t="inlineStr">
        <is>
          <t>A2：面部表情和非言语交流</t>
        </is>
      </c>
      <c r="F9" s="119">
        <f>SUMPRODUCT((K分组表!$G$2:$G$394=C9)/COUNTIFS(K分组表!$H$2:$H$394,K分组表!$H$2:$H$394,K分组表!$G$2:$G$394,K分组表!$G$2:$G$394))</f>
        <v/>
      </c>
      <c r="G9" s="119">
        <f>COUNTIF(K分组表!$G$2:$G$394,C9)</f>
        <v/>
      </c>
      <c r="H9" s="119">
        <f>SUMPRODUCT((K分组表!$G$2:$G$394=C9)/COUNTIFS(K分组表!$B$2:$B$394,K分组表!$B$2:$B$394,K分组表!$G$2:$G$394,K分组表!$G$2:$G$394))</f>
        <v/>
      </c>
      <c r="I9" s="113" t="inlineStr">
        <is>
          <t>DV71 065 恰当社会回应（高兴/生气情境中的表情、手势、言语）；DV80 059 适宜情感反应（同情、赞赏、不赞同）；DV62 055 恰当语调（情感色彩、语气及重音）</t>
        </is>
      </c>
    </row>
    <row r="10" ht="190" customHeight="1" s="111">
      <c r="A10" s="134" t="inlineStr">
        <is>
          <t>A2</t>
        </is>
      </c>
      <c r="B10" s="135" t="inlineStr">
        <is>
          <t>非言语沟通</t>
        </is>
      </c>
      <c r="C10" s="135" t="inlineStr">
        <is>
          <t>综合沟通</t>
        </is>
      </c>
      <c r="D10" s="113" t="inlineStr">
        <is>
          <t>多个沟通成分合在一起计分的综合社交沟通，包括口语、动作、手势、指物、递物、目光等；功能明确为表达需要的请求归A1需求表达。</t>
        </is>
      </c>
      <c r="E10" s="113" t="inlineStr">
        <is>
          <t>A2：言语与非言语交流整合不良</t>
        </is>
      </c>
      <c r="F10" s="119">
        <f>SUMPRODUCT((K分组表!$G$2:$G$394=C10)/COUNTIFS(K分组表!$H$2:$H$394,K分组表!$H$2:$H$394,K分组表!$G$2:$G$394,K分组表!$G$2:$G$394))</f>
        <v/>
      </c>
      <c r="G10" s="119">
        <f>COUNTIF(K分组表!$G$2:$G$394,C10)</f>
        <v/>
      </c>
      <c r="H10" s="119">
        <f>SUMPRODUCT((K分组表!$G$2:$G$394=C10)/COUNTIFS(K分组表!$B$2:$B$394,K分组表!$B$2:$B$394,K分组表!$G$2:$G$394,K分组表!$G$2:$G$394))</f>
        <v/>
      </c>
      <c r="I10" s="113" t="inlineStr">
        <is>
          <t>DV78 110 社会脚本情境中的正确反应（言语回应＋面部表情＋身体表达）；DV81 01-补充 脚本内社交沟通（Scripted social communication）；DV82 01-补充 脚本外社交沟通（Unscripted social communication）；DV79 068 社交沟通目标行为总得分（回应他人＋主动表达，口语＋动作）；DV85 061 三项社交沟通目标合计正确率（请求拼图、合作积木、排队转换；按确认口径归类）</t>
        </is>
      </c>
    </row>
    <row r="11" ht="58.2" customHeight="1" s="111">
      <c r="A11" s="136" t="inlineStr">
        <is>
          <t>A3</t>
        </is>
      </c>
      <c r="B11" s="137" t="inlineStr">
        <is>
          <t>人际关系发展</t>
        </is>
      </c>
      <c r="C11" s="137" t="inlineStr">
        <is>
          <t>群体融入</t>
        </is>
      </c>
      <c r="D11" s="113" t="inlineStr">
        <is>
          <t>加入同伴正在进行的活动，参与小组活动，课间与同伴互动而不是独处。</t>
        </is>
      </c>
      <c r="E11" s="113" t="inlineStr">
        <is>
          <t>A3：对同伴缺乏兴趣；难以交朋友</t>
        </is>
      </c>
      <c r="F11" s="119">
        <f>SUMPRODUCT((K分组表!$G$2:$G$394=C11)/COUNTIFS(K分组表!$H$2:$H$394,K分组表!$H$2:$H$394,K分组表!$G$2:$G$394,K分组表!$G$2:$G$394))</f>
        <v/>
      </c>
      <c r="G11" s="119">
        <f>COUNTIF(K分组表!$G$2:$G$394,C11)</f>
        <v/>
      </c>
      <c r="H11" s="119">
        <f>SUMPRODUCT((K分组表!$G$2:$G$394=C11)/COUNTIFS(K分组表!$B$2:$B$394,K分组表!$B$2:$B$394,K分组表!$G$2:$G$394,K分组表!$G$2:$G$394))</f>
        <v/>
      </c>
      <c r="I11" s="113" t="inlineStr">
        <is>
          <t>DV17 013滚 参与（Participate）；DV19 017 加入（Joining in）；DV25 030滚 参与（Participation）；DV34 032 课间社交参与（与同伴直接互动或参加有组织活动）；DV39 035 参与（Participate）；DV44 038滚 参与（Participate）；DV68 056滚 参与（Participate）</t>
        </is>
      </c>
    </row>
    <row r="12" ht="44" customHeight="1" s="111">
      <c r="A12" s="136" t="inlineStr">
        <is>
          <t>A3</t>
        </is>
      </c>
      <c r="B12" s="137" t="inlineStr">
        <is>
          <t>人际关系发展</t>
        </is>
      </c>
      <c r="C12" s="137" t="inlineStr">
        <is>
          <t>游戏邀请</t>
        </is>
      </c>
      <c r="D12" s="113" t="inlineStr">
        <is>
          <t>主动邀请同伴一起玩、带对方参与活动，被拒后继续邀请。</t>
        </is>
      </c>
      <c r="E12" s="113" t="inlineStr">
        <is>
          <t>A3：难以分享游戏</t>
        </is>
      </c>
      <c r="F12" s="119">
        <f>SUMPRODUCT((K分组表!$G$2:$G$394=C12)/COUNTIFS(K分组表!$H$2:$H$394,K分组表!$H$2:$H$394,K分组表!$G$2:$G$394,K分组表!$G$2:$G$394))</f>
        <v/>
      </c>
      <c r="G12" s="119">
        <f>COUNTIF(K分组表!$G$2:$G$394,C12)</f>
        <v/>
      </c>
      <c r="H12" s="119">
        <f>SUMPRODUCT((K分组表!$G$2:$G$394=C12)/COUNTIFS(K分组表!$B$2:$B$394,K分组表!$B$2:$B$394,K分组表!$G$2:$G$394,K分组表!$G$2:$G$394))</f>
        <v/>
      </c>
      <c r="I12" s="113" t="inlineStr">
        <is>
          <t>DV07 004 被拒后坚持向同伴发起游戏邀请；DV46 039 社会发起（带对方参与活动）潜伏期；DV49 043 社会发起（带对方去玩）潜伏期；DV51 044 社会发起（带对方去玩）潜伏期</t>
        </is>
      </c>
    </row>
    <row r="13" ht="44" customHeight="1" s="111">
      <c r="A13" s="136" t="inlineStr">
        <is>
          <t>A3</t>
        </is>
      </c>
      <c r="B13" s="137" t="inlineStr">
        <is>
          <t>人际关系发展</t>
        </is>
      </c>
      <c r="C13" s="137" t="inlineStr">
        <is>
          <t>游戏互动</t>
        </is>
      </c>
      <c r="D13" s="113" t="inlineStr">
        <is>
          <t>游戏开始后与同伴或手足你来我往地一起玩，以及游戏中对玩伴说出的邀请、称赞、评论、收尾等话语。</t>
        </is>
      </c>
      <c r="E13" s="113" t="inlineStr">
        <is>
          <t>A3：难以分享游戏</t>
        </is>
      </c>
      <c r="F13" s="119">
        <f>SUMPRODUCT((K分组表!$G$2:$G$394=C13)/COUNTIFS(K分组表!$H$2:$H$394,K分组表!$H$2:$H$394,K分组表!$G$2:$G$394,K分组表!$G$2:$G$394))</f>
        <v/>
      </c>
      <c r="G13" s="119">
        <f>COUNTIF(K分组表!$G$2:$G$394,C13)</f>
        <v/>
      </c>
      <c r="H13" s="119">
        <f>SUMPRODUCT((K分组表!$G$2:$G$394=C13)/COUNTIFS(K分组表!$B$2:$B$394,K分组表!$B$2:$B$394,K分组表!$G$2:$G$394,K分组表!$G$2:$G$394))</f>
        <v/>
      </c>
      <c r="I13" s="113" t="inlineStr">
        <is>
          <t>DV47 039 互惠游戏总时长；DV50 043 互惠游戏平均时长；DV52 044 互惠游戏总时长；DV54 048 脚本游戏评论（正确率）；DV55 048 脚本与非脚本游戏评论（次数）</t>
        </is>
      </c>
    </row>
    <row r="14" ht="29.85" customHeight="1" s="111">
      <c r="A14" s="136" t="inlineStr">
        <is>
          <t>A3</t>
        </is>
      </c>
      <c r="B14" s="137" t="inlineStr">
        <is>
          <t>人际关系发展</t>
        </is>
      </c>
      <c r="C14" s="137" t="inlineStr">
        <is>
          <t>亲社会行为</t>
        </is>
      </c>
      <c r="D14" s="113" t="inlineStr">
        <is>
          <t>主动帮助他人，把玩具或学习材料分给他人使用。</t>
        </is>
      </c>
      <c r="E14" s="113" t="inlineStr">
        <is>
          <t>A3：发展和维持人际关系</t>
        </is>
      </c>
      <c r="F14" s="119">
        <f>SUMPRODUCT((K分组表!$G$2:$G$394=C14)/COUNTIFS(K分组表!$H$2:$H$394,K分组表!$H$2:$H$394,K分组表!$G$2:$G$394,K分组表!$G$2:$G$394))</f>
        <v/>
      </c>
      <c r="G14" s="119">
        <f>COUNTIF(K分组表!$G$2:$G$394,C14)</f>
        <v/>
      </c>
      <c r="H14" s="119">
        <f>SUMPRODUCT((K分组表!$G$2:$G$394=C14)/COUNTIFS(K分组表!$B$2:$B$394,K分组表!$B$2:$B$394,K分组表!$G$2:$G$394,K分组表!$G$2:$G$394))</f>
        <v/>
      </c>
      <c r="I14" s="113" t="inlineStr">
        <is>
          <t>DV14 011 分享（Sharing）；DV76 102滚 分享材料</t>
        </is>
      </c>
    </row>
    <row r="15" ht="190" customHeight="1" s="111">
      <c r="A15" s="136" t="inlineStr">
        <is>
          <t>A3</t>
        </is>
      </c>
      <c r="B15" s="137" t="inlineStr">
        <is>
          <t>人际关系发展</t>
        </is>
      </c>
      <c r="C15" s="137" t="inlineStr">
        <is>
          <t>情境适应</t>
        </is>
      </c>
      <c r="D15" s="113" t="inlineStr">
        <is>
          <t>按社交情境调整行为：对陌生成人恰当问候，按规则完成游戏轮次，在人际问题中冷静提出并执行解决办法。</t>
        </is>
      </c>
      <c r="E15" s="113" t="inlineStr">
        <is>
          <t>A3：难以调整行为以适应各种社交情境</t>
        </is>
      </c>
      <c r="F15" s="119">
        <f>SUMPRODUCT((K分组表!$G$2:$G$394=C15)/COUNTIFS(K分组表!$H$2:$H$394,K分组表!$H$2:$H$394,K分组表!$G$2:$G$394,K分组表!$G$2:$G$394))</f>
        <v/>
      </c>
      <c r="G15" s="119">
        <f>COUNTIF(K分组表!$G$2:$G$394,C15)</f>
        <v/>
      </c>
      <c r="H15" s="119">
        <f>SUMPRODUCT((K分组表!$G$2:$G$394=C15)/COUNTIFS(K分组表!$B$2:$B$394,K分组表!$B$2:$B$394,K分组表!$G$2:$G$394,K分组表!$G$2:$G$394))</f>
        <v/>
      </c>
      <c r="I15" s="113" t="inlineStr">
        <is>
          <t>DV70 057 恰当问候陌生成人；DV11 005 互动纸牌游戏（完成一轮并说出是否配对；Old Maid/Go Fish）；DV28 030滚 问题解决（Problem Solving）；DV84 002滚 购物结账社会及购买技能独立完成步骤总数（6步，含付款、取货）</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N394"/>
  <sheetViews>
    <sheetView showFormulas="0" showGridLines="1" showRowColHeaders="1" showZeros="1" rightToLeft="0" tabSelected="0" showOutlineSymbols="1" defaultGridColor="1"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7" customWidth="1" style="110" min="1" max="1"/>
    <col width="11" customWidth="1" style="110" min="2" max="2"/>
    <col width="10" customWidth="1" style="110" min="3" max="3"/>
    <col width="7" customWidth="1" style="110" min="4" max="4"/>
    <col width="34" customWidth="1" style="110" min="5" max="5"/>
    <col width="40" customWidth="1" style="110" min="6" max="6"/>
    <col width="7" customWidth="1" style="110" min="7" max="7"/>
    <col width="30" customWidth="1" style="110" min="8" max="8"/>
    <col width="7" customWidth="1" style="110" min="9" max="9"/>
    <col width="10" customWidth="1" style="110" min="10" max="10"/>
    <col width="9" customWidth="1" style="110" min="11" max="13"/>
    <col width="72" customWidth="1" style="110" min="14" max="14"/>
  </cols>
  <sheetData>
    <row r="1" ht="29.25" customHeight="1" s="111">
      <c r="A1" s="138" t="inlineStr">
        <is>
          <t>K编号</t>
        </is>
      </c>
      <c r="B1" s="139" t="inlineStr">
        <is>
          <t>文献编号</t>
        </is>
      </c>
      <c r="C1" s="139" t="inlineStr">
        <is>
          <t>儿童</t>
        </is>
      </c>
      <c r="D1" s="139" t="inlineStr">
        <is>
          <t>比较类型</t>
        </is>
      </c>
      <c r="E1" s="139" t="inlineStr">
        <is>
          <t>比较的两段（K清单）</t>
        </is>
      </c>
      <c r="F1" s="139" t="inlineStr">
        <is>
          <t>前段数值（按会话顺序）</t>
        </is>
      </c>
      <c r="G1" s="139" t="inlineStr">
        <is>
          <t>前段点数</t>
        </is>
      </c>
      <c r="H1" s="139" t="inlineStr">
        <is>
          <t>后段数值（按会话顺序）</t>
        </is>
      </c>
      <c r="I1" s="139" t="inlineStr">
        <is>
          <t>后段点数</t>
        </is>
      </c>
      <c r="J1" s="139" t="inlineStr">
        <is>
          <t>改善方向</t>
        </is>
      </c>
      <c r="K1" s="139" t="inlineStr">
        <is>
          <t>基线趋势τ</t>
        </is>
      </c>
      <c r="L1" s="139" t="inlineStr">
        <is>
          <t>基线趋势p</t>
        </is>
      </c>
      <c r="M1" s="139" t="inlineStr">
        <is>
          <t>是否校正</t>
        </is>
      </c>
      <c r="N1" s="139" t="inlineStr">
        <is>
          <t>图位置（图号／PDF页／面板／符号）</t>
        </is>
      </c>
    </row>
    <row r="2" ht="45" customHeight="1" s="111">
      <c r="A2" s="121" t="inlineStr">
        <is>
          <t>K001</t>
        </is>
      </c>
      <c r="B2" s="121" t="inlineStr">
        <is>
          <t>001-二次</t>
        </is>
      </c>
      <c r="C2" s="121" t="inlineStr">
        <is>
          <t>Otto</t>
        </is>
      </c>
      <c r="D2" s="140" t="inlineStr">
        <is>
          <t>干预</t>
        </is>
      </c>
      <c r="E2" s="119" t="inlineStr">
        <is>
          <t>Baseline vs Video-only 段</t>
        </is>
      </c>
      <c r="F2" s="119" t="inlineStr">
        <is>
          <t>0, 0, 40, 20, 0, 0, 0, 0</t>
        </is>
      </c>
      <c r="G2" s="121">
        <f>IF(F2="","",LEN(F2)-LEN(SUBSTITUTE(F2,",",""))+1)</f>
        <v/>
      </c>
      <c r="H2" s="119" t="inlineStr">
        <is>
          <t>25, 25, 0, 0, 25</t>
        </is>
      </c>
      <c r="I2" s="121">
        <f>IF(H2="","",LEN(H2)-LEN(SUBSTITUTE(H2,",",""))+1)</f>
        <v/>
      </c>
      <c r="J2" s="140" t="inlineStr">
        <is>
          <t>升高改善</t>
        </is>
      </c>
      <c r="K2" s="141" t="n">
        <v>-0.262</v>
      </c>
      <c r="L2" s="141" t="n">
        <v>0.411</v>
      </c>
      <c r="M2" s="121">
        <f>IF(OR(K2="",L2=""),"",IF(AND(L2&lt;0.05,OR(AND(J2="升高改善",K2&gt;0),AND(J2="降低改善",K2&lt;0))),"校正","不校正"))</f>
        <v/>
      </c>
      <c r="N2" s="119" t="inlineStr">
        <is>
          <t>Figure 1，PDF第7页/印刷101页，上面板；符号见原图图例</t>
        </is>
      </c>
    </row>
    <row r="3" ht="45" customHeight="1" s="111">
      <c r="A3" s="121" t="inlineStr">
        <is>
          <t>K002</t>
        </is>
      </c>
      <c r="B3" s="121" t="inlineStr">
        <is>
          <t>001-二次</t>
        </is>
      </c>
      <c r="C3" s="121" t="inlineStr">
        <is>
          <t>Otto</t>
        </is>
      </c>
      <c r="D3" s="140" t="inlineStr">
        <is>
          <t>维持</t>
        </is>
      </c>
      <c r="E3" s="119" t="inlineStr">
        <is>
          <t>Baseline vs Maintenance</t>
        </is>
      </c>
      <c r="F3" s="119" t="inlineStr">
        <is>
          <t>0, 0, 40, 20, 0, 0, 0, 0</t>
        </is>
      </c>
      <c r="G3" s="121">
        <f>IF(F3="","",LEN(F3)-LEN(SUBSTITUTE(F3,",",""))+1)</f>
        <v/>
      </c>
      <c r="H3" s="119" t="inlineStr">
        <is>
          <t>75, 0, 25, 25</t>
        </is>
      </c>
      <c r="I3" s="121">
        <f>IF(H3="","",LEN(H3)-LEN(SUBSTITUTE(H3,",",""))+1)</f>
        <v/>
      </c>
      <c r="J3" s="140" t="inlineStr">
        <is>
          <t>升高改善</t>
        </is>
      </c>
      <c r="K3" s="141" t="n">
        <v>-0.262</v>
      </c>
      <c r="L3" s="141" t="n">
        <v>0.411</v>
      </c>
      <c r="M3" s="121">
        <f>IF(OR(K3="",L3=""),"",IF(AND(L3&lt;0.05,OR(AND(J3="升高改善",K3&gt;0),AND(J3="降低改善",K3&lt;0))),"校正","不校正"))</f>
        <v/>
      </c>
      <c r="N3" s="119" t="inlineStr">
        <is>
          <t>Figure 1，PDF第7页/印刷101页，上面板；符号见原图图例</t>
        </is>
      </c>
    </row>
    <row r="4" ht="45" customHeight="1" s="111">
      <c r="A4" s="121" t="inlineStr">
        <is>
          <t>K004</t>
        </is>
      </c>
      <c r="B4" s="121" t="inlineStr">
        <is>
          <t>001-二次</t>
        </is>
      </c>
      <c r="C4" s="121" t="inlineStr">
        <is>
          <t>Otto</t>
        </is>
      </c>
      <c r="D4" s="140" t="inlineStr">
        <is>
          <t>干预</t>
        </is>
      </c>
      <c r="E4" s="119" t="inlineStr">
        <is>
          <t>Baseline vs Video-only 段</t>
        </is>
      </c>
      <c r="F4" s="119" t="inlineStr">
        <is>
          <t>50, 50, 50, 75, 25, 25, 50, 25, 25, 50, 25, 25</t>
        </is>
      </c>
      <c r="G4" s="121">
        <f>IF(F4="","",LEN(F4)-LEN(SUBSTITUTE(F4,",",""))+1)</f>
        <v/>
      </c>
      <c r="H4" s="119" t="inlineStr">
        <is>
          <t>25, 50, 25, 75, 25</t>
        </is>
      </c>
      <c r="I4" s="121">
        <f>IF(H4="","",LEN(H4)-LEN(SUBSTITUTE(H4,",",""))+1)</f>
        <v/>
      </c>
      <c r="J4" s="140" t="inlineStr">
        <is>
          <t>升高改善</t>
        </is>
      </c>
      <c r="K4" s="141" t="n">
        <v>-0.442</v>
      </c>
      <c r="L4" s="141" t="n">
        <v>0.076</v>
      </c>
      <c r="M4" s="121">
        <f>IF(OR(K4="",L4=""),"",IF(AND(L4&lt;0.05,OR(AND(J4="升高改善",K4&gt;0),AND(J4="降低改善",K4&lt;0))),"校正","不校正"))</f>
        <v/>
      </c>
      <c r="N4" s="119" t="inlineStr">
        <is>
          <t>Figure 1，PDF第7页/印刷101页，下面板；符号见原图图例</t>
        </is>
      </c>
    </row>
    <row r="5" ht="45" customHeight="1" s="111">
      <c r="A5" s="121" t="inlineStr">
        <is>
          <t>K005</t>
        </is>
      </c>
      <c r="B5" s="121" t="inlineStr">
        <is>
          <t>001-二次</t>
        </is>
      </c>
      <c r="C5" s="121" t="inlineStr">
        <is>
          <t>Lars</t>
        </is>
      </c>
      <c r="D5" s="140" t="inlineStr">
        <is>
          <t>干预</t>
        </is>
      </c>
      <c r="E5" s="119" t="inlineStr">
        <is>
          <t>Baseline vs Video-only 段</t>
        </is>
      </c>
      <c r="F5" s="119" t="inlineStr">
        <is>
          <t>0, 0, 0, 0, 0, 0, 0, 50, 0</t>
        </is>
      </c>
      <c r="G5" s="121">
        <f>IF(F5="","",LEN(F5)-LEN(SUBSTITUTE(F5,",",""))+1)</f>
        <v/>
      </c>
      <c r="H5" s="119" t="inlineStr">
        <is>
          <t>100, 25, 0, 0, 0</t>
        </is>
      </c>
      <c r="I5" s="121">
        <f>IF(H5="","",LEN(H5)-LEN(SUBSTITUTE(H5,",",""))+1)</f>
        <v/>
      </c>
      <c r="J5" s="140" t="inlineStr">
        <is>
          <t>升高改善</t>
        </is>
      </c>
      <c r="K5" s="141" t="n">
        <v>0.354</v>
      </c>
      <c r="L5" s="141" t="n">
        <v>0.245</v>
      </c>
      <c r="M5" s="121">
        <f>IF(OR(K5="",L5=""),"",IF(AND(L5&lt;0.05,OR(AND(J5="升高改善",K5&gt;0),AND(J5="降低改善",K5&lt;0))),"校正","不校正"))</f>
        <v/>
      </c>
      <c r="N5" s="119" t="inlineStr">
        <is>
          <t>Figure 2，PDF第8页/印刷102页，上面板；符号见原图图例</t>
        </is>
      </c>
    </row>
    <row r="6" ht="45" customHeight="1" s="111">
      <c r="A6" s="121" t="inlineStr">
        <is>
          <t>K006</t>
        </is>
      </c>
      <c r="B6" s="121" t="inlineStr">
        <is>
          <t>001-二次</t>
        </is>
      </c>
      <c r="C6" s="121" t="inlineStr">
        <is>
          <t>Lars</t>
        </is>
      </c>
      <c r="D6" s="140" t="inlineStr">
        <is>
          <t>维持</t>
        </is>
      </c>
      <c r="E6" s="119" t="inlineStr">
        <is>
          <t>Baseline vs Maintenance</t>
        </is>
      </c>
      <c r="F6" s="119" t="inlineStr">
        <is>
          <t>0, 0, 0, 0, 0, 0, 0, 50, 0</t>
        </is>
      </c>
      <c r="G6" s="121">
        <f>IF(F6="","",LEN(F6)-LEN(SUBSTITUTE(F6,",",""))+1)</f>
        <v/>
      </c>
      <c r="H6" s="119" t="inlineStr">
        <is>
          <t>75, 50, 50, 0</t>
        </is>
      </c>
      <c r="I6" s="121">
        <f>IF(H6="","",LEN(H6)-LEN(SUBSTITUTE(H6,",",""))+1)</f>
        <v/>
      </c>
      <c r="J6" s="140" t="inlineStr">
        <is>
          <t>升高改善</t>
        </is>
      </c>
      <c r="K6" s="141" t="n">
        <v>0.354</v>
      </c>
      <c r="L6" s="141" t="n">
        <v>0.245</v>
      </c>
      <c r="M6" s="121">
        <f>IF(OR(K6="",L6=""),"",IF(AND(L6&lt;0.05,OR(AND(J6="升高改善",K6&gt;0),AND(J6="降低改善",K6&lt;0))),"校正","不校正"))</f>
        <v/>
      </c>
      <c r="N6" s="119" t="inlineStr">
        <is>
          <t>Figure 2，PDF第8页/印刷102页，上面板；符号见原图图例</t>
        </is>
      </c>
    </row>
    <row r="7" ht="45" customHeight="1" s="111">
      <c r="A7" s="121" t="inlineStr">
        <is>
          <t>K008</t>
        </is>
      </c>
      <c r="B7" s="121" t="inlineStr">
        <is>
          <t>001-二次</t>
        </is>
      </c>
      <c r="C7" s="121" t="inlineStr">
        <is>
          <t>Lars</t>
        </is>
      </c>
      <c r="D7" s="140" t="inlineStr">
        <is>
          <t>干预</t>
        </is>
      </c>
      <c r="E7" s="119" t="inlineStr">
        <is>
          <t>Baseline vs Video-only 段</t>
        </is>
      </c>
      <c r="F7" s="119" t="inlineStr">
        <is>
          <t>25, 25, 25, 50, 0, 0, 0, 0, 25, 0, 25, 0</t>
        </is>
      </c>
      <c r="G7" s="121">
        <f>IF(F7="","",LEN(F7)-LEN(SUBSTITUTE(F7,",",""))+1)</f>
        <v/>
      </c>
      <c r="H7" s="119" t="inlineStr">
        <is>
          <t>0, 25, 25, 25, 0</t>
        </is>
      </c>
      <c r="I7" s="121">
        <f>IF(H7="","",LEN(H7)-LEN(SUBSTITUTE(H7,",",""))+1)</f>
        <v/>
      </c>
      <c r="J7" s="140" t="inlineStr">
        <is>
          <t>升高改善</t>
        </is>
      </c>
      <c r="K7" s="141" t="n">
        <v>-0.327</v>
      </c>
      <c r="L7" s="141" t="n">
        <v>0.189</v>
      </c>
      <c r="M7" s="121">
        <f>IF(OR(K7="",L7=""),"",IF(AND(L7&lt;0.05,OR(AND(J7="升高改善",K7&gt;0),AND(J7="降低改善",K7&lt;0))),"校正","不校正"))</f>
        <v/>
      </c>
      <c r="N7" s="119" t="inlineStr">
        <is>
          <t>Figure 2，PDF第8页/印刷102页，下面板；符号见原图图例</t>
        </is>
      </c>
    </row>
    <row r="8" ht="45" customHeight="1" s="111">
      <c r="A8" s="121" t="inlineStr">
        <is>
          <t>K009</t>
        </is>
      </c>
      <c r="B8" s="121" t="inlineStr">
        <is>
          <t>001-二次</t>
        </is>
      </c>
      <c r="C8" s="121" t="inlineStr">
        <is>
          <t>Trish</t>
        </is>
      </c>
      <c r="D8" s="140" t="inlineStr">
        <is>
          <t>干预</t>
        </is>
      </c>
      <c r="E8" s="119" t="inlineStr">
        <is>
          <t>Baseline vs Video-only 段</t>
        </is>
      </c>
      <c r="F8" s="119" t="inlineStr">
        <is>
          <t>0, 100, 25, 0, 0, 25, 0, 20</t>
        </is>
      </c>
      <c r="G8" s="121">
        <f>IF(F8="","",LEN(F8)-LEN(SUBSTITUTE(F8,",",""))+1)</f>
        <v/>
      </c>
      <c r="H8" s="119" t="inlineStr">
        <is>
          <t>25, 100, 25, 75, 75</t>
        </is>
      </c>
      <c r="I8" s="121">
        <f>IF(H8="","",LEN(H8)-LEN(SUBSTITUTE(H8,",",""))+1)</f>
        <v/>
      </c>
      <c r="J8" s="140" t="inlineStr">
        <is>
          <t>升高改善</t>
        </is>
      </c>
      <c r="K8" s="141" t="n">
        <v>-0.124</v>
      </c>
      <c r="L8" s="141" t="n">
        <v>0.6879999999999999</v>
      </c>
      <c r="M8" s="121">
        <f>IF(OR(K8="",L8=""),"",IF(AND(L8&lt;0.05,OR(AND(J8="升高改善",K8&gt;0),AND(J8="降低改善",K8&lt;0))),"校正","不校正"))</f>
        <v/>
      </c>
      <c r="N8" s="119" t="inlineStr">
        <is>
          <t>Figure 3，PDF第9页/印刷103页，上面板；符号见原图图例</t>
        </is>
      </c>
    </row>
    <row r="9" ht="45" customHeight="1" s="111">
      <c r="A9" s="121" t="inlineStr">
        <is>
          <t>K010</t>
        </is>
      </c>
      <c r="B9" s="121" t="inlineStr">
        <is>
          <t>001-二次</t>
        </is>
      </c>
      <c r="C9" s="121" t="inlineStr">
        <is>
          <t>Trish</t>
        </is>
      </c>
      <c r="D9" s="140" t="inlineStr">
        <is>
          <t>干预</t>
        </is>
      </c>
      <c r="E9" s="119" t="inlineStr">
        <is>
          <t>Baseline vs Video-only 段</t>
        </is>
      </c>
      <c r="F9" s="119" t="inlineStr">
        <is>
          <t>100, 0, 0, 0, 0, 25, 75, 0, 25, 25, 50, 25</t>
        </is>
      </c>
      <c r="G9" s="121">
        <f>IF(F9="","",LEN(F9)-LEN(SUBSTITUTE(F9,",",""))+1)</f>
        <v/>
      </c>
      <c r="H9" s="119" t="inlineStr">
        <is>
          <t>50, 50, 25, 25, 50</t>
        </is>
      </c>
      <c r="I9" s="121">
        <f>IF(H9="","",LEN(H9)-LEN(SUBSTITUTE(H9,",",""))+1)</f>
        <v/>
      </c>
      <c r="J9" s="140" t="inlineStr">
        <is>
          <t>升高改善</t>
        </is>
      </c>
      <c r="K9" s="141" t="n">
        <v>0.244</v>
      </c>
      <c r="L9" s="141" t="n">
        <v>0.306</v>
      </c>
      <c r="M9" s="121">
        <f>IF(OR(K9="",L9=""),"",IF(AND(L9&lt;0.05,OR(AND(J9="升高改善",K9&gt;0),AND(J9="降低改善",K9&lt;0))),"校正","不校正"))</f>
        <v/>
      </c>
      <c r="N9" s="119" t="inlineStr">
        <is>
          <t>Figure 3，PDF第9页/印刷103页，下面板；符号见原图图例</t>
        </is>
      </c>
    </row>
    <row r="10" ht="45" customHeight="1" s="111">
      <c r="A10" s="121" t="inlineStr">
        <is>
          <t>K011</t>
        </is>
      </c>
      <c r="B10" s="121" t="inlineStr">
        <is>
          <t>002-二次</t>
        </is>
      </c>
      <c r="C10" s="121" t="inlineStr">
        <is>
          <t>Taylor</t>
        </is>
      </c>
      <c r="D10" s="140" t="inlineStr">
        <is>
          <t>干预</t>
        </is>
      </c>
      <c r="E10" s="119" t="inlineStr">
        <is>
          <t>Training BL vs INT</t>
        </is>
      </c>
      <c r="F10" s="119" t="inlineStr">
        <is>
          <t>60, 60, 60</t>
        </is>
      </c>
      <c r="G10" s="121">
        <f>IF(F10="","",LEN(F10)-LEN(SUBSTITUTE(F10,",",""))+1)</f>
        <v/>
      </c>
      <c r="H10" s="119" t="inlineStr">
        <is>
          <t>100, 100, 100</t>
        </is>
      </c>
      <c r="I10" s="121">
        <f>IF(H10="","",LEN(H10)-LEN(SUBSTITUTE(H10,",",""))+1)</f>
        <v/>
      </c>
      <c r="J10" s="140" t="inlineStr">
        <is>
          <t>升高改善</t>
        </is>
      </c>
      <c r="K10" s="141" t="n">
        <v>0</v>
      </c>
      <c r="L10" s="141" t="n">
        <v>1</v>
      </c>
      <c r="M10" s="121">
        <f>IF(OR(K10="",L10=""),"",IF(AND(L10&lt;0.05,OR(AND(J10="升高改善",K10&gt;0),AND(J10="降低改善",K10&lt;0))),"校正","不校正"))</f>
        <v/>
      </c>
      <c r="N10" s="119" t="inlineStr">
        <is>
          <t>Figure 2，PDF第5页，第1面板（从上到下），Training实心圆系列</t>
        </is>
      </c>
    </row>
    <row r="11" ht="45" customHeight="1" s="111">
      <c r="A11" s="121" t="inlineStr">
        <is>
          <t>K012</t>
        </is>
      </c>
      <c r="B11" s="121" t="inlineStr">
        <is>
          <t>002-二次</t>
        </is>
      </c>
      <c r="C11" s="121" t="inlineStr">
        <is>
          <t>Taylor</t>
        </is>
      </c>
      <c r="D11" s="140" t="inlineStr">
        <is>
          <t>维持</t>
        </is>
      </c>
      <c r="E11" s="119" t="inlineStr">
        <is>
          <t>Training BL vs MT</t>
        </is>
      </c>
      <c r="F11" s="119" t="inlineStr">
        <is>
          <t>60, 60, 60</t>
        </is>
      </c>
      <c r="G11" s="121">
        <f>IF(F11="","",LEN(F11)-LEN(SUBSTITUTE(F11,",",""))+1)</f>
        <v/>
      </c>
      <c r="H11" s="119" t="inlineStr">
        <is>
          <t>100, 100, 100, 100</t>
        </is>
      </c>
      <c r="I11" s="121">
        <f>IF(H11="","",LEN(H11)-LEN(SUBSTITUTE(H11,",",""))+1)</f>
        <v/>
      </c>
      <c r="J11" s="140" t="inlineStr">
        <is>
          <t>升高改善</t>
        </is>
      </c>
      <c r="K11" s="141" t="n">
        <v>0</v>
      </c>
      <c r="L11" s="141" t="n">
        <v>1</v>
      </c>
      <c r="M11" s="121">
        <f>IF(OR(K11="",L11=""),"",IF(AND(L11&lt;0.05,OR(AND(J11="升高改善",K11&gt;0),AND(J11="降低改善",K11&lt;0))),"校正","不校正"))</f>
        <v/>
      </c>
      <c r="N11" s="119" t="inlineStr">
        <is>
          <t>Figure 2，PDF第5页，第1面板（从上到下），Training实心圆系列</t>
        </is>
      </c>
    </row>
    <row r="12" ht="45" customHeight="1" s="111">
      <c r="A12" s="121" t="inlineStr">
        <is>
          <t>K013</t>
        </is>
      </c>
      <c r="B12" s="121" t="inlineStr">
        <is>
          <t>002-二次</t>
        </is>
      </c>
      <c r="C12" s="121" t="inlineStr">
        <is>
          <t>Taylor</t>
        </is>
      </c>
      <c r="D12" s="140" t="inlineStr">
        <is>
          <t>泛化</t>
        </is>
      </c>
      <c r="E12" s="119" t="inlineStr">
        <is>
          <t>Generalization BL（干预前）vs INT 期泛化探测</t>
        </is>
      </c>
      <c r="F12" s="119" t="inlineStr">
        <is>
          <t>80, 80, 80</t>
        </is>
      </c>
      <c r="G12" s="121">
        <f>IF(F12="","",LEN(F12)-LEN(SUBSTITUTE(F12,",",""))+1)</f>
        <v/>
      </c>
      <c r="H12" s="119" t="inlineStr">
        <is>
          <t>100, 100, 100</t>
        </is>
      </c>
      <c r="I12" s="121">
        <f>IF(H12="","",LEN(H12)-LEN(SUBSTITUTE(H12,",",""))+1)</f>
        <v/>
      </c>
      <c r="J12" s="140" t="inlineStr">
        <is>
          <t>升高改善</t>
        </is>
      </c>
      <c r="K12" s="141" t="n">
        <v>0</v>
      </c>
      <c r="L12" s="141" t="n">
        <v>1</v>
      </c>
      <c r="M12" s="121">
        <f>IF(OR(K12="",L12=""),"",IF(AND(L12&lt;0.05,OR(AND(J12="升高改善",K12&gt;0),AND(J12="降低改善",K12&lt;0))),"校正","不校正"))</f>
        <v/>
      </c>
      <c r="N12" s="119" t="inlineStr">
        <is>
          <t>Figure 2，PDF第5页，第1面板（从上到下），Generalization空心倒三角系列</t>
        </is>
      </c>
    </row>
    <row r="13" ht="45" customHeight="1" s="111">
      <c r="A13" s="121" t="inlineStr">
        <is>
          <t>K014</t>
        </is>
      </c>
      <c r="B13" s="121" t="inlineStr">
        <is>
          <t>002-二次</t>
        </is>
      </c>
      <c r="C13" s="121" t="inlineStr">
        <is>
          <t>Taylor</t>
        </is>
      </c>
      <c r="D13" s="140" t="inlineStr">
        <is>
          <t>干预</t>
        </is>
      </c>
      <c r="E13" s="119" t="inlineStr">
        <is>
          <t>Training BL vs INT</t>
        </is>
      </c>
      <c r="F13" s="119" t="inlineStr">
        <is>
          <t>66, 33, 17, 33, 33, 33</t>
        </is>
      </c>
      <c r="G13" s="121">
        <f>IF(F13="","",LEN(F13)-LEN(SUBSTITUTE(F13,",",""))+1)</f>
        <v/>
      </c>
      <c r="H13" s="119" t="inlineStr">
        <is>
          <t>100, 83, 100, 100, 100</t>
        </is>
      </c>
      <c r="I13" s="121">
        <f>IF(H13="","",LEN(H13)-LEN(SUBSTITUTE(H13,",",""))+1)</f>
        <v/>
      </c>
      <c r="J13" s="140" t="inlineStr">
        <is>
          <t>升高改善</t>
        </is>
      </c>
      <c r="K13" s="141" t="n">
        <v>-0.258</v>
      </c>
      <c r="L13" s="141" t="n">
        <v>0.499</v>
      </c>
      <c r="M13" s="121">
        <f>IF(OR(K13="",L13=""),"",IF(AND(L13&lt;0.05,OR(AND(J13="升高改善",K13&gt;0),AND(J13="降低改善",K13&lt;0))),"校正","不校正"))</f>
        <v/>
      </c>
      <c r="N13" s="119" t="inlineStr">
        <is>
          <t>Figure 2，PDF第5页，第2面板（从上到下），Training实心圆系列</t>
        </is>
      </c>
    </row>
    <row r="14" ht="45" customHeight="1" s="111">
      <c r="A14" s="121" t="inlineStr">
        <is>
          <t>K015</t>
        </is>
      </c>
      <c r="B14" s="121" t="inlineStr">
        <is>
          <t>002-二次</t>
        </is>
      </c>
      <c r="C14" s="121" t="inlineStr">
        <is>
          <t>Taylor</t>
        </is>
      </c>
      <c r="D14" s="140" t="inlineStr">
        <is>
          <t>维持</t>
        </is>
      </c>
      <c r="E14" s="119" t="inlineStr">
        <is>
          <t>Training BL vs MT</t>
        </is>
      </c>
      <c r="F14" s="119" t="inlineStr">
        <is>
          <t>66, 33, 17, 33, 33, 33</t>
        </is>
      </c>
      <c r="G14" s="121">
        <f>IF(F14="","",LEN(F14)-LEN(SUBSTITUTE(F14,",",""))+1)</f>
        <v/>
      </c>
      <c r="H14" s="119" t="inlineStr">
        <is>
          <t>83, 100, 100</t>
        </is>
      </c>
      <c r="I14" s="121">
        <f>IF(H14="","",LEN(H14)-LEN(SUBSTITUTE(H14,",",""))+1)</f>
        <v/>
      </c>
      <c r="J14" s="140" t="inlineStr">
        <is>
          <t>升高改善</t>
        </is>
      </c>
      <c r="K14" s="141" t="n">
        <v>-0.258</v>
      </c>
      <c r="L14" s="141" t="n">
        <v>0.499</v>
      </c>
      <c r="M14" s="121">
        <f>IF(OR(K14="",L14=""),"",IF(AND(L14&lt;0.05,OR(AND(J14="升高改善",K14&gt;0),AND(J14="降低改善",K14&lt;0))),"校正","不校正"))</f>
        <v/>
      </c>
      <c r="N14" s="119" t="inlineStr">
        <is>
          <t>Figure 2，PDF第5页，第2面板（从上到下），Training实心圆系列</t>
        </is>
      </c>
    </row>
    <row r="15" ht="45" customHeight="1" s="111">
      <c r="A15" s="121" t="inlineStr">
        <is>
          <t>K016</t>
        </is>
      </c>
      <c r="B15" s="121" t="inlineStr">
        <is>
          <t>002-二次</t>
        </is>
      </c>
      <c r="C15" s="121" t="inlineStr">
        <is>
          <t>Taylor</t>
        </is>
      </c>
      <c r="D15" s="140" t="inlineStr">
        <is>
          <t>泛化</t>
        </is>
      </c>
      <c r="E15" s="119" t="inlineStr">
        <is>
          <t>Generalization BL（干预前）vs INT 期泛化探测</t>
        </is>
      </c>
      <c r="F15" s="119" t="inlineStr">
        <is>
          <t>66, 66, 66, 33</t>
        </is>
      </c>
      <c r="G15" s="121">
        <f>IF(F15="","",LEN(F15)-LEN(SUBSTITUTE(F15,",",""))+1)</f>
        <v/>
      </c>
      <c r="H15" s="119" t="inlineStr">
        <is>
          <t>83, 100, 100</t>
        </is>
      </c>
      <c r="I15" s="121">
        <f>IF(H15="","",LEN(H15)-LEN(SUBSTITUTE(H15,",",""))+1)</f>
        <v/>
      </c>
      <c r="J15" s="140" t="inlineStr">
        <is>
          <t>升高改善</t>
        </is>
      </c>
      <c r="K15" s="141" t="n">
        <v>-0.707</v>
      </c>
      <c r="L15" s="141" t="n">
        <v>0.18</v>
      </c>
      <c r="M15" s="121">
        <f>IF(OR(K15="",L15=""),"",IF(AND(L15&lt;0.05,OR(AND(J15="升高改善",K15&gt;0),AND(J15="降低改善",K15&lt;0))),"校正","不校正"))</f>
        <v/>
      </c>
      <c r="N15" s="119" t="inlineStr">
        <is>
          <t>Figure 2，PDF第5页，第2面板（从上到下），Generalization空心倒三角系列</t>
        </is>
      </c>
    </row>
    <row r="16" ht="45" customHeight="1" s="111">
      <c r="A16" s="121" t="inlineStr">
        <is>
          <t>K017</t>
        </is>
      </c>
      <c r="B16" s="121" t="inlineStr">
        <is>
          <t>002-二次</t>
        </is>
      </c>
      <c r="C16" s="121" t="inlineStr">
        <is>
          <t>Taylor</t>
        </is>
      </c>
      <c r="D16" s="140" t="inlineStr">
        <is>
          <t>干预</t>
        </is>
      </c>
      <c r="E16" s="119" t="inlineStr">
        <is>
          <t>Training BL vs INT</t>
        </is>
      </c>
      <c r="F16" s="119" t="inlineStr">
        <is>
          <t>50, 25, 100, 50, 50, 75, 0, 0</t>
        </is>
      </c>
      <c r="G16" s="121">
        <f>IF(F16="","",LEN(F16)-LEN(SUBSTITUTE(F16,",",""))+1)</f>
        <v/>
      </c>
      <c r="H16" s="119" t="inlineStr">
        <is>
          <t>25, 100, 100, 100</t>
        </is>
      </c>
      <c r="I16" s="121">
        <f>IF(H16="","",LEN(H16)-LEN(SUBSTITUTE(H16,",",""))+1)</f>
        <v/>
      </c>
      <c r="J16" s="140" t="inlineStr">
        <is>
          <t>升高改善</t>
        </is>
      </c>
      <c r="K16" s="141" t="n">
        <v>-0.309</v>
      </c>
      <c r="L16" s="141" t="n">
        <v>0.304</v>
      </c>
      <c r="M16" s="121">
        <f>IF(OR(K16="",L16=""),"",IF(AND(L16&lt;0.05,OR(AND(J16="升高改善",K16&gt;0),AND(J16="降低改善",K16&lt;0))),"校正","不校正"))</f>
        <v/>
      </c>
      <c r="N16" s="119" t="inlineStr">
        <is>
          <t>Figure 2，PDF第5页，第3面板（从上到下），Training实心圆系列</t>
        </is>
      </c>
    </row>
    <row r="17" ht="45" customHeight="1" s="111">
      <c r="A17" s="121" t="inlineStr">
        <is>
          <t>K018</t>
        </is>
      </c>
      <c r="B17" s="121" t="inlineStr">
        <is>
          <t>002-二次</t>
        </is>
      </c>
      <c r="C17" s="121" t="inlineStr">
        <is>
          <t>Taylor</t>
        </is>
      </c>
      <c r="D17" s="140" t="inlineStr">
        <is>
          <t>维持</t>
        </is>
      </c>
      <c r="E17" s="119" t="inlineStr">
        <is>
          <t>Training BL vs MT</t>
        </is>
      </c>
      <c r="F17" s="119" t="inlineStr">
        <is>
          <t>50, 25, 100, 50, 50, 75, 0, 0</t>
        </is>
      </c>
      <c r="G17" s="121">
        <f>IF(F17="","",LEN(F17)-LEN(SUBSTITUTE(F17,",",""))+1)</f>
        <v/>
      </c>
      <c r="H17" s="119" t="inlineStr">
        <is>
          <t>100, 100, 100</t>
        </is>
      </c>
      <c r="I17" s="121">
        <f>IF(H17="","",LEN(H17)-LEN(SUBSTITUTE(H17,",",""))+1)</f>
        <v/>
      </c>
      <c r="J17" s="140" t="inlineStr">
        <is>
          <t>升高改善</t>
        </is>
      </c>
      <c r="K17" s="141" t="n">
        <v>-0.309</v>
      </c>
      <c r="L17" s="141" t="n">
        <v>0.304</v>
      </c>
      <c r="M17" s="121">
        <f>IF(OR(K17="",L17=""),"",IF(AND(L17&lt;0.05,OR(AND(J17="升高改善",K17&gt;0),AND(J17="降低改善",K17&lt;0))),"校正","不校正"))</f>
        <v/>
      </c>
      <c r="N17" s="119" t="inlineStr">
        <is>
          <t>Figure 2，PDF第5页，第3面板（从上到下），Training实心圆系列</t>
        </is>
      </c>
    </row>
    <row r="18" ht="45" customHeight="1" s="111">
      <c r="A18" s="121" t="inlineStr">
        <is>
          <t>K019</t>
        </is>
      </c>
      <c r="B18" s="121" t="inlineStr">
        <is>
          <t>002-二次</t>
        </is>
      </c>
      <c r="C18" s="121" t="inlineStr">
        <is>
          <t>Taylor</t>
        </is>
      </c>
      <c r="D18" s="140" t="inlineStr">
        <is>
          <t>泛化</t>
        </is>
      </c>
      <c r="E18" s="119" t="inlineStr">
        <is>
          <t>Generalization BL（干预前）vs INT 期泛化探测</t>
        </is>
      </c>
      <c r="F18" s="119" t="inlineStr">
        <is>
          <t>100, 75, 100, 25, 0, 0</t>
        </is>
      </c>
      <c r="G18" s="121">
        <f>IF(F18="","",LEN(F18)-LEN(SUBSTITUTE(F18,",",""))+1)</f>
        <v/>
      </c>
      <c r="H18" s="119" t="inlineStr">
        <is>
          <t>100, 100, 100</t>
        </is>
      </c>
      <c r="I18" s="121">
        <f>IF(H18="","",LEN(H18)-LEN(SUBSTITUTE(H18,",",""))+1)</f>
        <v/>
      </c>
      <c r="J18" s="140" t="inlineStr">
        <is>
          <t>升高改善</t>
        </is>
      </c>
      <c r="K18" s="141" t="n">
        <v>-0.788</v>
      </c>
      <c r="L18" s="141" t="n">
        <v>0.032</v>
      </c>
      <c r="M18" s="121">
        <f>IF(OR(K18="",L18=""),"",IF(AND(L18&lt;0.05,OR(AND(J18="升高改善",K18&gt;0),AND(J18="降低改善",K18&lt;0))),"校正","不校正"))</f>
        <v/>
      </c>
      <c r="N18" s="119" t="inlineStr">
        <is>
          <t>Figure 2，PDF第5页，第3面板（从上到下），Generalization空心倒三角系列</t>
        </is>
      </c>
    </row>
    <row r="19" ht="45" customHeight="1" s="111">
      <c r="A19" s="121" t="inlineStr">
        <is>
          <t>K020</t>
        </is>
      </c>
      <c r="B19" s="121" t="inlineStr">
        <is>
          <t>002-二次</t>
        </is>
      </c>
      <c r="C19" s="121" t="inlineStr">
        <is>
          <t>Taylor</t>
        </is>
      </c>
      <c r="D19" s="140" t="inlineStr">
        <is>
          <t>干预</t>
        </is>
      </c>
      <c r="E19" s="119" t="inlineStr">
        <is>
          <t>Training BL vs INT</t>
        </is>
      </c>
      <c r="F19" s="119" t="inlineStr">
        <is>
          <t>33, 50, 50, 33, 50, 75, 50, 50, 100, 50, 50</t>
        </is>
      </c>
      <c r="G19" s="121">
        <f>IF(F19="","",LEN(F19)-LEN(SUBSTITUTE(F19,",",""))+1)</f>
        <v/>
      </c>
      <c r="H19" s="119" t="inlineStr">
        <is>
          <t>100, 100, 100</t>
        </is>
      </c>
      <c r="I19" s="121">
        <f>IF(H19="","",LEN(H19)-LEN(SUBSTITUTE(H19,",",""))+1)</f>
        <v/>
      </c>
      <c r="J19" s="140" t="inlineStr">
        <is>
          <t>升高改善</t>
        </is>
      </c>
      <c r="K19" s="141" t="n">
        <v>0.399</v>
      </c>
      <c r="L19" s="141" t="n">
        <v>0.12</v>
      </c>
      <c r="M19" s="121">
        <f>IF(OR(K19="",L19=""),"",IF(AND(L19&lt;0.05,OR(AND(J19="升高改善",K19&gt;0),AND(J19="降低改善",K19&lt;0))),"校正","不校正"))</f>
        <v/>
      </c>
      <c r="N19" s="119" t="inlineStr">
        <is>
          <t>Figure 2，PDF第5页，第4面板（从上到下），Training实心圆系列</t>
        </is>
      </c>
    </row>
    <row r="20" ht="45" customHeight="1" s="111">
      <c r="A20" s="121" t="inlineStr">
        <is>
          <t>K021</t>
        </is>
      </c>
      <c r="B20" s="121" t="inlineStr">
        <is>
          <t>002-二次</t>
        </is>
      </c>
      <c r="C20" s="121" t="inlineStr">
        <is>
          <t>Taylor</t>
        </is>
      </c>
      <c r="D20" s="140" t="inlineStr">
        <is>
          <t>泛化</t>
        </is>
      </c>
      <c r="E20" s="119" t="inlineStr">
        <is>
          <t>Generalization BL（干预前）vs INT 期泛化探测</t>
        </is>
      </c>
      <c r="F20" s="119" t="inlineStr">
        <is>
          <t>75, 75, 75, 75, 50, 50, 100, 50, 50</t>
        </is>
      </c>
      <c r="G20" s="121">
        <f>IF(F20="","",LEN(F20)-LEN(SUBSTITUTE(F20,",",""))+1)</f>
        <v/>
      </c>
      <c r="H20" s="119" t="inlineStr">
        <is>
          <t>100, 100, 100</t>
        </is>
      </c>
      <c r="I20" s="121">
        <f>IF(H20="","",LEN(H20)-LEN(SUBSTITUTE(H20,",",""))+1)</f>
        <v/>
      </c>
      <c r="J20" s="140" t="inlineStr">
        <is>
          <t>升高改善</t>
        </is>
      </c>
      <c r="K20" s="141" t="n">
        <v>-0.408</v>
      </c>
      <c r="L20" s="141" t="n">
        <v>0.165</v>
      </c>
      <c r="M20" s="121">
        <f>IF(OR(K20="",L20=""),"",IF(AND(L20&lt;0.05,OR(AND(J20="升高改善",K20&gt;0),AND(J20="降低改善",K20&lt;0))),"校正","不校正"))</f>
        <v/>
      </c>
      <c r="N20" s="119" t="inlineStr">
        <is>
          <t>Figure 2，PDF第5页，第4面板（从上到下），Generalization空心倒三角系列</t>
        </is>
      </c>
    </row>
    <row r="21" ht="45" customHeight="1" s="111">
      <c r="A21" s="121" t="inlineStr">
        <is>
          <t>K022</t>
        </is>
      </c>
      <c r="B21" s="121" t="inlineStr">
        <is>
          <t>002-二次</t>
        </is>
      </c>
      <c r="C21" s="121" t="inlineStr">
        <is>
          <t>Robby</t>
        </is>
      </c>
      <c r="D21" s="140" t="inlineStr">
        <is>
          <t>干预</t>
        </is>
      </c>
      <c r="E21" s="119" t="inlineStr">
        <is>
          <t>Training BL vs INT</t>
        </is>
      </c>
      <c r="F21" s="119" t="inlineStr">
        <is>
          <t>80, 20, 60, 20, 20, 20</t>
        </is>
      </c>
      <c r="G21" s="121">
        <f>IF(F21="","",LEN(F21)-LEN(SUBSTITUTE(F21,",",""))+1)</f>
        <v/>
      </c>
      <c r="H21" s="119" t="inlineStr">
        <is>
          <t>80, 80, 100, 100, 100</t>
        </is>
      </c>
      <c r="I21" s="121">
        <f>IF(H21="","",LEN(H21)-LEN(SUBSTITUTE(H21,",",""))+1)</f>
        <v/>
      </c>
      <c r="J21" s="140" t="inlineStr">
        <is>
          <t>升高改善</t>
        </is>
      </c>
      <c r="K21" s="141" t="n">
        <v>-0.602</v>
      </c>
      <c r="L21" s="141" t="n">
        <v>0.114</v>
      </c>
      <c r="M21" s="121">
        <f>IF(OR(K21="",L21=""),"",IF(AND(L21&lt;0.05,OR(AND(J21="升高改善",K21&gt;0),AND(J21="降低改善",K21&lt;0))),"校正","不校正"))</f>
        <v/>
      </c>
      <c r="N21" s="119" t="inlineStr">
        <is>
          <t>Figure 3，PDF第6页，第1面板（从上到下），Training实心圆系列</t>
        </is>
      </c>
    </row>
    <row r="22" ht="45" customHeight="1" s="111">
      <c r="A22" s="121" t="inlineStr">
        <is>
          <t>K023</t>
        </is>
      </c>
      <c r="B22" s="121" t="inlineStr">
        <is>
          <t>002-二次</t>
        </is>
      </c>
      <c r="C22" s="121" t="inlineStr">
        <is>
          <t>Robby</t>
        </is>
      </c>
      <c r="D22" s="140" t="inlineStr">
        <is>
          <t>维持</t>
        </is>
      </c>
      <c r="E22" s="119" t="inlineStr">
        <is>
          <t>Training BL vs MT</t>
        </is>
      </c>
      <c r="F22" s="119" t="inlineStr">
        <is>
          <t>80, 20, 60, 20, 20, 20</t>
        </is>
      </c>
      <c r="G22" s="121">
        <f>IF(F22="","",LEN(F22)-LEN(SUBSTITUTE(F22,",",""))+1)</f>
        <v/>
      </c>
      <c r="H22" s="119" t="inlineStr">
        <is>
          <t>100, 100, 100</t>
        </is>
      </c>
      <c r="I22" s="121">
        <f>IF(H22="","",LEN(H22)-LEN(SUBSTITUTE(H22,",",""))+1)</f>
        <v/>
      </c>
      <c r="J22" s="140" t="inlineStr">
        <is>
          <t>升高改善</t>
        </is>
      </c>
      <c r="K22" s="141" t="n">
        <v>-0.602</v>
      </c>
      <c r="L22" s="141" t="n">
        <v>0.114</v>
      </c>
      <c r="M22" s="121">
        <f>IF(OR(K22="",L22=""),"",IF(AND(L22&lt;0.05,OR(AND(J22="升高改善",K22&gt;0),AND(J22="降低改善",K22&lt;0))),"校正","不校正"))</f>
        <v/>
      </c>
      <c r="N22" s="119" t="inlineStr">
        <is>
          <t>Figure 3，PDF第6页，第1面板（从上到下），Training实心圆系列</t>
        </is>
      </c>
    </row>
    <row r="23" ht="45" customHeight="1" s="111">
      <c r="A23" s="121" t="inlineStr">
        <is>
          <t>K024</t>
        </is>
      </c>
      <c r="B23" s="121" t="inlineStr">
        <is>
          <t>002-二次</t>
        </is>
      </c>
      <c r="C23" s="121" t="inlineStr">
        <is>
          <t>Robby</t>
        </is>
      </c>
      <c r="D23" s="140" t="inlineStr">
        <is>
          <t>泛化</t>
        </is>
      </c>
      <c r="E23" s="119" t="inlineStr">
        <is>
          <t>Generalization BL（干预前）vs INT 期泛化探测</t>
        </is>
      </c>
      <c r="F23" s="119" t="inlineStr">
        <is>
          <t>60, 60, 60, 60</t>
        </is>
      </c>
      <c r="G23" s="121">
        <f>IF(F23="","",LEN(F23)-LEN(SUBSTITUTE(F23,",",""))+1)</f>
        <v/>
      </c>
      <c r="H23" s="119" t="inlineStr">
        <is>
          <t>100, 100, 100</t>
        </is>
      </c>
      <c r="I23" s="121">
        <f>IF(H23="","",LEN(H23)-LEN(SUBSTITUTE(H23,",",""))+1)</f>
        <v/>
      </c>
      <c r="J23" s="140" t="inlineStr">
        <is>
          <t>升高改善</t>
        </is>
      </c>
      <c r="K23" s="141" t="n">
        <v>0</v>
      </c>
      <c r="L23" s="141" t="n">
        <v>1</v>
      </c>
      <c r="M23" s="121">
        <f>IF(OR(K23="",L23=""),"",IF(AND(L23&lt;0.05,OR(AND(J23="升高改善",K23&gt;0),AND(J23="降低改善",K23&lt;0))),"校正","不校正"))</f>
        <v/>
      </c>
      <c r="N23" s="119" t="inlineStr">
        <is>
          <t>Figure 3，PDF第6页，第1面板（从上到下），Generalization空心倒三角系列</t>
        </is>
      </c>
    </row>
    <row r="24" ht="45" customHeight="1" s="111">
      <c r="A24" s="121" t="inlineStr">
        <is>
          <t>K025</t>
        </is>
      </c>
      <c r="B24" s="121" t="inlineStr">
        <is>
          <t>002-二次</t>
        </is>
      </c>
      <c r="C24" s="121" t="inlineStr">
        <is>
          <t>Robby</t>
        </is>
      </c>
      <c r="D24" s="140" t="inlineStr">
        <is>
          <t>干预</t>
        </is>
      </c>
      <c r="E24" s="119" t="inlineStr">
        <is>
          <t>Training BL vs INT</t>
        </is>
      </c>
      <c r="F24" s="119" t="inlineStr">
        <is>
          <t>0, 0, 0, 33, 17, 0</t>
        </is>
      </c>
      <c r="G24" s="121">
        <f>IF(F24="","",LEN(F24)-LEN(SUBSTITUTE(F24,",",""))+1)</f>
        <v/>
      </c>
      <c r="H24" s="119" t="inlineStr">
        <is>
          <t>66, 100, 100, 100</t>
        </is>
      </c>
      <c r="I24" s="121">
        <f>IF(H24="","",LEN(H24)-LEN(SUBSTITUTE(H24,",",""))+1)</f>
        <v/>
      </c>
      <c r="J24" s="140" t="inlineStr">
        <is>
          <t>升高改善</t>
        </is>
      </c>
      <c r="K24" s="141" t="n">
        <v>0.258</v>
      </c>
      <c r="L24" s="141" t="n">
        <v>0.499</v>
      </c>
      <c r="M24" s="121">
        <f>IF(OR(K24="",L24=""),"",IF(AND(L24&lt;0.05,OR(AND(J24="升高改善",K24&gt;0),AND(J24="降低改善",K24&lt;0))),"校正","不校正"))</f>
        <v/>
      </c>
      <c r="N24" s="119" t="inlineStr">
        <is>
          <t>Figure 3，PDF第6页，第2面板（从上到下），Training实心圆系列</t>
        </is>
      </c>
    </row>
    <row r="25" ht="45" customHeight="1" s="111">
      <c r="A25" s="121" t="inlineStr">
        <is>
          <t>K026</t>
        </is>
      </c>
      <c r="B25" s="121" t="inlineStr">
        <is>
          <t>002-二次</t>
        </is>
      </c>
      <c r="C25" s="121" t="inlineStr">
        <is>
          <t>Robby</t>
        </is>
      </c>
      <c r="D25" s="140" t="inlineStr">
        <is>
          <t>维持</t>
        </is>
      </c>
      <c r="E25" s="119" t="inlineStr">
        <is>
          <t>Training BL vs MT</t>
        </is>
      </c>
      <c r="F25" s="119" t="inlineStr">
        <is>
          <t>0, 0, 0, 33, 17, 0</t>
        </is>
      </c>
      <c r="G25" s="121">
        <f>IF(F25="","",LEN(F25)-LEN(SUBSTITUTE(F25,",",""))+1)</f>
        <v/>
      </c>
      <c r="H25" s="119" t="inlineStr">
        <is>
          <t>66, 100, 83</t>
        </is>
      </c>
      <c r="I25" s="121">
        <f>IF(H25="","",LEN(H25)-LEN(SUBSTITUTE(H25,",",""))+1)</f>
        <v/>
      </c>
      <c r="J25" s="140" t="inlineStr">
        <is>
          <t>升高改善</t>
        </is>
      </c>
      <c r="K25" s="141" t="n">
        <v>0.258</v>
      </c>
      <c r="L25" s="141" t="n">
        <v>0.499</v>
      </c>
      <c r="M25" s="121">
        <f>IF(OR(K25="",L25=""),"",IF(AND(L25&lt;0.05,OR(AND(J25="升高改善",K25&gt;0),AND(J25="降低改善",K25&lt;0))),"校正","不校正"))</f>
        <v/>
      </c>
      <c r="N25" s="119" t="inlineStr">
        <is>
          <t>Figure 3，PDF第6页，第2面板（从上到下），Training实心圆系列</t>
        </is>
      </c>
    </row>
    <row r="26" ht="45" customHeight="1" s="111">
      <c r="A26" s="121" t="inlineStr">
        <is>
          <t>K027</t>
        </is>
      </c>
      <c r="B26" s="121" t="inlineStr">
        <is>
          <t>002-二次</t>
        </is>
      </c>
      <c r="C26" s="121" t="inlineStr">
        <is>
          <t>Robby</t>
        </is>
      </c>
      <c r="D26" s="140" t="inlineStr">
        <is>
          <t>泛化</t>
        </is>
      </c>
      <c r="E26" s="119" t="inlineStr">
        <is>
          <t>Generalization BL（干预前）vs INT 期泛化探测</t>
        </is>
      </c>
      <c r="F26" s="119" t="inlineStr">
        <is>
          <t>33, 0, 33, 66, 0</t>
        </is>
      </c>
      <c r="G26" s="121">
        <f>IF(F26="","",LEN(F26)-LEN(SUBSTITUTE(F26,",",""))+1)</f>
        <v/>
      </c>
      <c r="H26" s="119" t="inlineStr">
        <is>
          <t>100, 100, 100</t>
        </is>
      </c>
      <c r="I26" s="121">
        <f>IF(H26="","",LEN(H26)-LEN(SUBSTITUTE(H26,",",""))+1)</f>
        <v/>
      </c>
      <c r="J26" s="140" t="inlineStr">
        <is>
          <t>升高改善</t>
        </is>
      </c>
      <c r="K26" s="141" t="n">
        <v>0</v>
      </c>
      <c r="L26" s="141" t="n">
        <v>1</v>
      </c>
      <c r="M26" s="121">
        <f>IF(OR(K26="",L26=""),"",IF(AND(L26&lt;0.05,OR(AND(J26="升高改善",K26&gt;0),AND(J26="降低改善",K26&lt;0))),"校正","不校正"))</f>
        <v/>
      </c>
      <c r="N26" s="119" t="inlineStr">
        <is>
          <t>Figure 3，PDF第6页，第2面板（从上到下），Generalization空心倒三角系列</t>
        </is>
      </c>
    </row>
    <row r="27" ht="45" customHeight="1" s="111">
      <c r="A27" s="121" t="inlineStr">
        <is>
          <t>K028</t>
        </is>
      </c>
      <c r="B27" s="121" t="inlineStr">
        <is>
          <t>002-二次</t>
        </is>
      </c>
      <c r="C27" s="121" t="inlineStr">
        <is>
          <t>Robby</t>
        </is>
      </c>
      <c r="D27" s="140" t="inlineStr">
        <is>
          <t>干预</t>
        </is>
      </c>
      <c r="E27" s="119" t="inlineStr">
        <is>
          <t>Training BL vs INT</t>
        </is>
      </c>
      <c r="F27" s="119" t="inlineStr">
        <is>
          <t>0, 25, 25, 25, 50, 25, 0</t>
        </is>
      </c>
      <c r="G27" s="121">
        <f>IF(F27="","",LEN(F27)-LEN(SUBSTITUTE(F27,",",""))+1)</f>
        <v/>
      </c>
      <c r="H27" s="119" t="inlineStr">
        <is>
          <t>75, 25, 100, 100, 100</t>
        </is>
      </c>
      <c r="I27" s="121">
        <f>IF(H27="","",LEN(H27)-LEN(SUBSTITUTE(H27,",",""))+1)</f>
        <v/>
      </c>
      <c r="J27" s="140" t="inlineStr">
        <is>
          <t>升高改善</t>
        </is>
      </c>
      <c r="K27" s="141" t="n">
        <v>0.117</v>
      </c>
      <c r="L27" s="141" t="n">
        <v>0.734</v>
      </c>
      <c r="M27" s="121">
        <f>IF(OR(K27="",L27=""),"",IF(AND(L27&lt;0.05,OR(AND(J27="升高改善",K27&gt;0),AND(J27="降低改善",K27&lt;0))),"校正","不校正"))</f>
        <v/>
      </c>
      <c r="N27" s="119" t="inlineStr">
        <is>
          <t>Figure 3，PDF第6页，第3面板（从上到下），Training实心圆系列</t>
        </is>
      </c>
    </row>
    <row r="28" ht="45" customHeight="1" s="111">
      <c r="A28" s="121" t="inlineStr">
        <is>
          <t>K029</t>
        </is>
      </c>
      <c r="B28" s="121" t="inlineStr">
        <is>
          <t>002-二次</t>
        </is>
      </c>
      <c r="C28" s="121" t="inlineStr">
        <is>
          <t>Robby</t>
        </is>
      </c>
      <c r="D28" s="140" t="inlineStr">
        <is>
          <t>维持</t>
        </is>
      </c>
      <c r="E28" s="119" t="inlineStr">
        <is>
          <t>Training BL vs MT</t>
        </is>
      </c>
      <c r="F28" s="119" t="inlineStr">
        <is>
          <t>0, 25, 25, 25, 50, 25, 0</t>
        </is>
      </c>
      <c r="G28" s="121">
        <f>IF(F28="","",LEN(F28)-LEN(SUBSTITUTE(F28,",",""))+1)</f>
        <v/>
      </c>
      <c r="H28" s="119" t="inlineStr">
        <is>
          <t>100, 100, 100</t>
        </is>
      </c>
      <c r="I28" s="121">
        <f>IF(H28="","",LEN(H28)-LEN(SUBSTITUTE(H28,",",""))+1)</f>
        <v/>
      </c>
      <c r="J28" s="140" t="inlineStr">
        <is>
          <t>升高改善</t>
        </is>
      </c>
      <c r="K28" s="141" t="n">
        <v>0.117</v>
      </c>
      <c r="L28" s="141" t="n">
        <v>0.734</v>
      </c>
      <c r="M28" s="121">
        <f>IF(OR(K28="",L28=""),"",IF(AND(L28&lt;0.05,OR(AND(J28="升高改善",K28&gt;0),AND(J28="降低改善",K28&lt;0))),"校正","不校正"))</f>
        <v/>
      </c>
      <c r="N28" s="119" t="inlineStr">
        <is>
          <t>Figure 3，PDF第6页，第3面板（从上到下），Training实心圆系列</t>
        </is>
      </c>
    </row>
    <row r="29" ht="45" customHeight="1" s="111">
      <c r="A29" s="121" t="inlineStr">
        <is>
          <t>K030</t>
        </is>
      </c>
      <c r="B29" s="121" t="inlineStr">
        <is>
          <t>002-二次</t>
        </is>
      </c>
      <c r="C29" s="121" t="inlineStr">
        <is>
          <t>Robby</t>
        </is>
      </c>
      <c r="D29" s="140" t="inlineStr">
        <is>
          <t>泛化</t>
        </is>
      </c>
      <c r="E29" s="119" t="inlineStr">
        <is>
          <t>Generalization BL（干预前）vs INT 期泛化探测</t>
        </is>
      </c>
      <c r="F29" s="119" t="inlineStr">
        <is>
          <t>50, 0, 0, 25, 25</t>
        </is>
      </c>
      <c r="G29" s="121">
        <f>IF(F29="","",LEN(F29)-LEN(SUBSTITUTE(F29,",",""))+1)</f>
        <v/>
      </c>
      <c r="H29" s="119" t="inlineStr">
        <is>
          <t>100, 100, 100</t>
        </is>
      </c>
      <c r="I29" s="121">
        <f>IF(H29="","",LEN(H29)-LEN(SUBSTITUTE(H29,",",""))+1)</f>
        <v/>
      </c>
      <c r="J29" s="140" t="inlineStr">
        <is>
          <t>升高改善</t>
        </is>
      </c>
      <c r="K29" s="141" t="n">
        <v>0</v>
      </c>
      <c r="L29" s="141" t="n">
        <v>1</v>
      </c>
      <c r="M29" s="121">
        <f>IF(OR(K29="",L29=""),"",IF(AND(L29&lt;0.05,OR(AND(J29="升高改善",K29&gt;0),AND(J29="降低改善",K29&lt;0))),"校正","不校正"))</f>
        <v/>
      </c>
      <c r="N29" s="119" t="inlineStr">
        <is>
          <t>Figure 3，PDF第6页，第3面板（从上到下），Generalization空心倒三角系列</t>
        </is>
      </c>
    </row>
    <row r="30" ht="45" customHeight="1" s="111">
      <c r="A30" s="121" t="inlineStr">
        <is>
          <t>K031</t>
        </is>
      </c>
      <c r="B30" s="121" t="inlineStr">
        <is>
          <t>002-二次</t>
        </is>
      </c>
      <c r="C30" s="121" t="inlineStr">
        <is>
          <t>Robby</t>
        </is>
      </c>
      <c r="D30" s="140" t="inlineStr">
        <is>
          <t>干预</t>
        </is>
      </c>
      <c r="E30" s="119" t="inlineStr">
        <is>
          <t>Training BL vs INT</t>
        </is>
      </c>
      <c r="F30" s="119" t="inlineStr">
        <is>
          <t>0, 0, 0, 0, 75, 50, 0, 0, 0</t>
        </is>
      </c>
      <c r="G30" s="121">
        <f>IF(F30="","",LEN(F30)-LEN(SUBSTITUTE(F30,",",""))+1)</f>
        <v/>
      </c>
      <c r="H30" s="119" t="inlineStr">
        <is>
          <t>100, 50, 100, 100, 100</t>
        </is>
      </c>
      <c r="I30" s="121">
        <f>IF(H30="","",LEN(H30)-LEN(SUBSTITUTE(H30,",",""))+1)</f>
        <v/>
      </c>
      <c r="J30" s="140" t="inlineStr">
        <is>
          <t>升高改善</t>
        </is>
      </c>
      <c r="K30" s="141" t="n">
        <v>0.043</v>
      </c>
      <c r="L30" s="141" t="n">
        <v>0.885</v>
      </c>
      <c r="M30" s="121">
        <f>IF(OR(K30="",L30=""),"",IF(AND(L30&lt;0.05,OR(AND(J30="升高改善",K30&gt;0),AND(J30="降低改善",K30&lt;0))),"校正","不校正"))</f>
        <v/>
      </c>
      <c r="N30" s="119" t="inlineStr">
        <is>
          <t>Figure 3，PDF第6页，第4面板（从上到下），Training实心圆系列</t>
        </is>
      </c>
    </row>
    <row r="31" ht="45" customHeight="1" s="111">
      <c r="A31" s="121" t="inlineStr">
        <is>
          <t>K032</t>
        </is>
      </c>
      <c r="B31" s="121" t="inlineStr">
        <is>
          <t>002-二次</t>
        </is>
      </c>
      <c r="C31" s="121" t="inlineStr">
        <is>
          <t>Robby</t>
        </is>
      </c>
      <c r="D31" s="140" t="inlineStr">
        <is>
          <t>泛化</t>
        </is>
      </c>
      <c r="E31" s="119" t="inlineStr">
        <is>
          <t>Generalization BL（干预前）vs INT 期泛化探测</t>
        </is>
      </c>
      <c r="F31" s="119" t="inlineStr">
        <is>
          <t>0, 0, 0, 25, 25, 0, 50, 0</t>
        </is>
      </c>
      <c r="G31" s="121">
        <f>IF(F31="","",LEN(F31)-LEN(SUBSTITUTE(F31,",",""))+1)</f>
        <v/>
      </c>
      <c r="H31" s="119" t="inlineStr">
        <is>
          <t>100, 100, 100</t>
        </is>
      </c>
      <c r="I31" s="121">
        <f>IF(H31="","",LEN(H31)-LEN(SUBSTITUTE(H31,",",""))+1)</f>
        <v/>
      </c>
      <c r="J31" s="140" t="inlineStr">
        <is>
          <t>升高改善</t>
        </is>
      </c>
      <c r="K31" s="141" t="n">
        <v>0.321</v>
      </c>
      <c r="L31" s="141" t="n">
        <v>0.311</v>
      </c>
      <c r="M31" s="121">
        <f>IF(OR(K31="",L31=""),"",IF(AND(L31&lt;0.05,OR(AND(J31="升高改善",K31&gt;0),AND(J31="降低改善",K31&lt;0))),"校正","不校正"))</f>
        <v/>
      </c>
      <c r="N31" s="119" t="inlineStr">
        <is>
          <t>Figure 3，PDF第6页，第4面板（从上到下），Generalization空心倒三角系列</t>
        </is>
      </c>
    </row>
    <row r="32" ht="45" customHeight="1" s="111">
      <c r="A32" s="121" t="inlineStr">
        <is>
          <t>K033</t>
        </is>
      </c>
      <c r="B32" s="121" t="inlineStr">
        <is>
          <t>004-二次</t>
        </is>
      </c>
      <c r="C32" s="121" t="inlineStr">
        <is>
          <t>Nick</t>
        </is>
      </c>
      <c r="D32" s="140" t="inlineStr">
        <is>
          <t>干预</t>
        </is>
      </c>
      <c r="E32" s="118" t="inlineStr">
        <is>
          <t>基线期 vs PVMI 干预期（原情境，实心圆）</t>
        </is>
      </c>
      <c r="F32" s="119" t="inlineStr">
        <is>
          <t>0, 0, 0</t>
        </is>
      </c>
      <c r="G32" s="121">
        <f>IF(F32="","",LEN(F32)-LEN(SUBSTITUTE(F32,",",""))+1)</f>
        <v/>
      </c>
      <c r="H32" s="119" t="inlineStr">
        <is>
          <t>0, 0, 33, 66, 100, 33, 33, 33, 100, 100</t>
        </is>
      </c>
      <c r="I32" s="121">
        <f>IF(H32="","",LEN(H32)-LEN(SUBSTITUTE(H32,",",""))+1)</f>
        <v/>
      </c>
      <c r="J32" s="140" t="inlineStr">
        <is>
          <t>升高改善</t>
        </is>
      </c>
      <c r="K32" s="141" t="n">
        <v>0</v>
      </c>
      <c r="L32" s="141" t="n">
        <v>1</v>
      </c>
      <c r="M32" s="121">
        <f>IF(OR(K32="",L32=""),"",IF(AND(L32&lt;0.05,OR(AND(J32="升高改善",K32&gt;0),AND(J32="降低改善",K32&lt;0))),"校正","不校正"))</f>
        <v/>
      </c>
      <c r="N32" s="118" t="inlineStr">
        <is>
          <t>Fig1，PDF9，P1／第1面板，实心圆</t>
        </is>
      </c>
    </row>
    <row r="33" ht="45" customHeight="1" s="111">
      <c r="A33" s="121" t="inlineStr">
        <is>
          <t>K034</t>
        </is>
      </c>
      <c r="B33" s="121" t="inlineStr">
        <is>
          <t>004-二次</t>
        </is>
      </c>
      <c r="C33" s="121" t="inlineStr">
        <is>
          <t>Kelly</t>
        </is>
      </c>
      <c r="D33" s="140" t="inlineStr">
        <is>
          <t>干预</t>
        </is>
      </c>
      <c r="E33" s="118" t="inlineStr">
        <is>
          <t>基线期 vs PVMI 干预期（原情境，实心圆）</t>
        </is>
      </c>
      <c r="F33" s="119" t="inlineStr">
        <is>
          <t>0, 0, 0, 0</t>
        </is>
      </c>
      <c r="G33" s="121">
        <f>IF(F33="","",LEN(F33)-LEN(SUBSTITUTE(F33,",",""))+1)</f>
        <v/>
      </c>
      <c r="H33" s="119" t="inlineStr">
        <is>
          <t>0, 33, 33, 33, 33, 66, 66, 100, 100</t>
        </is>
      </c>
      <c r="I33" s="121">
        <f>IF(H33="","",LEN(H33)-LEN(SUBSTITUTE(H33,",",""))+1)</f>
        <v/>
      </c>
      <c r="J33" s="140" t="inlineStr">
        <is>
          <t>升高改善</t>
        </is>
      </c>
      <c r="K33" s="141" t="n">
        <v>0</v>
      </c>
      <c r="L33" s="141" t="n">
        <v>1</v>
      </c>
      <c r="M33" s="121">
        <f>IF(OR(K33="",L33=""),"",IF(AND(L33&lt;0.05,OR(AND(J33="升高改善",K33&gt;0),AND(J33="降低改善",K33&lt;0))),"校正","不校正"))</f>
        <v/>
      </c>
      <c r="N33" s="118" t="inlineStr">
        <is>
          <t>Fig1，PDF9，P2／第2面板，实心圆</t>
        </is>
      </c>
    </row>
    <row r="34" ht="45" customHeight="1" s="111">
      <c r="A34" s="121" t="inlineStr">
        <is>
          <t>K035</t>
        </is>
      </c>
      <c r="B34" s="121" t="inlineStr">
        <is>
          <t>004-二次</t>
        </is>
      </c>
      <c r="C34" s="121" t="inlineStr">
        <is>
          <t>Mike</t>
        </is>
      </c>
      <c r="D34" s="140" t="inlineStr">
        <is>
          <t>干预</t>
        </is>
      </c>
      <c r="E34" s="118" t="inlineStr">
        <is>
          <t>基线期 vs PVMI 干预期（原情境，实心圆）</t>
        </is>
      </c>
      <c r="F34" s="119" t="inlineStr">
        <is>
          <t>33, 33, 33, 0, 0, 0, 0, 0</t>
        </is>
      </c>
      <c r="G34" s="121">
        <f>IF(F34="","",LEN(F34)-LEN(SUBSTITUTE(F34,",",""))+1)</f>
        <v/>
      </c>
      <c r="H34" s="119" t="inlineStr">
        <is>
          <t>33, 33, 100, 100</t>
        </is>
      </c>
      <c r="I34" s="121">
        <f>IF(H34="","",LEN(H34)-LEN(SUBSTITUTE(H34,",",""))+1)</f>
        <v/>
      </c>
      <c r="J34" s="140" t="inlineStr">
        <is>
          <t>升高改善</t>
        </is>
      </c>
      <c r="K34" s="141" t="n">
        <v>-0.7319250547114</v>
      </c>
      <c r="L34" s="141" t="n">
        <v>0.0253473186774683</v>
      </c>
      <c r="M34" s="121">
        <f>IF(OR(K34="",L34=""),"",IF(AND(L34&lt;0.05,OR(AND(J34="升高改善",K34&gt;0),AND(J34="降低改善",K34&lt;0))),"校正","不校正"))</f>
        <v/>
      </c>
      <c r="N34" s="118" t="inlineStr">
        <is>
          <t>Fig1，PDF9，P3／第3面板，实心圆</t>
        </is>
      </c>
    </row>
    <row r="35" ht="45" customHeight="1" s="111">
      <c r="A35" s="121" t="inlineStr">
        <is>
          <t>K036</t>
        </is>
      </c>
      <c r="B35" s="121" t="inlineStr">
        <is>
          <t>004-二次</t>
        </is>
      </c>
      <c r="C35" s="121" t="inlineStr">
        <is>
          <t>Jake</t>
        </is>
      </c>
      <c r="D35" s="140" t="inlineStr">
        <is>
          <t>干预</t>
        </is>
      </c>
      <c r="E35" s="118" t="inlineStr">
        <is>
          <t>基线期 vs PVMI 干预期（原情境，实心圆）</t>
        </is>
      </c>
      <c r="F35" s="119" t="inlineStr">
        <is>
          <t>0, 0, 0, 0, 0, 0, 0, 0, 0, 0, 0</t>
        </is>
      </c>
      <c r="G35" s="121">
        <f>IF(F35="","",LEN(F35)-LEN(SUBSTITUTE(F35,",",""))+1)</f>
        <v/>
      </c>
      <c r="H35" s="119" t="inlineStr">
        <is>
          <t>33, 66, 66, 66, 100, 100</t>
        </is>
      </c>
      <c r="I35" s="121">
        <f>IF(H35="","",LEN(H35)-LEN(SUBSTITUTE(H35,",",""))+1)</f>
        <v/>
      </c>
      <c r="J35" s="140" t="inlineStr">
        <is>
          <t>升高改善</t>
        </is>
      </c>
      <c r="K35" s="141" t="n">
        <v>0</v>
      </c>
      <c r="L35" s="141" t="n">
        <v>1</v>
      </c>
      <c r="M35" s="121">
        <f>IF(OR(K35="",L35=""),"",IF(AND(L35&lt;0.05,OR(AND(J35="升高改善",K35&gt;0),AND(J35="降低改善",K35&lt;0))),"校正","不校正"))</f>
        <v/>
      </c>
      <c r="N35" s="118" t="inlineStr">
        <is>
          <t>Fig1，PDF9，P4／第4面板，实心圆</t>
        </is>
      </c>
    </row>
    <row r="36" ht="45" customHeight="1" s="111">
      <c r="A36" s="121" t="inlineStr">
        <is>
          <t>K039</t>
        </is>
      </c>
      <c r="B36" s="121" t="inlineStr">
        <is>
          <t>005-二次</t>
        </is>
      </c>
      <c r="C36" s="121" t="inlineStr">
        <is>
          <t>Anna</t>
        </is>
      </c>
      <c r="D36" s="140" t="inlineStr">
        <is>
          <t>干预</t>
        </is>
      </c>
      <c r="E36" s="118" t="inlineStr">
        <is>
          <t>该任务基线期 vs 视频示范干预期</t>
        </is>
      </c>
      <c r="F36" s="119" t="inlineStr">
        <is>
          <t>0, 0, 0, 0</t>
        </is>
      </c>
      <c r="G36" s="121">
        <f>IF(F36="","",LEN(F36)-LEN(SUBSTITUTE(F36,",",""))+1)</f>
        <v/>
      </c>
      <c r="H36" s="119" t="inlineStr">
        <is>
          <t>100, 50, 100, 100</t>
        </is>
      </c>
      <c r="I36" s="121">
        <f>IF(H36="","",LEN(H36)-LEN(SUBSTITUTE(H36,",",""))+1)</f>
        <v/>
      </c>
      <c r="J36" s="140" t="inlineStr">
        <is>
          <t>升高改善</t>
        </is>
      </c>
      <c r="K36" s="141" t="n">
        <v>0</v>
      </c>
      <c r="L36" s="141" t="n">
        <v>1</v>
      </c>
      <c r="M36" s="121">
        <f>IF(OR(K36="",L36=""),"",IF(AND(L36&lt;0.05,OR(AND(J36="升高改善",K36&gt;0),AND(J36="降低改善",K36&lt;0))),"校正","不校正"))</f>
        <v/>
      </c>
      <c r="N36" s="118" t="inlineStr">
        <is>
          <t>Fig1（iPad），PDF11，P2／第2面板；符号见原图图例</t>
        </is>
      </c>
    </row>
    <row r="37" ht="45" customHeight="1" s="111">
      <c r="A37" s="121" t="inlineStr">
        <is>
          <t>K040</t>
        </is>
      </c>
      <c r="B37" s="121" t="inlineStr">
        <is>
          <t>005-二次</t>
        </is>
      </c>
      <c r="C37" s="121" t="inlineStr">
        <is>
          <t>Brian</t>
        </is>
      </c>
      <c r="D37" s="140" t="inlineStr">
        <is>
          <t>干预</t>
        </is>
      </c>
      <c r="E37" s="118" t="inlineStr">
        <is>
          <t>该任务基线期 vs 视频示范干预期</t>
        </is>
      </c>
      <c r="F37" s="132" t="inlineStr">
        <is>
          <t>0, 0, 0, 0, 0, 0, 0, 0, 0, 0</t>
        </is>
      </c>
      <c r="G37" s="123">
        <f>IF(F37="","",LEN(F37)-LEN(SUBSTITUTE(F37,",",""))+1)</f>
        <v/>
      </c>
      <c r="H37" s="132" t="inlineStr">
        <is>
          <t>0, 0, 100, 80</t>
        </is>
      </c>
      <c r="I37" s="123">
        <f>IF(H37="","",LEN(H37)-LEN(SUBSTITUTE(H37,",",""))+1)</f>
        <v/>
      </c>
      <c r="J37" s="142" t="inlineStr">
        <is>
          <t>升高改善</t>
        </is>
      </c>
      <c r="K37" s="143" t="n">
        <v>0</v>
      </c>
      <c r="L37" s="143" t="n">
        <v>1</v>
      </c>
      <c r="M37" s="123">
        <f>IF(OR(K37="",L37=""),"",IF(AND(L37&lt;0.05,OR(AND(J37="升高改善",K37&gt;0),AND(J37="降低改善",K37&lt;0))),"校正","不校正"))</f>
        <v/>
      </c>
      <c r="N37" s="118" t="inlineStr">
        <is>
          <t>Fig1（iPad），PDF11，P3／第3面板；符号见原图图例</t>
        </is>
      </c>
    </row>
    <row r="38" ht="45" customHeight="1" s="111">
      <c r="A38" s="121" t="inlineStr">
        <is>
          <t>K041</t>
        </is>
      </c>
      <c r="B38" s="121" t="inlineStr">
        <is>
          <t>005-二次</t>
        </is>
      </c>
      <c r="C38" s="121" t="inlineStr">
        <is>
          <t>Brian</t>
        </is>
      </c>
      <c r="D38" s="140" t="inlineStr">
        <is>
          <t>干预</t>
        </is>
      </c>
      <c r="E38" s="118" t="inlineStr">
        <is>
          <t>该任务基线期 vs 视频示范干预期</t>
        </is>
      </c>
      <c r="F38" s="132" t="inlineStr">
        <is>
          <t>0, 0, 0, 0, 0, 0, 0, 0, 0, 0</t>
        </is>
      </c>
      <c r="G38" s="123">
        <f>IF(F38="","",LEN(F38)-LEN(SUBSTITUTE(F38,",",""))+1)</f>
        <v/>
      </c>
      <c r="H38" s="132" t="inlineStr">
        <is>
          <t>0, 100, 100</t>
        </is>
      </c>
      <c r="I38" s="123">
        <f>IF(H38="","",LEN(H38)-LEN(SUBSTITUTE(H38,",",""))+1)</f>
        <v/>
      </c>
      <c r="J38" s="142" t="inlineStr">
        <is>
          <t>升高改善</t>
        </is>
      </c>
      <c r="K38" s="143" t="n">
        <v>0</v>
      </c>
      <c r="L38" s="143" t="n">
        <v>1</v>
      </c>
      <c r="M38" s="123">
        <f>IF(OR(K38="",L38=""),"",IF(AND(L38&lt;0.05,OR(AND(J38="升高改善",K38&gt;0),AND(J38="降低改善",K38&lt;0))),"校正","不校正"))</f>
        <v/>
      </c>
      <c r="N38" s="118" t="inlineStr">
        <is>
          <t>Fig2（电视），PDF11，P3／第3面板；符号见原图图例</t>
        </is>
      </c>
    </row>
    <row r="39" ht="45" customHeight="1" s="111">
      <c r="A39" s="121" t="inlineStr">
        <is>
          <t>K042</t>
        </is>
      </c>
      <c r="B39" s="121" t="inlineStr">
        <is>
          <t>005-二次</t>
        </is>
      </c>
      <c r="C39" s="121" t="inlineStr">
        <is>
          <t>Jason</t>
        </is>
      </c>
      <c r="D39" s="140" t="inlineStr">
        <is>
          <t>干预</t>
        </is>
      </c>
      <c r="E39" s="118" t="inlineStr">
        <is>
          <t>该任务基线期 vs 视频示范干预期</t>
        </is>
      </c>
      <c r="F39" s="119" t="inlineStr">
        <is>
          <t>0, 0, 0, 0, 0, 0, 0, 0, 0, 0, 0, 0</t>
        </is>
      </c>
      <c r="G39" s="121">
        <f>IF(F39="","",LEN(F39)-LEN(SUBSTITUTE(F39,",",""))+1)</f>
        <v/>
      </c>
      <c r="H39" s="119" t="inlineStr">
        <is>
          <t>0, 33, 33, 33, 33, 33, 100, 100</t>
        </is>
      </c>
      <c r="I39" s="121">
        <f>IF(H39="","",LEN(H39)-LEN(SUBSTITUTE(H39,",",""))+1)</f>
        <v/>
      </c>
      <c r="J39" s="140" t="inlineStr">
        <is>
          <t>升高改善</t>
        </is>
      </c>
      <c r="K39" s="141" t="n">
        <v>0</v>
      </c>
      <c r="L39" s="141" t="n">
        <v>1</v>
      </c>
      <c r="M39" s="121">
        <f>IF(OR(K39="",L39=""),"",IF(AND(L39&lt;0.05,OR(AND(J39="升高改善",K39&gt;0),AND(J39="降低改善",K39&lt;0))),"校正","不校正"))</f>
        <v/>
      </c>
      <c r="N39" s="118" t="inlineStr">
        <is>
          <t>Fig1（iPad），PDF11，P4／第4面板；符号见原图图例</t>
        </is>
      </c>
    </row>
    <row r="40" ht="45" customHeight="1" s="111">
      <c r="A40" s="121" t="inlineStr">
        <is>
          <t>K043</t>
        </is>
      </c>
      <c r="B40" s="121" t="inlineStr">
        <is>
          <t>005-二次</t>
        </is>
      </c>
      <c r="C40" s="121" t="inlineStr">
        <is>
          <t>Jason</t>
        </is>
      </c>
      <c r="D40" s="140" t="inlineStr">
        <is>
          <t>干预</t>
        </is>
      </c>
      <c r="E40" s="118" t="inlineStr">
        <is>
          <t>该任务基线期 vs 视频示范干预期</t>
        </is>
      </c>
      <c r="F40" s="119" t="inlineStr">
        <is>
          <t>0, 0, 0, 0, 0, 0, 0, 0, 0, 0, 0, 0</t>
        </is>
      </c>
      <c r="G40" s="121">
        <f>IF(F40="","",LEN(F40)-LEN(SUBSTITUTE(F40,",",""))+1)</f>
        <v/>
      </c>
      <c r="H40" s="119" t="inlineStr">
        <is>
          <t>0, 0, 67, 100, 100</t>
        </is>
      </c>
      <c r="I40" s="121">
        <f>IF(H40="","",LEN(H40)-LEN(SUBSTITUTE(H40,",",""))+1)</f>
        <v/>
      </c>
      <c r="J40" s="140" t="inlineStr">
        <is>
          <t>升高改善</t>
        </is>
      </c>
      <c r="K40" s="141" t="n">
        <v>0</v>
      </c>
      <c r="L40" s="141" t="n">
        <v>1</v>
      </c>
      <c r="M40" s="121">
        <f>IF(OR(K40="",L40=""),"",IF(AND(L40&lt;0.05,OR(AND(J40="升高改善",K40&gt;0),AND(J40="降低改善",K40&lt;0))),"校正","不校正"))</f>
        <v/>
      </c>
      <c r="N40" s="118" t="inlineStr">
        <is>
          <t>Fig2（电视），PDF11，P4／第4面板；符号见原图图例</t>
        </is>
      </c>
    </row>
    <row r="41" ht="45" customHeight="1" s="111">
      <c r="A41" s="121" t="inlineStr">
        <is>
          <t>K044</t>
        </is>
      </c>
      <c r="B41" s="121" t="inlineStr">
        <is>
          <t>005-二次</t>
        </is>
      </c>
      <c r="C41" s="121" t="inlineStr">
        <is>
          <t>Riley</t>
        </is>
      </c>
      <c r="D41" s="140" t="inlineStr">
        <is>
          <t>干预</t>
        </is>
      </c>
      <c r="E41" s="118" t="inlineStr">
        <is>
          <t>该任务基线期 vs 视频示范干预期</t>
        </is>
      </c>
      <c r="F41" s="119" t="inlineStr">
        <is>
          <t>0, 0, 0, 0, 0, 0, 0, 0, 0, 0, 0, 0, 0, 0</t>
        </is>
      </c>
      <c r="G41" s="121">
        <f>IF(F41="","",LEN(F41)-LEN(SUBSTITUTE(F41,",",""))+1)</f>
        <v/>
      </c>
      <c r="H41" s="119" t="inlineStr">
        <is>
          <t>20, 100, 0, 40, 100, 20, 60, 80, 80</t>
        </is>
      </c>
      <c r="I41" s="121">
        <f>IF(H41="","",LEN(H41)-LEN(SUBSTITUTE(H41,",",""))+1)</f>
        <v/>
      </c>
      <c r="J41" s="140" t="inlineStr">
        <is>
          <t>升高改善</t>
        </is>
      </c>
      <c r="K41" s="141" t="n">
        <v>0</v>
      </c>
      <c r="L41" s="141" t="n">
        <v>1</v>
      </c>
      <c r="M41" s="121">
        <f>IF(OR(K41="",L41=""),"",IF(AND(L41&lt;0.05,OR(AND(J41="升高改善",K41&gt;0),AND(J41="降低改善",K41&lt;0))),"校正","不校正"))</f>
        <v/>
      </c>
      <c r="N41" s="118" t="inlineStr">
        <is>
          <t>Fig1（iPad），PDF11，P5／第5面板；符号见原图图例</t>
        </is>
      </c>
    </row>
    <row r="42" ht="45" customHeight="1" s="111">
      <c r="A42" s="121" t="inlineStr">
        <is>
          <t>K045</t>
        </is>
      </c>
      <c r="B42" s="121" t="inlineStr">
        <is>
          <t>005-二次</t>
        </is>
      </c>
      <c r="C42" s="121" t="inlineStr">
        <is>
          <t>Riley</t>
        </is>
      </c>
      <c r="D42" s="140" t="inlineStr">
        <is>
          <t>干预</t>
        </is>
      </c>
      <c r="E42" s="118" t="inlineStr">
        <is>
          <t>该任务基线期 vs 视频示范干预期</t>
        </is>
      </c>
      <c r="F42" s="119" t="inlineStr">
        <is>
          <t>0, 0, 0, 0, 0, 0, 0, 0, 0, 0, 0, 0, 0, 0</t>
        </is>
      </c>
      <c r="G42" s="121">
        <f>IF(F42="","",LEN(F42)-LEN(SUBSTITUTE(F42,",",""))+1)</f>
        <v/>
      </c>
      <c r="H42" s="119" t="inlineStr">
        <is>
          <t>100, 0, 100, 100</t>
        </is>
      </c>
      <c r="I42" s="121">
        <f>IF(H42="","",LEN(H42)-LEN(SUBSTITUTE(H42,",",""))+1)</f>
        <v/>
      </c>
      <c r="J42" s="140" t="inlineStr">
        <is>
          <t>升高改善</t>
        </is>
      </c>
      <c r="K42" s="141" t="n">
        <v>0</v>
      </c>
      <c r="L42" s="141" t="n">
        <v>1</v>
      </c>
      <c r="M42" s="121">
        <f>IF(OR(K42="",L42=""),"",IF(AND(L42&lt;0.05,OR(AND(J42="升高改善",K42&gt;0),AND(J42="降低改善",K42&lt;0))),"校正","不校正"))</f>
        <v/>
      </c>
      <c r="N42" s="118" t="inlineStr">
        <is>
          <t>Fig2（电视），PDF11，P5／第5面板；符号见原图图例</t>
        </is>
      </c>
    </row>
    <row r="43" ht="45" customHeight="1" s="111">
      <c r="A43" s="121" t="inlineStr">
        <is>
          <t>K083</t>
        </is>
      </c>
      <c r="B43" s="121" t="inlineStr">
        <is>
          <t>011-二次</t>
        </is>
      </c>
      <c r="C43" s="121" t="inlineStr">
        <is>
          <t>Max</t>
        </is>
      </c>
      <c r="D43" s="140" t="inlineStr">
        <is>
          <t>干预</t>
        </is>
      </c>
      <c r="E43" s="119" t="inlineStr">
        <is>
          <t>Baseline vs Video Modeling</t>
        </is>
      </c>
      <c r="F43" s="119" t="inlineStr">
        <is>
          <t>20, 0, 0, 20, 0</t>
        </is>
      </c>
      <c r="G43" s="121">
        <f>IF(F43="","",LEN(F43)-LEN(SUBSTITUTE(F43,",",""))+1)</f>
        <v/>
      </c>
      <c r="H43" s="119" t="inlineStr">
        <is>
          <t>0, 40, 20, 100, 40, 0, 80, 80</t>
        </is>
      </c>
      <c r="I43" s="121">
        <f>IF(H43="","",LEN(H43)-LEN(SUBSTITUTE(H43,",",""))+1)</f>
        <v/>
      </c>
      <c r="J43" s="140" t="inlineStr">
        <is>
          <t>升高改善</t>
        </is>
      </c>
      <c r="K43" s="141" t="n">
        <v>-0.258198889747161</v>
      </c>
      <c r="L43" s="141" t="n">
        <v>0.563702861650773</v>
      </c>
      <c r="M43" s="121">
        <f>IF(OR(K43="",L43=""),"",IF(AND(L43&lt;0.05,OR(AND(J43="升高改善",K43&gt;0),AND(J43="降低改善",K43&lt;0))),"校正","不校正"))</f>
        <v/>
      </c>
      <c r="N43" s="119" t="inlineStr">
        <is>
          <t>Figure 1，PDF第8页，第2面板（Max），VM实心圆</t>
        </is>
      </c>
    </row>
    <row r="44" ht="45" customHeight="1" s="111">
      <c r="A44" s="121" t="inlineStr">
        <is>
          <t>K084</t>
        </is>
      </c>
      <c r="B44" s="121" t="inlineStr">
        <is>
          <t>011-二次</t>
        </is>
      </c>
      <c r="C44" s="121" t="inlineStr">
        <is>
          <t>Mike</t>
        </is>
      </c>
      <c r="D44" s="140" t="inlineStr">
        <is>
          <t>干预</t>
        </is>
      </c>
      <c r="E44" s="119" t="inlineStr">
        <is>
          <t>Baseline vs Video Modeling</t>
        </is>
      </c>
      <c r="F44" s="119" t="inlineStr">
        <is>
          <t>0, 0, 0, 0</t>
        </is>
      </c>
      <c r="G44" s="121">
        <f>IF(F44="","",LEN(F44)-LEN(SUBSTITUTE(F44,",",""))+1)</f>
        <v/>
      </c>
      <c r="H44" s="119" t="inlineStr">
        <is>
          <t>0, 90, 40, 100, 100, 80</t>
        </is>
      </c>
      <c r="I44" s="121">
        <f>IF(H44="","",LEN(H44)-LEN(SUBSTITUTE(H44,",",""))+1)</f>
        <v/>
      </c>
      <c r="J44" s="140" t="inlineStr">
        <is>
          <t>升高改善</t>
        </is>
      </c>
      <c r="K44" s="141" t="n">
        <v>0</v>
      </c>
      <c r="L44" s="141" t="n">
        <v>1</v>
      </c>
      <c r="M44" s="121">
        <f>IF(OR(K44="",L44=""),"",IF(AND(L44&lt;0.05,OR(AND(J44="升高改善",K44&gt;0),AND(J44="降低改善",K44&lt;0))),"校正","不校正"))</f>
        <v/>
      </c>
      <c r="N44" s="119" t="inlineStr">
        <is>
          <t>Figure 1，PDF第8页，第3面板（Mike），VM实心圆</t>
        </is>
      </c>
    </row>
    <row r="45" ht="45" customHeight="1" s="111">
      <c r="A45" s="121" t="inlineStr">
        <is>
          <t>K085</t>
        </is>
      </c>
      <c r="B45" s="121" t="inlineStr">
        <is>
          <t>011-二次</t>
        </is>
      </c>
      <c r="C45" s="121" t="inlineStr">
        <is>
          <t>Kendra</t>
        </is>
      </c>
      <c r="D45" s="140" t="inlineStr">
        <is>
          <t>干预</t>
        </is>
      </c>
      <c r="E45" s="119" t="inlineStr">
        <is>
          <t>Baseline vs Video Modeling</t>
        </is>
      </c>
      <c r="F45" s="119" t="inlineStr">
        <is>
          <t>0, 0, 0, 0, 0, 0, 0, 0, 0, 0</t>
        </is>
      </c>
      <c r="G45" s="121">
        <f>IF(F45="","",LEN(F45)-LEN(SUBSTITUTE(F45,",",""))+1)</f>
        <v/>
      </c>
      <c r="H45" s="119" t="inlineStr">
        <is>
          <t>0, 0, 0, 40, 25, 80, 40, 80, 80</t>
        </is>
      </c>
      <c r="I45" s="121">
        <f>IF(H45="","",LEN(H45)-LEN(SUBSTITUTE(H45,",",""))+1)</f>
        <v/>
      </c>
      <c r="J45" s="140" t="inlineStr">
        <is>
          <t>升高改善</t>
        </is>
      </c>
      <c r="K45" s="141" t="n">
        <v>0</v>
      </c>
      <c r="L45" s="141" t="n">
        <v>1</v>
      </c>
      <c r="M45" s="121">
        <f>IF(OR(K45="",L45=""),"",IF(AND(L45&lt;0.05,OR(AND(J45="升高改善",K45&gt;0),AND(J45="降低改善",K45&lt;0))),"校正","不校正"))</f>
        <v/>
      </c>
      <c r="N45" s="119" t="inlineStr">
        <is>
          <t>Figure 1，PDF第8页，第4面板（Kendra），VM实心圆</t>
        </is>
      </c>
    </row>
    <row r="46" ht="45" customHeight="1" s="111">
      <c r="A46" s="121" t="inlineStr">
        <is>
          <t>K098</t>
        </is>
      </c>
      <c r="B46" s="121" t="inlineStr">
        <is>
          <t>013-滚雪球</t>
        </is>
      </c>
      <c r="C46" s="121" t="inlineStr">
        <is>
          <t>Clay</t>
        </is>
      </c>
      <c r="D46" s="140" t="inlineStr">
        <is>
          <t>干预</t>
        </is>
      </c>
      <c r="E46" s="119" t="inlineStr">
        <is>
          <t>BL vs INT</t>
        </is>
      </c>
      <c r="F46" s="119" t="inlineStr">
        <is>
          <t>0, 0, 0, 0</t>
        </is>
      </c>
      <c r="G46" s="121">
        <f>IF(F46="","",LEN(F46)-LEN(SUBSTITUTE(F46,",",""))+1)</f>
        <v/>
      </c>
      <c r="H46" s="119" t="inlineStr">
        <is>
          <t>25, 0, 25, 75, 75, 50, 75, 100, 100, 100</t>
        </is>
      </c>
      <c r="I46" s="121">
        <f>IF(H46="","",LEN(H46)-LEN(SUBSTITUTE(H46,",",""))+1)</f>
        <v/>
      </c>
      <c r="J46" s="140" t="inlineStr">
        <is>
          <t>升高改善</t>
        </is>
      </c>
      <c r="K46" s="141" t="n">
        <v>0</v>
      </c>
      <c r="L46" s="141" t="n">
        <v>1</v>
      </c>
      <c r="M46" s="121">
        <f>IF(OR(K46="",L46=""),"",IF(AND(L46&lt;0.05,OR(AND(J46="升高改善",K46&gt;0),AND(J46="降低改善",K46&lt;0))),"校正","不校正"))</f>
        <v/>
      </c>
      <c r="N46" s="119" t="inlineStr">
        <is>
          <t>Fig1，PDF8，印刷页8，自上而下第1面板（B1）；实心圆</t>
        </is>
      </c>
    </row>
    <row r="47" ht="45" customHeight="1" s="111">
      <c r="A47" s="121" t="inlineStr">
        <is>
          <t>K099</t>
        </is>
      </c>
      <c r="B47" s="121" t="inlineStr">
        <is>
          <t>013-滚雪球</t>
        </is>
      </c>
      <c r="C47" s="121" t="inlineStr">
        <is>
          <t>Clay</t>
        </is>
      </c>
      <c r="D47" s="140" t="inlineStr">
        <is>
          <t>维持</t>
        </is>
      </c>
      <c r="E47" s="119" t="inlineStr">
        <is>
          <t>BL vs MAIN＋6WK FU（合并）</t>
        </is>
      </c>
      <c r="F47" s="119" t="inlineStr">
        <is>
          <t>0, 0, 0, 0</t>
        </is>
      </c>
      <c r="G47" s="121">
        <f>IF(F47="","",LEN(F47)-LEN(SUBSTITUTE(F47,",",""))+1)</f>
        <v/>
      </c>
      <c r="H47" s="119" t="inlineStr">
        <is>
          <t>100, 100, 100, 100, 100, 100, 100</t>
        </is>
      </c>
      <c r="I47" s="121">
        <f>IF(H47="","",LEN(H47)-LEN(SUBSTITUTE(H47,",",""))+1)</f>
        <v/>
      </c>
      <c r="J47" s="140" t="inlineStr">
        <is>
          <t>升高改善</t>
        </is>
      </c>
      <c r="K47" s="141" t="n">
        <v>0</v>
      </c>
      <c r="L47" s="141" t="n">
        <v>1</v>
      </c>
      <c r="M47" s="121">
        <f>IF(OR(K47="",L47=""),"",IF(AND(L47&lt;0.05,OR(AND(J47="升高改善",K47&gt;0),AND(J47="降低改善",K47&lt;0))),"校正","不校正"))</f>
        <v/>
      </c>
      <c r="N47" s="119" t="inlineStr">
        <is>
          <t>Fig1，PDF8，印刷页8，自上而下第1面板（B1）；实心圆</t>
        </is>
      </c>
    </row>
    <row r="48" ht="45" customHeight="1" s="111">
      <c r="A48" s="121" t="inlineStr">
        <is>
          <t>K102</t>
        </is>
      </c>
      <c r="B48" s="121" t="inlineStr">
        <is>
          <t>013-滚雪球</t>
        </is>
      </c>
      <c r="C48" s="121" t="inlineStr">
        <is>
          <t>Clay</t>
        </is>
      </c>
      <c r="D48" s="140" t="inlineStr">
        <is>
          <t>干预</t>
        </is>
      </c>
      <c r="E48" s="119" t="inlineStr">
        <is>
          <t>BL vs INT</t>
        </is>
      </c>
      <c r="F48" s="132" t="inlineStr">
        <is>
          <t>60, 100, 20, 40, 60, 40, 60, 40, 40</t>
        </is>
      </c>
      <c r="G48" s="123">
        <f>IF(F48="","",LEN(F48)-LEN(SUBSTITUTE(F48,",",""))+1)</f>
        <v/>
      </c>
      <c r="H48" s="132" t="inlineStr">
        <is>
          <t>60, 60, 80, 100, 100, 100</t>
        </is>
      </c>
      <c r="I48" s="123">
        <f>IF(H48="","",LEN(H48)-LEN(SUBSTITUTE(H48,",",""))+1)</f>
        <v/>
      </c>
      <c r="J48" s="142" t="inlineStr">
        <is>
          <t>升高改善</t>
        </is>
      </c>
      <c r="K48" s="143" t="n">
        <v>-0.224525104684855</v>
      </c>
      <c r="L48" s="143" t="n">
        <v>0.432887934013342</v>
      </c>
      <c r="M48" s="123">
        <f>IF(OR(K48="",L48=""),"",IF(AND(L48&lt;0.05,OR(AND(J48="升高改善",K48&gt;0),AND(J48="降低改善",K48&lt;0))),"校正","不校正"))</f>
        <v/>
      </c>
      <c r="N48" s="119" t="inlineStr">
        <is>
          <t>Fig1，PDF8，印刷页8，自上而下第3面板（B3）；实心圆</t>
        </is>
      </c>
    </row>
    <row r="49" ht="45" customHeight="1" s="111">
      <c r="A49" s="121" t="inlineStr">
        <is>
          <t>K103</t>
        </is>
      </c>
      <c r="B49" s="121" t="inlineStr">
        <is>
          <t>013-滚雪球</t>
        </is>
      </c>
      <c r="C49" s="121" t="inlineStr">
        <is>
          <t>Clay</t>
        </is>
      </c>
      <c r="D49" s="140" t="inlineStr">
        <is>
          <t>维持</t>
        </is>
      </c>
      <c r="E49" s="119" t="inlineStr">
        <is>
          <t>BL vs MAIN＋6WK FU（合并）</t>
        </is>
      </c>
      <c r="F49" s="132" t="inlineStr">
        <is>
          <t>60, 100, 20, 40, 60, 40, 60, 40, 40</t>
        </is>
      </c>
      <c r="G49" s="123">
        <f>IF(F49="","",LEN(F49)-LEN(SUBSTITUTE(F49,",",""))+1)</f>
        <v/>
      </c>
      <c r="H49" s="132" t="inlineStr">
        <is>
          <t>100, 100, 100, 100, 100</t>
        </is>
      </c>
      <c r="I49" s="123">
        <f>IF(H49="","",LEN(H49)-LEN(SUBSTITUTE(H49,",",""))+1)</f>
        <v/>
      </c>
      <c r="J49" s="142" t="inlineStr">
        <is>
          <t>升高改善</t>
        </is>
      </c>
      <c r="K49" s="143" t="n">
        <v>-0.224525104684855</v>
      </c>
      <c r="L49" s="143" t="n">
        <v>0.432887934013342</v>
      </c>
      <c r="M49" s="123">
        <f>IF(OR(K49="",L49=""),"",IF(AND(L49&lt;0.05,OR(AND(J49="升高改善",K49&gt;0),AND(J49="降低改善",K49&lt;0))),"校正","不校正"))</f>
        <v/>
      </c>
      <c r="N49" s="119" t="inlineStr">
        <is>
          <t>Fig1，PDF8，印刷页8，自上而下第3面板（B3）；实心圆</t>
        </is>
      </c>
    </row>
    <row r="50" ht="45" customHeight="1" s="111">
      <c r="A50" s="121" t="inlineStr">
        <is>
          <t>K104</t>
        </is>
      </c>
      <c r="B50" s="121" t="inlineStr">
        <is>
          <t>013-滚雪球</t>
        </is>
      </c>
      <c r="C50" s="121" t="inlineStr">
        <is>
          <t>Clay</t>
        </is>
      </c>
      <c r="D50" s="140" t="inlineStr">
        <is>
          <t>干预</t>
        </is>
      </c>
      <c r="E50" s="119" t="inlineStr">
        <is>
          <t>BL vs INT</t>
        </is>
      </c>
      <c r="F50" s="132" t="inlineStr">
        <is>
          <t>83, 83, 16, 66, 33, 50, 66, 50, 50, 33, 50, 33</t>
        </is>
      </c>
      <c r="G50" s="123">
        <f>IF(F50="","",LEN(F50)-LEN(SUBSTITUTE(F50,",",""))+1)</f>
        <v/>
      </c>
      <c r="H50" s="132" t="inlineStr">
        <is>
          <t>33, 66, 100, 100, 100, 100, 100, 100, 100</t>
        </is>
      </c>
      <c r="I50" s="123">
        <f>IF(H50="","",LEN(H50)-LEN(SUBSTITUTE(H50,",",""))+1)</f>
        <v/>
      </c>
      <c r="J50" s="142" t="inlineStr">
        <is>
          <t>升高改善</t>
        </is>
      </c>
      <c r="K50" s="143" t="n">
        <v>-0.381746024927843</v>
      </c>
      <c r="L50" s="143" t="n">
        <v>0.102434364992897</v>
      </c>
      <c r="M50" s="123">
        <f>IF(OR(K50="",L50=""),"",IF(AND(L50&lt;0.05,OR(AND(J50="升高改善",K50&gt;0),AND(J50="降低改善",K50&lt;0))),"校正","不校正"))</f>
        <v/>
      </c>
      <c r="N50" s="119" t="inlineStr">
        <is>
          <t>Fig1，PDF8，印刷页8，自上而下第4面板（B4）；实心圆</t>
        </is>
      </c>
    </row>
    <row r="51" ht="45" customHeight="1" s="111">
      <c r="A51" s="121" t="inlineStr">
        <is>
          <t>K105</t>
        </is>
      </c>
      <c r="B51" s="121" t="inlineStr">
        <is>
          <t>013-滚雪球</t>
        </is>
      </c>
      <c r="C51" s="121" t="inlineStr">
        <is>
          <t>Clay</t>
        </is>
      </c>
      <c r="D51" s="140" t="inlineStr">
        <is>
          <t>维持</t>
        </is>
      </c>
      <c r="E51" s="119" t="inlineStr">
        <is>
          <t>BL vs 6WK FU</t>
        </is>
      </c>
      <c r="F51" s="132" t="inlineStr">
        <is>
          <t>83, 83, 16, 66, 33, 50, 66, 50, 50, 33, 50, 33</t>
        </is>
      </c>
      <c r="G51" s="123">
        <f>IF(F51="","",LEN(F51)-LEN(SUBSTITUTE(F51,",",""))+1)</f>
        <v/>
      </c>
      <c r="H51" s="132" t="inlineStr">
        <is>
          <t>83, 100, 100</t>
        </is>
      </c>
      <c r="I51" s="123">
        <f>IF(H51="","",LEN(H51)-LEN(SUBSTITUTE(H51,",",""))+1)</f>
        <v/>
      </c>
      <c r="J51" s="142" t="inlineStr">
        <is>
          <t>升高改善</t>
        </is>
      </c>
      <c r="K51" s="143" t="n">
        <v>-0.381746024927843</v>
      </c>
      <c r="L51" s="143" t="n">
        <v>0.102434364992897</v>
      </c>
      <c r="M51" s="123">
        <f>IF(OR(K51="",L51=""),"",IF(AND(L51&lt;0.05,OR(AND(J51="升高改善",K51&gt;0),AND(J51="降低改善",K51&lt;0))),"校正","不校正"))</f>
        <v/>
      </c>
      <c r="N51" s="119" t="inlineStr">
        <is>
          <t>Fig1，PDF8，印刷页8，自上而下第4面板（B4）；实心圆</t>
        </is>
      </c>
    </row>
    <row r="52" ht="45" customHeight="1" s="111">
      <c r="A52" s="121" t="inlineStr">
        <is>
          <t>K106</t>
        </is>
      </c>
      <c r="B52" s="121" t="inlineStr">
        <is>
          <t>013-滚雪球</t>
        </is>
      </c>
      <c r="C52" s="121" t="inlineStr">
        <is>
          <t>Jack</t>
        </is>
      </c>
      <c r="D52" s="140" t="inlineStr">
        <is>
          <t>干预</t>
        </is>
      </c>
      <c r="E52" s="119" t="inlineStr">
        <is>
          <t>BL vs INT</t>
        </is>
      </c>
      <c r="F52" s="119" t="inlineStr">
        <is>
          <t>0, 0, 25, 25</t>
        </is>
      </c>
      <c r="G52" s="121">
        <f>IF(F52="","",LEN(F52)-LEN(SUBSTITUTE(F52,",",""))+1)</f>
        <v/>
      </c>
      <c r="H52" s="119" t="inlineStr">
        <is>
          <t>75, 25, 25, 0, 100, 75, 75, 100, 100, 100</t>
        </is>
      </c>
      <c r="I52" s="121">
        <f>IF(H52="","",LEN(H52)-LEN(SUBSTITUTE(H52,",",""))+1)</f>
        <v/>
      </c>
      <c r="J52" s="140" t="inlineStr">
        <is>
          <t>升高改善</t>
        </is>
      </c>
      <c r="K52" s="141" t="n">
        <v>0.816496580927726</v>
      </c>
      <c r="L52" s="141" t="n">
        <v>0.121335250358482</v>
      </c>
      <c r="M52" s="121">
        <f>IF(OR(K52="",L52=""),"",IF(AND(L52&lt;0.05,OR(AND(J52="升高改善",K52&gt;0),AND(J52="降低改善",K52&lt;0))),"校正","不校正"))</f>
        <v/>
      </c>
      <c r="N52" s="119" t="inlineStr">
        <is>
          <t>Fig2，PDF9，印刷页9，自上而下第1面板（B1）；实心圆</t>
        </is>
      </c>
    </row>
    <row r="53" ht="45" customHeight="1" s="111">
      <c r="A53" s="121" t="inlineStr">
        <is>
          <t>K107</t>
        </is>
      </c>
      <c r="B53" s="121" t="inlineStr">
        <is>
          <t>013-滚雪球</t>
        </is>
      </c>
      <c r="C53" s="121" t="inlineStr">
        <is>
          <t>Jack</t>
        </is>
      </c>
      <c r="D53" s="140" t="inlineStr">
        <is>
          <t>维持</t>
        </is>
      </c>
      <c r="E53" s="119" t="inlineStr">
        <is>
          <t>BL vs MAIN＋6WK FU（合并）</t>
        </is>
      </c>
      <c r="F53" s="119" t="inlineStr">
        <is>
          <t>0, 0, 25, 25</t>
        </is>
      </c>
      <c r="G53" s="121">
        <f>IF(F53="","",LEN(F53)-LEN(SUBSTITUTE(F53,",",""))+1)</f>
        <v/>
      </c>
      <c r="H53" s="119" t="inlineStr">
        <is>
          <t>100, 100, 100, 100, 100, 100, 100</t>
        </is>
      </c>
      <c r="I53" s="121">
        <f>IF(H53="","",LEN(H53)-LEN(SUBSTITUTE(H53,",",""))+1)</f>
        <v/>
      </c>
      <c r="J53" s="140" t="inlineStr">
        <is>
          <t>升高改善</t>
        </is>
      </c>
      <c r="K53" s="141" t="n">
        <v>0.816496580927726</v>
      </c>
      <c r="L53" s="141" t="n">
        <v>0.121335250358482</v>
      </c>
      <c r="M53" s="121">
        <f>IF(OR(K53="",L53=""),"",IF(AND(L53&lt;0.05,OR(AND(J53="升高改善",K53&gt;0),AND(J53="降低改善",K53&lt;0))),"校正","不校正"))</f>
        <v/>
      </c>
      <c r="N53" s="119" t="inlineStr">
        <is>
          <t>Fig2，PDF9，印刷页9，自上而下第1面板（B1）；实心圆</t>
        </is>
      </c>
    </row>
    <row r="54" ht="45" customHeight="1" s="111">
      <c r="A54" s="121" t="inlineStr">
        <is>
          <t>K110</t>
        </is>
      </c>
      <c r="B54" s="121" t="inlineStr">
        <is>
          <t>013-滚雪球</t>
        </is>
      </c>
      <c r="C54" s="121" t="inlineStr">
        <is>
          <t>Jack</t>
        </is>
      </c>
      <c r="D54" s="140" t="inlineStr">
        <is>
          <t>干预</t>
        </is>
      </c>
      <c r="E54" s="119" t="inlineStr">
        <is>
          <t>BL vs INT</t>
        </is>
      </c>
      <c r="F54" s="132" t="inlineStr">
        <is>
          <t>20, 40, 80, 40, 60, 40, 60, 60, 20</t>
        </is>
      </c>
      <c r="G54" s="123">
        <f>IF(F54="","",LEN(F54)-LEN(SUBSTITUTE(F54,",",""))+1)</f>
        <v/>
      </c>
      <c r="H54" s="132" t="inlineStr">
        <is>
          <t>80, 100, 100, 100, 100, 100</t>
        </is>
      </c>
      <c r="I54" s="123">
        <f>IF(H54="","",LEN(H54)-LEN(SUBSTITUTE(H54,",",""))+1)</f>
        <v/>
      </c>
      <c r="J54" s="142" t="inlineStr">
        <is>
          <t>升高改善</t>
        </is>
      </c>
      <c r="K54" s="143" t="n">
        <v>0.0928476690885259</v>
      </c>
      <c r="L54" s="143" t="n">
        <v>0.742928120920435</v>
      </c>
      <c r="M54" s="123">
        <f>IF(OR(K54="",L54=""),"",IF(AND(L54&lt;0.05,OR(AND(J54="升高改善",K54&gt;0),AND(J54="降低改善",K54&lt;0))),"校正","不校正"))</f>
        <v/>
      </c>
      <c r="N54" s="119" t="inlineStr">
        <is>
          <t>Fig2，PDF9，印刷页9，自上而下第3面板（B3）；实心圆</t>
        </is>
      </c>
    </row>
    <row r="55" ht="45" customHeight="1" s="111">
      <c r="A55" s="121" t="inlineStr">
        <is>
          <t>K111</t>
        </is>
      </c>
      <c r="B55" s="121" t="inlineStr">
        <is>
          <t>013-滚雪球</t>
        </is>
      </c>
      <c r="C55" s="121" t="inlineStr">
        <is>
          <t>Jack</t>
        </is>
      </c>
      <c r="D55" s="140" t="inlineStr">
        <is>
          <t>维持</t>
        </is>
      </c>
      <c r="E55" s="119" t="inlineStr">
        <is>
          <t>BL vs MAIN＋6WK FU（合并）</t>
        </is>
      </c>
      <c r="F55" s="132" t="inlineStr">
        <is>
          <t>20, 40, 80, 40, 60, 40, 60, 60, 20</t>
        </is>
      </c>
      <c r="G55" s="123">
        <f>IF(F55="","",LEN(F55)-LEN(SUBSTITUTE(F55,",",""))+1)</f>
        <v/>
      </c>
      <c r="H55" s="132" t="inlineStr">
        <is>
          <t>100, 100, 100, 100, 100</t>
        </is>
      </c>
      <c r="I55" s="123">
        <f>IF(H55="","",LEN(H55)-LEN(SUBSTITUTE(H55,",",""))+1)</f>
        <v/>
      </c>
      <c r="J55" s="142" t="inlineStr">
        <is>
          <t>升高改善</t>
        </is>
      </c>
      <c r="K55" s="143" t="n">
        <v>0.0928476690885259</v>
      </c>
      <c r="L55" s="143" t="n">
        <v>0.742928120920435</v>
      </c>
      <c r="M55" s="123">
        <f>IF(OR(K55="",L55=""),"",IF(AND(L55&lt;0.05,OR(AND(J55="升高改善",K55&gt;0),AND(J55="降低改善",K55&lt;0))),"校正","不校正"))</f>
        <v/>
      </c>
      <c r="N55" s="119" t="inlineStr">
        <is>
          <t>Fig2，PDF9，印刷页9，自上而下第3面板（B3）；实心圆</t>
        </is>
      </c>
    </row>
    <row r="56" ht="45" customHeight="1" s="111">
      <c r="A56" s="121" t="inlineStr">
        <is>
          <t>K112</t>
        </is>
      </c>
      <c r="B56" s="121" t="inlineStr">
        <is>
          <t>013-滚雪球</t>
        </is>
      </c>
      <c r="C56" s="121" t="inlineStr">
        <is>
          <t>Jack</t>
        </is>
      </c>
      <c r="D56" s="140" t="inlineStr">
        <is>
          <t>干预</t>
        </is>
      </c>
      <c r="E56" s="119" t="inlineStr">
        <is>
          <t>BL vs INT</t>
        </is>
      </c>
      <c r="F56" s="132" t="inlineStr">
        <is>
          <t>83, 66, 83, 66, 100, 66, 66, 83, 33, 33, 50, 50, 33</t>
        </is>
      </c>
      <c r="G56" s="123">
        <f>IF(F56="","",LEN(F56)-LEN(SUBSTITUTE(F56,",",""))+1)</f>
        <v/>
      </c>
      <c r="H56" s="132" t="inlineStr">
        <is>
          <t>83, 83, 100, 100, 100, 66, 100, 100, 100</t>
        </is>
      </c>
      <c r="I56" s="123">
        <f>IF(H56="","",LEN(H56)-LEN(SUBSTITUTE(H56,",",""))+1)</f>
        <v/>
      </c>
      <c r="J56" s="142" t="inlineStr">
        <is>
          <t>升高改善</t>
        </is>
      </c>
      <c r="K56" s="143" t="n">
        <v>-0.547722557505166</v>
      </c>
      <c r="L56" s="143" t="n">
        <v>0.0139559372065811</v>
      </c>
      <c r="M56" s="123">
        <f>IF(OR(K56="",L56=""),"",IF(AND(L56&lt;0.05,OR(AND(J56="升高改善",K56&gt;0),AND(J56="降低改善",K56&lt;0))),"校正","不校正"))</f>
        <v/>
      </c>
      <c r="N56" s="119" t="inlineStr">
        <is>
          <t>Fig2，PDF9，印刷页9，自上而下第4面板（B4）；实心圆</t>
        </is>
      </c>
    </row>
    <row r="57" ht="45" customHeight="1" s="111">
      <c r="A57" s="121" t="inlineStr">
        <is>
          <t>K113</t>
        </is>
      </c>
      <c r="B57" s="121" t="inlineStr">
        <is>
          <t>013-滚雪球</t>
        </is>
      </c>
      <c r="C57" s="121" t="inlineStr">
        <is>
          <t>Jack</t>
        </is>
      </c>
      <c r="D57" s="140" t="inlineStr">
        <is>
          <t>维持</t>
        </is>
      </c>
      <c r="E57" s="119" t="inlineStr">
        <is>
          <t>BL vs 6WK FU</t>
        </is>
      </c>
      <c r="F57" s="132" t="inlineStr">
        <is>
          <t>83, 66, 83, 66, 100, 66, 66, 83, 33, 33, 50, 50, 33</t>
        </is>
      </c>
      <c r="G57" s="123">
        <f>IF(F57="","",LEN(F57)-LEN(SUBSTITUTE(F57,",",""))+1)</f>
        <v/>
      </c>
      <c r="H57" s="132" t="inlineStr">
        <is>
          <t>100, 100, 100</t>
        </is>
      </c>
      <c r="I57" s="123">
        <f>IF(H57="","",LEN(H57)-LEN(SUBSTITUTE(H57,",",""))+1)</f>
        <v/>
      </c>
      <c r="J57" s="142" t="inlineStr">
        <is>
          <t>升高改善</t>
        </is>
      </c>
      <c r="K57" s="143" t="n">
        <v>-0.547722557505166</v>
      </c>
      <c r="L57" s="143" t="n">
        <v>0.0139559372065811</v>
      </c>
      <c r="M57" s="123">
        <f>IF(OR(K57="",L57=""),"",IF(AND(L57&lt;0.05,OR(AND(J57="升高改善",K57&gt;0),AND(J57="降低改善",K57&lt;0))),"校正","不校正"))</f>
        <v/>
      </c>
      <c r="N57" s="119" t="inlineStr">
        <is>
          <t>Fig2，PDF9，印刷页9，自上而下第4面板（B4）；实心圆</t>
        </is>
      </c>
    </row>
    <row r="58" ht="45" customHeight="1" s="111">
      <c r="A58" s="121" t="inlineStr">
        <is>
          <t>K125</t>
        </is>
      </c>
      <c r="B58" s="121" t="inlineStr">
        <is>
          <t>017-二次</t>
        </is>
      </c>
      <c r="C58" s="121" t="inlineStr">
        <is>
          <t>Vito</t>
        </is>
      </c>
      <c r="D58" s="140" t="inlineStr">
        <is>
          <t>干预</t>
        </is>
      </c>
      <c r="E58" s="119" t="inlineStr">
        <is>
          <t>Baseline vs Intervention（Intervention + Prompts 段不用）</t>
        </is>
      </c>
      <c r="F58" s="119" t="inlineStr">
        <is>
          <t>0, 0, 12, 10, 0, 0, 0, 0</t>
        </is>
      </c>
      <c r="G58" s="121">
        <f>IF(F58="","",LEN(F58)-LEN(SUBSTITUTE(F58,",",""))+1)</f>
        <v/>
      </c>
      <c r="H58" s="119" t="inlineStr">
        <is>
          <t>22, 45, 49, 62, 59, 27, 15, 20, 0, 2</t>
        </is>
      </c>
      <c r="I58" s="121">
        <f>IF(H58="","",LEN(H58)-LEN(SUBSTITUTE(H58,",",""))+1)</f>
        <v/>
      </c>
      <c r="J58" s="140" t="inlineStr">
        <is>
          <t>升高改善</t>
        </is>
      </c>
      <c r="K58" s="141" t="n">
        <v>-0.26207120918048</v>
      </c>
      <c r="L58" s="141" t="n">
        <v>0.411079778723315</v>
      </c>
      <c r="M58" s="121">
        <f>IF(OR(K58="",L58=""),"",IF(AND(L58&lt;0.05,OR(AND(J58="升高改善",K58&gt;0),AND(J58="降低改善",K58&lt;0))),"校正","不校正"))</f>
        <v/>
      </c>
      <c r="N58" s="119" t="inlineStr">
        <is>
          <t>Figure 1，PDF第10页/印刷171页，第1面板（Vito），Target实心方块</t>
        </is>
      </c>
    </row>
    <row r="59" ht="45" customHeight="1" s="111">
      <c r="A59" s="121" t="inlineStr">
        <is>
          <t>K126</t>
        </is>
      </c>
      <c r="B59" s="121" t="inlineStr">
        <is>
          <t>017-二次</t>
        </is>
      </c>
      <c r="C59" s="121" t="inlineStr">
        <is>
          <t>Vito</t>
        </is>
      </c>
      <c r="D59" s="140" t="inlineStr">
        <is>
          <t>维持</t>
        </is>
      </c>
      <c r="E59" s="119" t="inlineStr">
        <is>
          <t>Baseline vs Follow-Up</t>
        </is>
      </c>
      <c r="F59" s="119" t="inlineStr">
        <is>
          <t>0, 0, 12, 10, 0, 0, 0, 0</t>
        </is>
      </c>
      <c r="G59" s="121">
        <f>IF(F59="","",LEN(F59)-LEN(SUBSTITUTE(F59,",",""))+1)</f>
        <v/>
      </c>
      <c r="H59" s="119" t="inlineStr">
        <is>
          <t>90, 80, 85, 80</t>
        </is>
      </c>
      <c r="I59" s="121">
        <f>IF(H59="","",LEN(H59)-LEN(SUBSTITUTE(H59,",",""))+1)</f>
        <v/>
      </c>
      <c r="J59" s="140" t="inlineStr">
        <is>
          <t>升高改善</t>
        </is>
      </c>
      <c r="K59" s="141" t="n">
        <v>-0.26207120918048</v>
      </c>
      <c r="L59" s="141" t="n">
        <v>0.411079778723315</v>
      </c>
      <c r="M59" s="121">
        <f>IF(OR(K59="",L59=""),"",IF(AND(L59&lt;0.05,OR(AND(J59="升高改善",K59&gt;0),AND(J59="降低改善",K59&lt;0))),"校正","不校正"))</f>
        <v/>
      </c>
      <c r="N59" s="119" t="inlineStr">
        <is>
          <t>Figure 1，PDF第10页/印刷171页，第1面板（Vito），Target实心方块Follow-Up</t>
        </is>
      </c>
    </row>
    <row r="60" ht="45" customHeight="1" s="111">
      <c r="A60" s="121" t="inlineStr">
        <is>
          <t>K127</t>
        </is>
      </c>
      <c r="B60" s="121" t="inlineStr">
        <is>
          <t>017-二次</t>
        </is>
      </c>
      <c r="C60" s="121" t="inlineStr">
        <is>
          <t>Vito</t>
        </is>
      </c>
      <c r="D60" s="140" t="inlineStr">
        <is>
          <t>泛化</t>
        </is>
      </c>
      <c r="E60" s="118" t="inlineStr">
        <is>
          <t>泛化 Baseline vs Intervention 段泛化探测（空心圆）</t>
        </is>
      </c>
      <c r="F60" s="119" t="inlineStr">
        <is>
          <t>2, 5, 9, 3</t>
        </is>
      </c>
      <c r="G60" s="121">
        <f>IF(F60="","",LEN(F60)-LEN(SUBSTITUTE(F60,",",""))+1)</f>
        <v/>
      </c>
      <c r="H60" s="119" t="inlineStr">
        <is>
          <t>9, 10, 2, 2, 5</t>
        </is>
      </c>
      <c r="I60" s="121">
        <f>IF(H60="","",LEN(H60)-LEN(SUBSTITUTE(H60,",",""))+1)</f>
        <v/>
      </c>
      <c r="J60" s="140" t="inlineStr">
        <is>
          <t>升高改善</t>
        </is>
      </c>
      <c r="K60" s="141" t="n">
        <v>0.333333333333333</v>
      </c>
      <c r="L60" s="141" t="n">
        <v>0.75</v>
      </c>
      <c r="M60" s="121">
        <f>IF(OR(K60="",L60=""),"",IF(AND(L60&lt;0.05,OR(AND(J60="升高改善",K60&gt;0),AND(J60="降低改善",K60&lt;0))),"校正","不校正"))</f>
        <v/>
      </c>
      <c r="N60" s="118" t="inlineStr">
        <is>
          <t>Figure 1，PDF第10页/印刷171页，第1面板（Vito），Generalization空心圆</t>
        </is>
      </c>
    </row>
    <row r="61" ht="45" customHeight="1" s="111">
      <c r="A61" s="121" t="inlineStr">
        <is>
          <t>K128</t>
        </is>
      </c>
      <c r="B61" s="121" t="inlineStr">
        <is>
          <t>017-二次</t>
        </is>
      </c>
      <c r="C61" s="121" t="inlineStr">
        <is>
          <t>Michael</t>
        </is>
      </c>
      <c r="D61" s="140" t="inlineStr">
        <is>
          <t>干预</t>
        </is>
      </c>
      <c r="E61" s="119" t="inlineStr">
        <is>
          <t>Baseline vs Intervention（Intervention + Prompts 段不用）</t>
        </is>
      </c>
      <c r="F61" s="119" t="inlineStr">
        <is>
          <t>7.5, 8, 0, 12, 5, 9, 0, 0, 13, 4, 0, 3, 2</t>
        </is>
      </c>
      <c r="G61" s="121">
        <f>IF(F61="","",LEN(F61)-LEN(SUBSTITUTE(F61,",",""))+1)</f>
        <v/>
      </c>
      <c r="H61" s="119" t="inlineStr">
        <is>
          <t>25, 38, 41, 22, 8, 3, 10</t>
        </is>
      </c>
      <c r="I61" s="121">
        <f>IF(H61="","",LEN(H61)-LEN(SUBSTITUTE(H61,",",""))+1)</f>
        <v/>
      </c>
      <c r="J61" s="140" t="inlineStr">
        <is>
          <t>升高改善</t>
        </is>
      </c>
      <c r="K61" s="141" t="n">
        <v>-0.21350420507345</v>
      </c>
      <c r="L61" s="141" t="n">
        <v>0.321061992253907</v>
      </c>
      <c r="M61" s="121">
        <f>IF(OR(K61="",L61=""),"",IF(AND(L61&lt;0.05,OR(AND(J61="升高改善",K61&gt;0),AND(J61="降低改善",K61&lt;0))),"校正","不校正"))</f>
        <v/>
      </c>
      <c r="N61" s="119" t="inlineStr">
        <is>
          <t>Figure 1，PDF第10页/印刷171页，第2面板（Michael），Target实心方块</t>
        </is>
      </c>
    </row>
    <row r="62" ht="45" customHeight="1" s="111">
      <c r="A62" s="121" t="inlineStr">
        <is>
          <t>K129</t>
        </is>
      </c>
      <c r="B62" s="121" t="inlineStr">
        <is>
          <t>017-二次</t>
        </is>
      </c>
      <c r="C62" s="121" t="inlineStr">
        <is>
          <t>Michael</t>
        </is>
      </c>
      <c r="D62" s="140" t="inlineStr">
        <is>
          <t>维持</t>
        </is>
      </c>
      <c r="E62" s="119" t="inlineStr">
        <is>
          <t>Baseline vs Follow-Up</t>
        </is>
      </c>
      <c r="F62" s="119" t="inlineStr">
        <is>
          <t>7.5, 8, 0, 12, 5, 9, 0, 0, 13, 4, 0, 3, 2</t>
        </is>
      </c>
      <c r="G62" s="121">
        <f>IF(F62="","",LEN(F62)-LEN(SUBSTITUTE(F62,",",""))+1)</f>
        <v/>
      </c>
      <c r="H62" s="119" t="inlineStr">
        <is>
          <t>50, 52, 38, 54</t>
        </is>
      </c>
      <c r="I62" s="121">
        <f>IF(H62="","",LEN(H62)-LEN(SUBSTITUTE(H62,",",""))+1)</f>
        <v/>
      </c>
      <c r="J62" s="140" t="inlineStr">
        <is>
          <t>升高改善</t>
        </is>
      </c>
      <c r="K62" s="141" t="n">
        <v>-0.21350420507345</v>
      </c>
      <c r="L62" s="141" t="n">
        <v>0.321061992253907</v>
      </c>
      <c r="M62" s="121">
        <f>IF(OR(K62="",L62=""),"",IF(AND(L62&lt;0.05,OR(AND(J62="升高改善",K62&gt;0),AND(J62="降低改善",K62&lt;0))),"校正","不校正"))</f>
        <v/>
      </c>
      <c r="N62" s="119" t="inlineStr">
        <is>
          <t>Figure 1，PDF第10页/印刷171页，第2面板（Michael），Target实心方块Follow-Up</t>
        </is>
      </c>
    </row>
    <row r="63" ht="45" customHeight="1" s="111">
      <c r="A63" s="121" t="inlineStr">
        <is>
          <t>K130</t>
        </is>
      </c>
      <c r="B63" s="121" t="inlineStr">
        <is>
          <t>017-二次</t>
        </is>
      </c>
      <c r="C63" s="121" t="inlineStr">
        <is>
          <t>Michael</t>
        </is>
      </c>
      <c r="D63" s="140" t="inlineStr">
        <is>
          <t>泛化</t>
        </is>
      </c>
      <c r="E63" s="118" t="inlineStr">
        <is>
          <t>泛化 Baseline vs Intervention 段泛化探测（空心圆）</t>
        </is>
      </c>
      <c r="F63" s="119" t="inlineStr">
        <is>
          <t>3, 4, 2, 3, 4, 5, 4</t>
        </is>
      </c>
      <c r="G63" s="121">
        <f>IF(F63="","",LEN(F63)-LEN(SUBSTITUTE(F63,",",""))+1)</f>
        <v/>
      </c>
      <c r="H63" s="119" t="inlineStr">
        <is>
          <t>3, 4, 5</t>
        </is>
      </c>
      <c r="I63" s="121">
        <f>IF(H63="","",LEN(H63)-LEN(SUBSTITUTE(H63,",",""))+1)</f>
        <v/>
      </c>
      <c r="J63" s="140" t="inlineStr">
        <is>
          <t>升高改善</t>
        </is>
      </c>
      <c r="K63" s="141" t="n">
        <v>0.476330511622467</v>
      </c>
      <c r="L63" s="141" t="n">
        <v>0.1530066664964</v>
      </c>
      <c r="M63" s="121">
        <f>IF(OR(K63="",L63=""),"",IF(AND(L63&lt;0.05,OR(AND(J63="升高改善",K63&gt;0),AND(J63="降低改善",K63&lt;0))),"校正","不校正"))</f>
        <v/>
      </c>
      <c r="N63" s="118" t="inlineStr">
        <is>
          <t>Figure 1，PDF第10页/印刷171页，第2面板（Michael），Generalization空心圆</t>
        </is>
      </c>
    </row>
    <row r="64" ht="45" customHeight="1" s="111">
      <c r="A64" s="121" t="inlineStr">
        <is>
          <t>K131</t>
        </is>
      </c>
      <c r="B64" s="121" t="inlineStr">
        <is>
          <t>017-二次</t>
        </is>
      </c>
      <c r="C64" s="121" t="inlineStr">
        <is>
          <t>Santino</t>
        </is>
      </c>
      <c r="D64" s="140" t="inlineStr">
        <is>
          <t>干预</t>
        </is>
      </c>
      <c r="E64" s="119" t="inlineStr">
        <is>
          <t>Baseline vs Intervention</t>
        </is>
      </c>
      <c r="F64" s="119" t="inlineStr">
        <is>
          <t>18, 0, 10, 11, 0, 15, 5, 0, 9, 5, 12, 5, 18, 7, 2, 0, 5</t>
        </is>
      </c>
      <c r="G64" s="121">
        <f>IF(F64="","",LEN(F64)-LEN(SUBSTITUTE(F64,",",""))+1)</f>
        <v/>
      </c>
      <c r="H64" s="119" t="inlineStr">
        <is>
          <t>0, 18, 28, 57, 69, 79, 78, 91, 80</t>
        </is>
      </c>
      <c r="I64" s="121">
        <f>IF(H64="","",LEN(H64)-LEN(SUBSTITUTE(H64,",",""))+1)</f>
        <v/>
      </c>
      <c r="J64" s="140" t="inlineStr">
        <is>
          <t>升高改善</t>
        </is>
      </c>
      <c r="K64" s="141" t="n">
        <v>-0.146903313280856</v>
      </c>
      <c r="L64" s="141" t="n">
        <v>0.426540646297244</v>
      </c>
      <c r="M64" s="121">
        <f>IF(OR(K64="",L64=""),"",IF(AND(L64&lt;0.05,OR(AND(J64="升高改善",K64&gt;0),AND(J64="降低改善",K64&lt;0))),"校正","不校正"))</f>
        <v/>
      </c>
      <c r="N64" s="119" t="inlineStr">
        <is>
          <t>Figure 1，PDF第10页/印刷171页，第3面板（Santino），Target实心方块</t>
        </is>
      </c>
    </row>
    <row r="65" ht="45" customHeight="1" s="111">
      <c r="A65" s="121" t="inlineStr">
        <is>
          <t>K132</t>
        </is>
      </c>
      <c r="B65" s="121" t="inlineStr">
        <is>
          <t>017-二次</t>
        </is>
      </c>
      <c r="C65" s="121" t="inlineStr">
        <is>
          <t>Santino</t>
        </is>
      </c>
      <c r="D65" s="140" t="inlineStr">
        <is>
          <t>维持</t>
        </is>
      </c>
      <c r="E65" s="119" t="inlineStr">
        <is>
          <t>Baseline vs Follow-Up</t>
        </is>
      </c>
      <c r="F65" s="119" t="inlineStr">
        <is>
          <t>18, 0, 10, 11, 0, 15, 5, 0, 9, 5, 12, 5, 18, 7, 2, 0, 5</t>
        </is>
      </c>
      <c r="G65" s="121">
        <f>IF(F65="","",LEN(F65)-LEN(SUBSTITUTE(F65,",",""))+1)</f>
        <v/>
      </c>
      <c r="H65" s="119" t="inlineStr">
        <is>
          <t>88, 80, 78, 82</t>
        </is>
      </c>
      <c r="I65" s="121">
        <f>IF(H65="","",LEN(H65)-LEN(SUBSTITUTE(H65,",",""))+1)</f>
        <v/>
      </c>
      <c r="J65" s="140" t="inlineStr">
        <is>
          <t>升高改善</t>
        </is>
      </c>
      <c r="K65" s="141" t="n">
        <v>-0.146903313280856</v>
      </c>
      <c r="L65" s="141" t="n">
        <v>0.426540646297244</v>
      </c>
      <c r="M65" s="121">
        <f>IF(OR(K65="",L65=""),"",IF(AND(L65&lt;0.05,OR(AND(J65="升高改善",K65&gt;0),AND(J65="降低改善",K65&lt;0))),"校正","不校正"))</f>
        <v/>
      </c>
      <c r="N65" s="119" t="inlineStr">
        <is>
          <t>Figure 1，PDF第10页/印刷171页，第3面板（Santino），Target实心方块Follow-Up</t>
        </is>
      </c>
    </row>
    <row r="66" ht="45" customHeight="1" s="111">
      <c r="A66" s="121" t="inlineStr">
        <is>
          <t>K133</t>
        </is>
      </c>
      <c r="B66" s="121" t="inlineStr">
        <is>
          <t>017-二次</t>
        </is>
      </c>
      <c r="C66" s="121" t="inlineStr">
        <is>
          <t>Santino</t>
        </is>
      </c>
      <c r="D66" s="140" t="inlineStr">
        <is>
          <t>泛化</t>
        </is>
      </c>
      <c r="E66" s="118" t="inlineStr">
        <is>
          <t>泛化 Baseline vs Intervention 段泛化探测（空心圆）</t>
        </is>
      </c>
      <c r="F66" s="119" t="inlineStr">
        <is>
          <t>25, 18, 20, 31, 19, 20, 22, 36</t>
        </is>
      </c>
      <c r="G66" s="121">
        <f>IF(F66="","",LEN(F66)-LEN(SUBSTITUTE(F66,",",""))+1)</f>
        <v/>
      </c>
      <c r="H66" s="119" t="inlineStr">
        <is>
          <t>25, 32, 18, 33, 20</t>
        </is>
      </c>
      <c r="I66" s="121">
        <f>IF(H66="","",LEN(H66)-LEN(SUBSTITUTE(H66,",",""))+1)</f>
        <v/>
      </c>
      <c r="J66" s="140" t="inlineStr">
        <is>
          <t>升高改善</t>
        </is>
      </c>
      <c r="K66" s="141" t="n">
        <v>0.327326835353989</v>
      </c>
      <c r="L66" s="141" t="n">
        <v>0.261827700927176</v>
      </c>
      <c r="M66" s="121">
        <f>IF(OR(K66="",L66=""),"",IF(AND(L66&lt;0.05,OR(AND(J66="升高改善",K66&gt;0),AND(J66="降低改善",K66&lt;0))),"校正","不校正"))</f>
        <v/>
      </c>
      <c r="N66" s="118" t="inlineStr">
        <is>
          <t>Figure 1，PDF第10页/印刷171页，第3面板（Santino），Generalization空心圆</t>
        </is>
      </c>
    </row>
    <row r="67" ht="45" customHeight="1" s="111">
      <c r="A67" s="121" t="inlineStr">
        <is>
          <t>K134</t>
        </is>
      </c>
      <c r="B67" s="121" t="inlineStr">
        <is>
          <t>018-二次</t>
        </is>
      </c>
      <c r="C67" s="121" t="inlineStr">
        <is>
          <t>Luke</t>
        </is>
      </c>
      <c r="D67" s="140" t="inlineStr">
        <is>
          <t>干预</t>
        </is>
      </c>
      <c r="E67" s="119" t="inlineStr">
        <is>
          <t>Baseline vs Video Treatment</t>
        </is>
      </c>
      <c r="F67" s="136" t="inlineStr">
        <is>
          <t>0, 0, 0, 0</t>
        </is>
      </c>
      <c r="G67" s="127">
        <f>IF(F67="","",LEN(F67)-LEN(SUBSTITUTE(F67,",",""))+1)</f>
        <v/>
      </c>
      <c r="H67" s="136" t="inlineStr">
        <is>
          <t>16, 16, 16, 25, 40, 66, 66, 51, 66, 66, 66, 66, 66, 66</t>
        </is>
      </c>
      <c r="I67" s="127">
        <f>IF(H67="","",LEN(H67)-LEN(SUBSTITUTE(H67,",",""))+1)</f>
        <v/>
      </c>
      <c r="J67" s="144" t="inlineStr">
        <is>
          <t>升高改善</t>
        </is>
      </c>
      <c r="K67" s="145" t="n">
        <v>0</v>
      </c>
      <c r="L67" s="145" t="n">
        <v>1</v>
      </c>
      <c r="M67" s="127">
        <f>IF(OR(K67="",L67=""),"",IF(AND(L67&lt;0.05,OR(AND(J67="升高改善",K67&gt;0),AND(J67="降低改善",K67&lt;0))),"校正","不校正"))</f>
        <v/>
      </c>
      <c r="N67" s="119" t="inlineStr">
        <is>
          <t>Fig1，PDF10，印刷页149，自上而下第1面板（Luke），Self as Model实心圆</t>
        </is>
      </c>
    </row>
    <row r="68" ht="45" customHeight="1" s="111">
      <c r="A68" s="121" t="inlineStr">
        <is>
          <t>K135</t>
        </is>
      </c>
      <c r="B68" s="121" t="inlineStr">
        <is>
          <t>018-二次</t>
        </is>
      </c>
      <c r="C68" s="121" t="inlineStr">
        <is>
          <t>Luke</t>
        </is>
      </c>
      <c r="D68" s="140" t="inlineStr">
        <is>
          <t>干预</t>
        </is>
      </c>
      <c r="E68" s="119" t="inlineStr">
        <is>
          <t>Baseline vs Video Treatment</t>
        </is>
      </c>
      <c r="F68" s="136" t="inlineStr">
        <is>
          <t>0, 0, 0, 0</t>
        </is>
      </c>
      <c r="G68" s="127">
        <f>IF(F68="","",LEN(F68)-LEN(SUBSTITUTE(F68,",",""))+1)</f>
        <v/>
      </c>
      <c r="H68" s="136" t="inlineStr">
        <is>
          <t>0, 25, 40, 25, 65, 74, 97, 83, 83, 83, 100, 100, 100, 83</t>
        </is>
      </c>
      <c r="I68" s="127">
        <f>IF(H68="","",LEN(H68)-LEN(SUBSTITUTE(H68,",",""))+1)</f>
        <v/>
      </c>
      <c r="J68" s="144" t="inlineStr">
        <is>
          <t>升高改善</t>
        </is>
      </c>
      <c r="K68" s="145" t="n">
        <v>0</v>
      </c>
      <c r="L68" s="145" t="n">
        <v>1</v>
      </c>
      <c r="M68" s="127">
        <f>IF(OR(K68="",L68=""),"",IF(AND(L68&lt;0.05,OR(AND(J68="升高改善",K68&gt;0),AND(J68="降低改善",K68&lt;0))),"校正","不校正"))</f>
        <v/>
      </c>
      <c r="N68" s="119" t="inlineStr">
        <is>
          <t>Fig1，PDF10，印刷页149，自上而下第1面板（Luke），Other as Model空心方形</t>
        </is>
      </c>
    </row>
    <row r="69" ht="45" customHeight="1" s="111">
      <c r="A69" s="121" t="inlineStr">
        <is>
          <t>K136</t>
        </is>
      </c>
      <c r="B69" s="121" t="inlineStr">
        <is>
          <t>018-二次</t>
        </is>
      </c>
      <c r="C69" s="121" t="inlineStr">
        <is>
          <t>Sam</t>
        </is>
      </c>
      <c r="D69" s="140" t="inlineStr">
        <is>
          <t>干预</t>
        </is>
      </c>
      <c r="E69" s="119" t="inlineStr">
        <is>
          <t>Baseline vs Video Treatment</t>
        </is>
      </c>
      <c r="F69" s="136" t="inlineStr">
        <is>
          <t>0, 0, 0, 0, 0, 0</t>
        </is>
      </c>
      <c r="G69" s="127">
        <f>IF(F69="","",LEN(F69)-LEN(SUBSTITUTE(F69,",",""))+1)</f>
        <v/>
      </c>
      <c r="H69" s="136" t="inlineStr">
        <is>
          <t>88, 100, 88, 100, 100, 84, 100, 100, 100, 100, 100, 100, 100, 100, 100</t>
        </is>
      </c>
      <c r="I69" s="127">
        <f>IF(H69="","",LEN(H69)-LEN(SUBSTITUTE(H69,",",""))+1)</f>
        <v/>
      </c>
      <c r="J69" s="144" t="inlineStr">
        <is>
          <t>升高改善</t>
        </is>
      </c>
      <c r="K69" s="145" t="n">
        <v>0</v>
      </c>
      <c r="L69" s="145" t="n">
        <v>1</v>
      </c>
      <c r="M69" s="127">
        <f>IF(OR(K69="",L69=""),"",IF(AND(L69&lt;0.05,OR(AND(J69="升高改善",K69&gt;0),AND(J69="降低改善",K69&lt;0))),"校正","不校正"))</f>
        <v/>
      </c>
      <c r="N69" s="119" t="inlineStr">
        <is>
          <t>Fig1，PDF10，印刷页149，自上而下第2面板（Sam），Self as Model实心圆</t>
        </is>
      </c>
    </row>
    <row r="70" ht="45" customHeight="1" s="111">
      <c r="A70" s="121" t="inlineStr">
        <is>
          <t>K137</t>
        </is>
      </c>
      <c r="B70" s="121" t="inlineStr">
        <is>
          <t>018-二次</t>
        </is>
      </c>
      <c r="C70" s="121" t="inlineStr">
        <is>
          <t>Sam</t>
        </is>
      </c>
      <c r="D70" s="140" t="inlineStr">
        <is>
          <t>干预</t>
        </is>
      </c>
      <c r="E70" s="119" t="inlineStr">
        <is>
          <t>Baseline vs Video Treatment</t>
        </is>
      </c>
      <c r="F70" s="136" t="inlineStr">
        <is>
          <t>0, 0, 0, 0, 0, 0</t>
        </is>
      </c>
      <c r="G70" s="127">
        <f>IF(F70="","",LEN(F70)-LEN(SUBSTITUTE(F70,",",""))+1)</f>
        <v/>
      </c>
      <c r="H70" s="136" t="inlineStr">
        <is>
          <t>22, 22, 32, 32, 22, 50, 63, 76, 90, 90, 90, 90, 90, 100, 100</t>
        </is>
      </c>
      <c r="I70" s="127">
        <f>IF(H70="","",LEN(H70)-LEN(SUBSTITUTE(H70,",",""))+1)</f>
        <v/>
      </c>
      <c r="J70" s="144" t="inlineStr">
        <is>
          <t>升高改善</t>
        </is>
      </c>
      <c r="K70" s="145" t="n">
        <v>0</v>
      </c>
      <c r="L70" s="145" t="n">
        <v>1</v>
      </c>
      <c r="M70" s="127">
        <f>IF(OR(K70="",L70=""),"",IF(AND(L70&lt;0.05,OR(AND(J70="升高改善",K70&gt;0),AND(J70="降低改善",K70&lt;0))),"校正","不校正"))</f>
        <v/>
      </c>
      <c r="N70" s="119" t="inlineStr">
        <is>
          <t>Fig1，PDF10，印刷页149，自上而下第2面板（Sam），Other as Model空心方形</t>
        </is>
      </c>
    </row>
    <row r="71" ht="45" customHeight="1" s="111">
      <c r="A71" s="121" t="inlineStr">
        <is>
          <t>K138</t>
        </is>
      </c>
      <c r="B71" s="121" t="inlineStr">
        <is>
          <t>018-二次</t>
        </is>
      </c>
      <c r="C71" s="121" t="inlineStr">
        <is>
          <t>Joey</t>
        </is>
      </c>
      <c r="D71" s="140" t="inlineStr">
        <is>
          <t>干预</t>
        </is>
      </c>
      <c r="E71" s="119" t="inlineStr">
        <is>
          <t>Baseline vs Video Treatment</t>
        </is>
      </c>
      <c r="F71" s="136" t="inlineStr">
        <is>
          <t>0, 0, 0, 0, 0, 0, 0, 0</t>
        </is>
      </c>
      <c r="G71" s="127">
        <f>IF(F71="","",LEN(F71)-LEN(SUBSTITUTE(F71,",",""))+1)</f>
        <v/>
      </c>
      <c r="H71" s="136" t="inlineStr">
        <is>
          <t>0, 0, 0, 15, 15, 15, 0, 0, 24, 0, 0, 15, 0, 0, 15, 0, 15</t>
        </is>
      </c>
      <c r="I71" s="127">
        <f>IF(H71="","",LEN(H71)-LEN(SUBSTITUTE(H71,",",""))+1)</f>
        <v/>
      </c>
      <c r="J71" s="144" t="inlineStr">
        <is>
          <t>升高改善</t>
        </is>
      </c>
      <c r="K71" s="145" t="n">
        <v>0</v>
      </c>
      <c r="L71" s="145" t="n">
        <v>1</v>
      </c>
      <c r="M71" s="127">
        <f>IF(OR(K71="",L71=""),"",IF(AND(L71&lt;0.05,OR(AND(J71="升高改善",K71&gt;0),AND(J71="降低改善",K71&lt;0))),"校正","不校正"))</f>
        <v/>
      </c>
      <c r="N71" s="119" t="inlineStr">
        <is>
          <t>Fig1，PDF10，印刷页149，自上而下第3面板（Joey），Self as Model实心圆</t>
        </is>
      </c>
    </row>
    <row r="72" ht="45" customHeight="1" s="111">
      <c r="A72" s="121" t="inlineStr">
        <is>
          <t>K139</t>
        </is>
      </c>
      <c r="B72" s="121" t="inlineStr">
        <is>
          <t>018-二次</t>
        </is>
      </c>
      <c r="C72" s="121" t="inlineStr">
        <is>
          <t>Joey</t>
        </is>
      </c>
      <c r="D72" s="140" t="inlineStr">
        <is>
          <t>干预</t>
        </is>
      </c>
      <c r="E72" s="119" t="inlineStr">
        <is>
          <t>Baseline vs Video Treatment</t>
        </is>
      </c>
      <c r="F72" s="136" t="inlineStr">
        <is>
          <t>0, 0, 0, 0, 0, 0, 0, 0</t>
        </is>
      </c>
      <c r="G72" s="127">
        <f>IF(F72="","",LEN(F72)-LEN(SUBSTITUTE(F72,",",""))+1)</f>
        <v/>
      </c>
      <c r="H72" s="136" t="inlineStr">
        <is>
          <t>0, 0, 0, 0, 24, 15, 15, 15, 0, 0, 0, 24, 15, 24, 24, 24, 15</t>
        </is>
      </c>
      <c r="I72" s="127">
        <f>IF(H72="","",LEN(H72)-LEN(SUBSTITUTE(H72,",",""))+1)</f>
        <v/>
      </c>
      <c r="J72" s="144" t="inlineStr">
        <is>
          <t>升高改善</t>
        </is>
      </c>
      <c r="K72" s="145" t="n">
        <v>0</v>
      </c>
      <c r="L72" s="145" t="n">
        <v>1</v>
      </c>
      <c r="M72" s="127">
        <f>IF(OR(K72="",L72=""),"",IF(AND(L72&lt;0.05,OR(AND(J72="升高改善",K72&gt;0),AND(J72="降低改善",K72&lt;0))),"校正","不校正"))</f>
        <v/>
      </c>
      <c r="N72" s="119" t="inlineStr">
        <is>
          <t>Fig1，PDF10，印刷页149，自上而下第3面板（Joey），Other as Model空心方形</t>
        </is>
      </c>
    </row>
    <row r="73" ht="45" customHeight="1" s="111">
      <c r="A73" s="121" t="inlineStr">
        <is>
          <t>K140</t>
        </is>
      </c>
      <c r="B73" s="121" t="inlineStr">
        <is>
          <t>018-二次</t>
        </is>
      </c>
      <c r="C73" s="121" t="inlineStr">
        <is>
          <t>Jack</t>
        </is>
      </c>
      <c r="D73" s="140" t="inlineStr">
        <is>
          <t>干预</t>
        </is>
      </c>
      <c r="E73" s="119" t="inlineStr">
        <is>
          <t>Baseline vs Video Treatment</t>
        </is>
      </c>
      <c r="F73" s="136" t="inlineStr">
        <is>
          <t>0, 0, 0, 0, 0, 0, 0, 0, 0</t>
        </is>
      </c>
      <c r="G73" s="127">
        <f>IF(F73="","",LEN(F73)-LEN(SUBSTITUTE(F73,",",""))+1)</f>
        <v/>
      </c>
      <c r="H73" s="136" t="inlineStr">
        <is>
          <t>0, 16, 31, 31, 61, 100, 76</t>
        </is>
      </c>
      <c r="I73" s="127">
        <f>IF(H73="","",LEN(H73)-LEN(SUBSTITUTE(H73,",",""))+1)</f>
        <v/>
      </c>
      <c r="J73" s="144" t="inlineStr">
        <is>
          <t>升高改善</t>
        </is>
      </c>
      <c r="K73" s="145" t="n">
        <v>0</v>
      </c>
      <c r="L73" s="145" t="n">
        <v>1</v>
      </c>
      <c r="M73" s="127">
        <f>IF(OR(K73="",L73=""),"",IF(AND(L73&lt;0.05,OR(AND(J73="升高改善",K73&gt;0),AND(J73="降低改善",K73&lt;0))),"校正","不校正"))</f>
        <v/>
      </c>
      <c r="N73" s="119" t="inlineStr">
        <is>
          <t>Fig1，PDF10，印刷页149，自上而下第4面板（Jack），Self as Model实心圆</t>
        </is>
      </c>
    </row>
    <row r="74" ht="45" customHeight="1" s="111">
      <c r="A74" s="121" t="inlineStr">
        <is>
          <t>K141</t>
        </is>
      </c>
      <c r="B74" s="121" t="inlineStr">
        <is>
          <t>018-二次</t>
        </is>
      </c>
      <c r="C74" s="121" t="inlineStr">
        <is>
          <t>Jack</t>
        </is>
      </c>
      <c r="D74" s="140" t="inlineStr">
        <is>
          <t>干预</t>
        </is>
      </c>
      <c r="E74" s="119" t="inlineStr">
        <is>
          <t>Baseline vs Video Treatment</t>
        </is>
      </c>
      <c r="F74" s="136" t="inlineStr">
        <is>
          <t>0, 0, 0, 0, 0, 0, 0, 0, 0</t>
        </is>
      </c>
      <c r="G74" s="127">
        <f>IF(F74="","",LEN(F74)-LEN(SUBSTITUTE(F74,",",""))+1)</f>
        <v/>
      </c>
      <c r="H74" s="136" t="inlineStr">
        <is>
          <t>0, 0, 0, 75, 100, 100, 36</t>
        </is>
      </c>
      <c r="I74" s="127">
        <f>IF(H74="","",LEN(H74)-LEN(SUBSTITUTE(H74,",",""))+1)</f>
        <v/>
      </c>
      <c r="J74" s="144" t="inlineStr">
        <is>
          <t>升高改善</t>
        </is>
      </c>
      <c r="K74" s="145" t="n">
        <v>0</v>
      </c>
      <c r="L74" s="145" t="n">
        <v>1</v>
      </c>
      <c r="M74" s="127">
        <f>IF(OR(K74="",L74=""),"",IF(AND(L74&lt;0.05,OR(AND(J74="升高改善",K74&gt;0),AND(J74="降低改善",K74&lt;0))),"校正","不校正"))</f>
        <v/>
      </c>
      <c r="N74" s="119" t="inlineStr">
        <is>
          <t>Fig1，PDF10，印刷页149，自上而下第4面板（Jack），Other as Model空心方形</t>
        </is>
      </c>
    </row>
    <row r="75" ht="45" customHeight="1" s="111">
      <c r="A75" s="121" t="inlineStr">
        <is>
          <t>K142</t>
        </is>
      </c>
      <c r="B75" s="121" t="inlineStr">
        <is>
          <t>018-二次</t>
        </is>
      </c>
      <c r="C75" s="121" t="inlineStr">
        <is>
          <t>Jack</t>
        </is>
      </c>
      <c r="D75" s="140" t="inlineStr">
        <is>
          <t>维持</t>
        </is>
      </c>
      <c r="E75" s="119" t="inlineStr">
        <is>
          <t>Baseline vs 2 个月 Follow-up</t>
        </is>
      </c>
      <c r="F75" s="119" t="inlineStr">
        <is>
          <t>0, 0, 0, 0, 0, 0, 0, 0, 0</t>
        </is>
      </c>
      <c r="G75" s="121">
        <f>IF(F75="","",LEN(F75)-LEN(SUBSTITUTE(F75,",",""))+1)</f>
        <v/>
      </c>
      <c r="H75" s="119" t="inlineStr">
        <is>
          <t>0, 0, 0</t>
        </is>
      </c>
      <c r="I75" s="121">
        <f>IF(H75="","",LEN(H75)-LEN(SUBSTITUTE(H75,",",""))+1)</f>
        <v/>
      </c>
      <c r="J75" s="140" t="inlineStr">
        <is>
          <t>升高改善</t>
        </is>
      </c>
      <c r="K75" s="141" t="n">
        <v>0</v>
      </c>
      <c r="L75" s="141" t="n">
        <v>1</v>
      </c>
      <c r="M75" s="121">
        <f>IF(OR(K75="",L75=""),"",IF(AND(L75&lt;0.05,OR(AND(J75="升高改善",K75&gt;0),AND(J75="降低改善",K75&lt;0))),"校正","不校正"))</f>
        <v/>
      </c>
      <c r="N75" s="119" t="inlineStr">
        <is>
          <t>Fig1，PDF10，印刷页149，自上而下第4面板（Jack），Other as Model空心方形</t>
        </is>
      </c>
    </row>
    <row r="76" ht="45" customHeight="1" s="111">
      <c r="A76" s="121" t="inlineStr">
        <is>
          <t>K143</t>
        </is>
      </c>
      <c r="B76" s="121" t="inlineStr">
        <is>
          <t>018-二次</t>
        </is>
      </c>
      <c r="C76" s="121" t="inlineStr">
        <is>
          <t>Chuck</t>
        </is>
      </c>
      <c r="D76" s="140" t="inlineStr">
        <is>
          <t>干预</t>
        </is>
      </c>
      <c r="E76" s="119" t="inlineStr">
        <is>
          <t>Baseline vs Video Treatment</t>
        </is>
      </c>
      <c r="F76" s="136" t="inlineStr">
        <is>
          <t>0, 0, 0, 0, 0, 0, 0, 0, 0, 0, 0, 0</t>
        </is>
      </c>
      <c r="G76" s="127">
        <f>IF(F76="","",LEN(F76)-LEN(SUBSTITUTE(F76,",",""))+1)</f>
        <v/>
      </c>
      <c r="H76" s="136" t="inlineStr">
        <is>
          <t>0, 0, 0, 0, 0, 0, 0, 0, 0, 16, 16, 16, 30, 30, 30, 60, 60, 60, 41, 41, 41, 41, 41, 60, 41, 41, 41, 41</t>
        </is>
      </c>
      <c r="I76" s="127">
        <f>IF(H76="","",LEN(H76)-LEN(SUBSTITUTE(H76,",",""))+1)</f>
        <v/>
      </c>
      <c r="J76" s="144" t="inlineStr">
        <is>
          <t>升高改善</t>
        </is>
      </c>
      <c r="K76" s="145" t="n">
        <v>0</v>
      </c>
      <c r="L76" s="145" t="n">
        <v>1</v>
      </c>
      <c r="M76" s="127">
        <f>IF(OR(K76="",L76=""),"",IF(AND(L76&lt;0.05,OR(AND(J76="升高改善",K76&gt;0),AND(J76="降低改善",K76&lt;0))),"校正","不校正"))</f>
        <v/>
      </c>
      <c r="N76" s="119" t="inlineStr">
        <is>
          <t>Fig1，PDF10，印刷页149，自上而下第5面板（Chuck），Self as Model实心圆</t>
        </is>
      </c>
    </row>
    <row r="77" ht="45" customHeight="1" s="111">
      <c r="A77" s="121" t="inlineStr">
        <is>
          <t>K144</t>
        </is>
      </c>
      <c r="B77" s="121" t="inlineStr">
        <is>
          <t>018-二次</t>
        </is>
      </c>
      <c r="C77" s="121" t="inlineStr">
        <is>
          <t>Chuck</t>
        </is>
      </c>
      <c r="D77" s="140" t="inlineStr">
        <is>
          <t>干预</t>
        </is>
      </c>
      <c r="E77" s="119" t="inlineStr">
        <is>
          <t>Baseline vs Video Treatment</t>
        </is>
      </c>
      <c r="F77" s="136" t="inlineStr">
        <is>
          <t>0, 0, 0, 0, 0, 0, 0, 0, 0, 0, 0, 0</t>
        </is>
      </c>
      <c r="G77" s="127">
        <f>IF(F77="","",LEN(F77)-LEN(SUBSTITUTE(F77,",",""))+1)</f>
        <v/>
      </c>
      <c r="H77" s="136" t="inlineStr">
        <is>
          <t>0, 0, 0, 0, 0, 0, 16, 30, 30, 41, 41, 41, 60, 60, 41, 60, 41, 41, 60, 60, 69, 60, 60, 60, 69, 60, 60, 69</t>
        </is>
      </c>
      <c r="I77" s="127">
        <f>IF(H77="","",LEN(H77)-LEN(SUBSTITUTE(H77,",",""))+1)</f>
        <v/>
      </c>
      <c r="J77" s="144" t="inlineStr">
        <is>
          <t>升高改善</t>
        </is>
      </c>
      <c r="K77" s="145" t="n">
        <v>0</v>
      </c>
      <c r="L77" s="145" t="n">
        <v>1</v>
      </c>
      <c r="M77" s="127">
        <f>IF(OR(K77="",L77=""),"",IF(AND(L77&lt;0.05,OR(AND(J77="升高改善",K77&gt;0),AND(J77="降低改善",K77&lt;0))),"校正","不校正"))</f>
        <v/>
      </c>
      <c r="N77" s="119" t="inlineStr">
        <is>
          <t>Fig1，PDF10，印刷页149，自上而下第5面板（Chuck），Other as Model空心方形</t>
        </is>
      </c>
    </row>
    <row r="78" ht="45" customHeight="1" s="111">
      <c r="A78" s="121" t="inlineStr">
        <is>
          <t>K169</t>
        </is>
      </c>
      <c r="B78" s="121" t="inlineStr">
        <is>
          <t>026-二次</t>
        </is>
      </c>
      <c r="C78" s="121" t="inlineStr">
        <is>
          <t>Taylor</t>
        </is>
      </c>
      <c r="D78" s="140" t="inlineStr">
        <is>
          <t>干预</t>
        </is>
      </c>
      <c r="E78" s="119" t="inlineStr">
        <is>
          <t>Baseline vs VSM</t>
        </is>
      </c>
      <c r="F78" s="132" t="inlineStr">
        <is>
          <t>0, 0, 0, 0, 0, 0, 0, 1, 0, 0, 0</t>
        </is>
      </c>
      <c r="G78" s="123">
        <f>IF(F78="","",LEN(F78)-LEN(SUBSTITUTE(F78,",",""))+1)</f>
        <v/>
      </c>
      <c r="H78" s="132" t="inlineStr">
        <is>
          <t>0, 0, 0, 4, 0.8</t>
        </is>
      </c>
      <c r="I78" s="123">
        <f>IF(H78="","",LEN(H78)-LEN(SUBSTITUTE(H78,",",""))+1)</f>
        <v/>
      </c>
      <c r="J78" s="142" t="inlineStr">
        <is>
          <t>升高改善</t>
        </is>
      </c>
      <c r="K78" s="143" t="n">
        <v>0.170560573084488</v>
      </c>
      <c r="L78" s="143" t="n">
        <v>0.527089256865538</v>
      </c>
      <c r="M78" s="123">
        <f>IF(OR(K78="",L78=""),"",IF(AND(L78&lt;0.05,OR(AND(J78="升高改善",K78&gt;0),AND(J78="降低改善",K78&lt;0))),"校正","不校正"))</f>
        <v/>
      </c>
      <c r="N78" s="119" t="inlineStr">
        <is>
          <t>Figure 1，PDF 7 / 印刷页7，自上而下第1面板（Taylor）；符号见原图图例</t>
        </is>
      </c>
    </row>
    <row r="79" ht="45" customHeight="1" s="111">
      <c r="A79" s="121" t="inlineStr">
        <is>
          <t>K170</t>
        </is>
      </c>
      <c r="B79" s="121" t="inlineStr">
        <is>
          <t>026-二次</t>
        </is>
      </c>
      <c r="C79" s="121" t="inlineStr">
        <is>
          <t>Taylor</t>
        </is>
      </c>
      <c r="D79" s="140" t="inlineStr">
        <is>
          <t>维持</t>
        </is>
      </c>
      <c r="E79" s="119" t="inlineStr">
        <is>
          <t>Baseline vs Maintenance</t>
        </is>
      </c>
      <c r="F79" s="132" t="inlineStr">
        <is>
          <t>0, 0, 0, 0, 0, 0, 0, 1, 0, 0, 0</t>
        </is>
      </c>
      <c r="G79" s="123">
        <f>IF(F79="","",LEN(F79)-LEN(SUBSTITUTE(F79,",",""))+1)</f>
        <v/>
      </c>
      <c r="H79" s="132" t="inlineStr">
        <is>
          <t>3, 4, 5, 1, 3, 7, 3, 3, 3, 0, 3, 2, 2, 1, 0, 2, 4, 0, 2, 1, 3, 3, 1, 3, 0, 2, 3, 1, 4, 3, 2</t>
        </is>
      </c>
      <c r="I79" s="123">
        <f>IF(H79="","",LEN(H79)-LEN(SUBSTITUTE(H79,",",""))+1)</f>
        <v/>
      </c>
      <c r="J79" s="142" t="inlineStr">
        <is>
          <t>升高改善</t>
        </is>
      </c>
      <c r="K79" s="143" t="n">
        <v>0.170560573084488</v>
      </c>
      <c r="L79" s="143" t="n">
        <v>0.527089256865538</v>
      </c>
      <c r="M79" s="123">
        <f>IF(OR(K79="",L79=""),"",IF(AND(L79&lt;0.05,OR(AND(J79="升高改善",K79&gt;0),AND(J79="降低改善",K79&lt;0))),"校正","不校正"))</f>
        <v/>
      </c>
      <c r="N79" s="119" t="inlineStr">
        <is>
          <t>Figure 1，PDF 7 / 印刷页7，自上而下第1面板（Taylor）；符号见原图图例</t>
        </is>
      </c>
    </row>
    <row r="80" ht="45" customHeight="1" s="111">
      <c r="A80" s="121" t="inlineStr">
        <is>
          <t>K171</t>
        </is>
      </c>
      <c r="B80" s="121" t="inlineStr">
        <is>
          <t>026-二次</t>
        </is>
      </c>
      <c r="C80" s="121" t="inlineStr">
        <is>
          <t>Corey</t>
        </is>
      </c>
      <c r="D80" s="140" t="inlineStr">
        <is>
          <t>干预</t>
        </is>
      </c>
      <c r="E80" s="119" t="inlineStr">
        <is>
          <t>Baseline vs VSM</t>
        </is>
      </c>
      <c r="F80" s="132" t="inlineStr">
        <is>
          <t>0, 0, 0, 0, 1, 0, 0, 0, 1, 0, 2, 0, 0, 1, 0, 1, 1, 0</t>
        </is>
      </c>
      <c r="G80" s="123">
        <f>IF(F80="","",LEN(F80)-LEN(SUBSTITUTE(F80,",",""))+1)</f>
        <v/>
      </c>
      <c r="H80" s="132" t="inlineStr">
        <is>
          <t>1, 2, 3, 4, 3</t>
        </is>
      </c>
      <c r="I80" s="123">
        <f>IF(H80="","",LEN(H80)-LEN(SUBSTITUTE(H80,",",""))+1)</f>
        <v/>
      </c>
      <c r="J80" s="142" t="inlineStr">
        <is>
          <t>升高改善</t>
        </is>
      </c>
      <c r="K80" s="143" t="n">
        <v>0.267181829864345</v>
      </c>
      <c r="L80" s="143" t="n">
        <v>0.179919438157703</v>
      </c>
      <c r="M80" s="123">
        <f>IF(OR(K80="",L80=""),"",IF(AND(L80&lt;0.05,OR(AND(J80="升高改善",K80&gt;0),AND(J80="降低改善",K80&lt;0))),"校正","不校正"))</f>
        <v/>
      </c>
      <c r="N80" s="119" t="inlineStr">
        <is>
          <t>Figure 1，PDF 7 / 印刷页7，自上而下第3面板（Corey）；符号见原图图例</t>
        </is>
      </c>
    </row>
    <row r="81" ht="45" customHeight="1" s="111">
      <c r="A81" s="121" t="inlineStr">
        <is>
          <t>K172</t>
        </is>
      </c>
      <c r="B81" s="121" t="inlineStr">
        <is>
          <t>026-二次</t>
        </is>
      </c>
      <c r="C81" s="121" t="inlineStr">
        <is>
          <t>Corey</t>
        </is>
      </c>
      <c r="D81" s="140" t="inlineStr">
        <is>
          <t>维持</t>
        </is>
      </c>
      <c r="E81" s="119" t="inlineStr">
        <is>
          <t>Baseline vs Maintenance</t>
        </is>
      </c>
      <c r="F81" s="132" t="inlineStr">
        <is>
          <t>0, 0, 0, 0, 1, 0, 0, 0, 1, 0, 2, 0, 0, 1, 0, 1, 1, 0</t>
        </is>
      </c>
      <c r="G81" s="123">
        <f>IF(F81="","",LEN(F81)-LEN(SUBSTITUTE(F81,",",""))+1)</f>
        <v/>
      </c>
      <c r="H81" s="132" t="inlineStr">
        <is>
          <t>4, 3, 4, 3, 3, 2, 3, 2, 4, 4, 2, 3, 2, 0</t>
        </is>
      </c>
      <c r="I81" s="123">
        <f>IF(H81="","",LEN(H81)-LEN(SUBSTITUTE(H81,",",""))+1)</f>
        <v/>
      </c>
      <c r="J81" s="142" t="inlineStr">
        <is>
          <t>升高改善</t>
        </is>
      </c>
      <c r="K81" s="143" t="n">
        <v>0.267181829864345</v>
      </c>
      <c r="L81" s="143" t="n">
        <v>0.179919438157703</v>
      </c>
      <c r="M81" s="123">
        <f>IF(OR(K81="",L81=""),"",IF(AND(L81&lt;0.05,OR(AND(J81="升高改善",K81&gt;0),AND(J81="降低改善",K81&lt;0))),"校正","不校正"))</f>
        <v/>
      </c>
      <c r="N81" s="119" t="inlineStr">
        <is>
          <t>Figure 1，PDF 7 / 印刷页7，自上而下第3面板（Corey）；符号见原图图例</t>
        </is>
      </c>
    </row>
    <row r="82" ht="45" customHeight="1" s="111">
      <c r="A82" s="121" t="inlineStr">
        <is>
          <t>K173</t>
        </is>
      </c>
      <c r="B82" s="121" t="inlineStr">
        <is>
          <t>026-二次</t>
        </is>
      </c>
      <c r="C82" s="121" t="inlineStr">
        <is>
          <t>Jonathan</t>
        </is>
      </c>
      <c r="D82" s="140" t="inlineStr">
        <is>
          <t>干预</t>
        </is>
      </c>
      <c r="E82" s="119" t="inlineStr">
        <is>
          <t>Baseline vs VSM</t>
        </is>
      </c>
      <c r="F82" s="132" t="inlineStr">
        <is>
          <t>0, 0, 0, 0, 0, 0, 0, 0, 0, 0, 0, 0, 0, 0, 0, 0, 0, 1, 0, 0, 0, 0, 0, 0, 0, 0, 0, 0, 0, 0, 0, 0, 1, 0, 0</t>
        </is>
      </c>
      <c r="G82" s="123">
        <f>IF(F82="","",LEN(F82)-LEN(SUBSTITUTE(F82,",",""))+1)</f>
        <v/>
      </c>
      <c r="H82" s="132" t="inlineStr">
        <is>
          <t>1, 4, 2, 3, 3</t>
        </is>
      </c>
      <c r="I82" s="123">
        <f>IF(H82="","",LEN(H82)-LEN(SUBSTITUTE(H82,",",""))+1)</f>
        <v/>
      </c>
      <c r="J82" s="142" t="inlineStr">
        <is>
          <t>升高改善</t>
        </is>
      </c>
      <c r="K82" s="143" t="n">
        <v>0.151387774316078</v>
      </c>
      <c r="L82" s="143" t="n">
        <v>0.286422022777859</v>
      </c>
      <c r="M82" s="123">
        <f>IF(OR(K82="",L82=""),"",IF(AND(L82&lt;0.05,OR(AND(J82="升高改善",K82&gt;0),AND(J82="降低改善",K82&lt;0))),"校正","不校正"))</f>
        <v/>
      </c>
      <c r="N82" s="119" t="inlineStr">
        <is>
          <t>Figure 1，PDF 7 / 印刷页7，自上而下第4面板（Jonathan）；符号见原图图例</t>
        </is>
      </c>
    </row>
    <row r="83" ht="45" customHeight="1" s="111">
      <c r="A83" s="121" t="inlineStr">
        <is>
          <t>K174</t>
        </is>
      </c>
      <c r="B83" s="121" t="inlineStr">
        <is>
          <t>026-二次</t>
        </is>
      </c>
      <c r="C83" s="121" t="inlineStr">
        <is>
          <t>Jonathan</t>
        </is>
      </c>
      <c r="D83" s="140" t="inlineStr">
        <is>
          <t>维持</t>
        </is>
      </c>
      <c r="E83" s="119" t="inlineStr">
        <is>
          <t>Baseline vs Maintenance</t>
        </is>
      </c>
      <c r="F83" s="132" t="inlineStr">
        <is>
          <t>0, 0, 0, 0, 0, 0, 0, 0, 0, 0, 0, 0, 0, 0, 0, 0, 0, 1, 0, 0, 0, 0, 0, 0, 0, 0, 0, 0, 0, 0, 0, 0, 1, 0, 0</t>
        </is>
      </c>
      <c r="G83" s="123">
        <f>IF(F83="","",LEN(F83)-LEN(SUBSTITUTE(F83,",",""))+1)</f>
        <v/>
      </c>
      <c r="H83" s="132" t="inlineStr">
        <is>
          <t>1, 2, 4, 0, 2, 2, 2</t>
        </is>
      </c>
      <c r="I83" s="123">
        <f>IF(H83="","",LEN(H83)-LEN(SUBSTITUTE(H83,",",""))+1)</f>
        <v/>
      </c>
      <c r="J83" s="142" t="inlineStr">
        <is>
          <t>升高改善</t>
        </is>
      </c>
      <c r="K83" s="143" t="n">
        <v>0.151387774316078</v>
      </c>
      <c r="L83" s="143" t="n">
        <v>0.286422022777859</v>
      </c>
      <c r="M83" s="123">
        <f>IF(OR(K83="",L83=""),"",IF(AND(L83&lt;0.05,OR(AND(J83="升高改善",K83&gt;0),AND(J83="降低改善",K83&lt;0))),"校正","不校正"))</f>
        <v/>
      </c>
      <c r="N83" s="119" t="inlineStr">
        <is>
          <t>Figure 1，PDF 7 / 印刷页7，自上而下第4面板（Jonathan）；符号见原图图例</t>
        </is>
      </c>
    </row>
    <row r="84" ht="45" customHeight="1" s="111">
      <c r="A84" s="121" t="inlineStr">
        <is>
          <t>K175</t>
        </is>
      </c>
      <c r="B84" s="121" t="inlineStr">
        <is>
          <t>027-二次</t>
        </is>
      </c>
      <c r="C84" s="121" t="inlineStr">
        <is>
          <t>Lucy</t>
        </is>
      </c>
      <c r="D84" s="140" t="inlineStr">
        <is>
          <t>干预</t>
        </is>
      </c>
      <c r="E84" s="119" t="inlineStr">
        <is>
          <t>Baseline vs VSM</t>
        </is>
      </c>
      <c r="F84" s="132" t="inlineStr">
        <is>
          <t>1, 2, 3, 2, 1, 0, 0, 2, 0, 0, 0, 0, 2, 3</t>
        </is>
      </c>
      <c r="G84" s="123">
        <f>IF(F84="","",LEN(F84)-LEN(SUBSTITUTE(F84,",",""))+1)</f>
        <v/>
      </c>
      <c r="H84" s="132" t="inlineStr">
        <is>
          <t>1, 4, 3, 0, 9, 0, 4, 7, 8, 8, 1, 7</t>
        </is>
      </c>
      <c r="I84" s="123">
        <f>IF(H84="","",LEN(H84)-LEN(SUBSTITUTE(H84,",",""))+1)</f>
        <v/>
      </c>
      <c r="J84" s="142" t="inlineStr">
        <is>
          <t>升高改善</t>
        </is>
      </c>
      <c r="K84" s="143" t="n">
        <v>-0.152547850854276</v>
      </c>
      <c r="L84" s="143" t="n">
        <v>0.484513239075081</v>
      </c>
      <c r="M84" s="123">
        <f>IF(OR(K84="",L84=""),"",IF(AND(L84&lt;0.05,OR(AND(J84="升高改善",K84&gt;0),AND(J84="降低改善",K84&lt;0))),"校正","不校正"))</f>
        <v/>
      </c>
      <c r="N84" s="119" t="inlineStr">
        <is>
          <t>Figure 1，PDF 8 / 印刷页32，自上而下第1面板（Lucy）；符号见原图图例</t>
        </is>
      </c>
    </row>
    <row r="85" ht="45" customHeight="1" s="111">
      <c r="A85" s="121" t="inlineStr">
        <is>
          <t>K176</t>
        </is>
      </c>
      <c r="B85" s="121" t="inlineStr">
        <is>
          <t>027-二次</t>
        </is>
      </c>
      <c r="C85" s="121" t="inlineStr">
        <is>
          <t>Lucy</t>
        </is>
      </c>
      <c r="D85" s="140" t="inlineStr">
        <is>
          <t>维持</t>
        </is>
      </c>
      <c r="E85" s="119" t="inlineStr">
        <is>
          <t>Baseline vs Maintenance</t>
        </is>
      </c>
      <c r="F85" s="132" t="inlineStr">
        <is>
          <t>1, 2, 3, 2, 1, 0, 0, 2, 0, 0, 0, 0, 2, 3</t>
        </is>
      </c>
      <c r="G85" s="123">
        <f>IF(F85="","",LEN(F85)-LEN(SUBSTITUTE(F85,",",""))+1)</f>
        <v/>
      </c>
      <c r="H85" s="132" t="inlineStr">
        <is>
          <t>6, 7, 9, 10, 3, 0, 6, 0, 7, 11, 7, 5, 5, 3, 0, 4, 4, 3, 5, 2, 9, 4, 11, 0, 1, 7, 2, 8, 7, 3, 14, 0, 6, 3, 3, 3, 0, 7, 7, 3, 4, 4</t>
        </is>
      </c>
      <c r="I85" s="123">
        <f>IF(H85="","",LEN(H85)-LEN(SUBSTITUTE(H85,",",""))+1)</f>
        <v/>
      </c>
      <c r="J85" s="142" t="inlineStr">
        <is>
          <t>升高改善</t>
        </is>
      </c>
      <c r="K85" s="143" t="n">
        <v>-0.152547850854276</v>
      </c>
      <c r="L85" s="143" t="n">
        <v>0.484513239075081</v>
      </c>
      <c r="M85" s="123">
        <f>IF(OR(K85="",L85=""),"",IF(AND(L85&lt;0.05,OR(AND(J85="升高改善",K85&gt;0),AND(J85="降低改善",K85&lt;0))),"校正","不校正"))</f>
        <v/>
      </c>
      <c r="N85" s="119" t="inlineStr">
        <is>
          <t>Figure 1，PDF 8 / 印刷页32，自上而下第1面板（Lucy）；符号见原图图例</t>
        </is>
      </c>
    </row>
    <row r="86" ht="45" customHeight="1" s="111">
      <c r="A86" s="121" t="inlineStr">
        <is>
          <t>K177</t>
        </is>
      </c>
      <c r="B86" s="121" t="inlineStr">
        <is>
          <t>027-二次</t>
        </is>
      </c>
      <c r="C86" s="121" t="inlineStr">
        <is>
          <t>Tim</t>
        </is>
      </c>
      <c r="D86" s="140" t="inlineStr">
        <is>
          <t>干预</t>
        </is>
      </c>
      <c r="E86" s="119" t="inlineStr">
        <is>
          <t>Baseline vs VSM</t>
        </is>
      </c>
      <c r="F86" s="132" t="inlineStr">
        <is>
          <t>0, 0, 1, 0, 0, 0, 0, 0, 0, 1, 0, 0, 0, 0, 0, 1, 0, 0, 0, 1, 0</t>
        </is>
      </c>
      <c r="G86" s="123">
        <f>IF(F86="","",LEN(F86)-LEN(SUBSTITUTE(F86,",",""))+1)</f>
        <v/>
      </c>
      <c r="H86" s="132" t="inlineStr">
        <is>
          <t>5, 2, 2, 3, 3, 2, 2, 2, 11, 1, 8</t>
        </is>
      </c>
      <c r="I86" s="123">
        <f>IF(H86="","",LEN(H86)-LEN(SUBSTITUTE(H86,",",""))+1)</f>
        <v/>
      </c>
      <c r="J86" s="142" t="inlineStr">
        <is>
          <t>升高改善</t>
        </is>
      </c>
      <c r="K86" s="143" t="n">
        <v>0.0836827408755723</v>
      </c>
      <c r="L86" s="143" t="n">
        <v>0.654289549498978</v>
      </c>
      <c r="M86" s="123">
        <f>IF(OR(K86="",L86=""),"",IF(AND(L86&lt;0.05,OR(AND(J86="升高改善",K86&gt;0),AND(J86="降低改善",K86&lt;0))),"校正","不校正"))</f>
        <v/>
      </c>
      <c r="N86" s="119" t="inlineStr">
        <is>
          <t>Figure 1，PDF 8 / 印刷页32，自上而下第2面板（Tim）；符号见原图图例</t>
        </is>
      </c>
    </row>
    <row r="87" ht="45" customHeight="1" s="111">
      <c r="A87" s="121" t="inlineStr">
        <is>
          <t>K178</t>
        </is>
      </c>
      <c r="B87" s="121" t="inlineStr">
        <is>
          <t>027-二次</t>
        </is>
      </c>
      <c r="C87" s="121" t="inlineStr">
        <is>
          <t>Tim</t>
        </is>
      </c>
      <c r="D87" s="140" t="inlineStr">
        <is>
          <t>维持</t>
        </is>
      </c>
      <c r="E87" s="119" t="inlineStr">
        <is>
          <t>Baseline vs Maintenance</t>
        </is>
      </c>
      <c r="F87" s="132" t="inlineStr">
        <is>
          <t>0, 0, 1, 0, 0, 0, 0, 0, 0, 1, 0, 0, 0, 0, 0, 1, 0, 0, 0, 1, 0</t>
        </is>
      </c>
      <c r="G87" s="123">
        <f>IF(F87="","",LEN(F87)-LEN(SUBSTITUTE(F87,",",""))+1)</f>
        <v/>
      </c>
      <c r="H87" s="132" t="inlineStr">
        <is>
          <t>4, 6, 0, 0, 3, 4, 2, 2, 4, 2, 0, 1, 2, 0, 4, 1, 3, 5, 0, 5, 6, 5, 2, 5, 2, 4, 1, 2, 3, 5</t>
        </is>
      </c>
      <c r="I87" s="123">
        <f>IF(H87="","",LEN(H87)-LEN(SUBSTITUTE(H87,",",""))+1)</f>
        <v/>
      </c>
      <c r="J87" s="142" t="inlineStr">
        <is>
          <t>升高改善</t>
        </is>
      </c>
      <c r="K87" s="143" t="n">
        <v>0.0836827408755723</v>
      </c>
      <c r="L87" s="143" t="n">
        <v>0.654289549498978</v>
      </c>
      <c r="M87" s="123">
        <f>IF(OR(K87="",L87=""),"",IF(AND(L87&lt;0.05,OR(AND(J87="升高改善",K87&gt;0),AND(J87="降低改善",K87&lt;0))),"校正","不校正"))</f>
        <v/>
      </c>
      <c r="N87" s="119" t="inlineStr">
        <is>
          <t>Figure 1，PDF 8 / 印刷页32，自上而下第2面板（Tim）；符号见原图图例</t>
        </is>
      </c>
    </row>
    <row r="88" ht="45" customHeight="1" s="111">
      <c r="A88" s="121" t="inlineStr">
        <is>
          <t>K179</t>
        </is>
      </c>
      <c r="B88" s="121" t="inlineStr">
        <is>
          <t>027-二次</t>
        </is>
      </c>
      <c r="C88" s="121" t="inlineStr">
        <is>
          <t>John</t>
        </is>
      </c>
      <c r="D88" s="140" t="inlineStr">
        <is>
          <t>干预</t>
        </is>
      </c>
      <c r="E88" s="119" t="inlineStr">
        <is>
          <t>Baseline vs VSM</t>
        </is>
      </c>
      <c r="F88" s="132" t="inlineStr">
        <is>
          <t>0, 1, 0, 0, 0, 0, 0, 0, 0, 0, 0, 0, 0, 0, 0, 0, 0, 0, 0, 0, 1, 0, 1, 1, 0, 0, 1, 0, 0, 1, 3, 0, 0, 0</t>
        </is>
      </c>
      <c r="G88" s="123">
        <f>IF(F88="","",LEN(F88)-LEN(SUBSTITUTE(F88,",",""))+1)</f>
        <v/>
      </c>
      <c r="H88" s="132" t="inlineStr">
        <is>
          <t>1, 0, 0, 1, 0, 0, 0, 2, 0</t>
        </is>
      </c>
      <c r="I88" s="123">
        <f>IF(H88="","",LEN(H88)-LEN(SUBSTITUTE(H88,",",""))+1)</f>
        <v/>
      </c>
      <c r="J88" s="142" t="inlineStr">
        <is>
          <t>升高改善</t>
        </is>
      </c>
      <c r="K88" s="143" t="n">
        <v>0.232804831333474</v>
      </c>
      <c r="L88" s="143" t="n">
        <v>0.102286981959486</v>
      </c>
      <c r="M88" s="123">
        <f>IF(OR(K88="",L88=""),"",IF(AND(L88&lt;0.05,OR(AND(J88="升高改善",K88&gt;0),AND(J88="降低改善",K88&lt;0))),"校正","不校正"))</f>
        <v/>
      </c>
      <c r="N88" s="119" t="inlineStr">
        <is>
          <t>Figure 1，PDF 8 / 印刷页32，自上而下第3面板（John）；符号见原图图例</t>
        </is>
      </c>
    </row>
    <row r="89" ht="45" customHeight="1" s="111">
      <c r="A89" s="121" t="inlineStr">
        <is>
          <t>K180</t>
        </is>
      </c>
      <c r="B89" s="121" t="inlineStr">
        <is>
          <t>027-二次</t>
        </is>
      </c>
      <c r="C89" s="121" t="inlineStr">
        <is>
          <t>John</t>
        </is>
      </c>
      <c r="D89" s="140" t="inlineStr">
        <is>
          <t>维持</t>
        </is>
      </c>
      <c r="E89" s="119" t="inlineStr">
        <is>
          <t>Baseline vs Maintenance</t>
        </is>
      </c>
      <c r="F89" s="132" t="inlineStr">
        <is>
          <t>0, 1, 0, 0, 0, 0, 0, 0, 0, 0, 0, 0, 0, 0, 0, 0, 0, 0, 0, 0, 1, 0, 1, 1, 0, 0, 1, 0, 0, 1, 3, 0, 0, 0</t>
        </is>
      </c>
      <c r="G89" s="123">
        <f>IF(F89="","",LEN(F89)-LEN(SUBSTITUTE(F89,",",""))+1)</f>
        <v/>
      </c>
      <c r="H89" s="132" t="inlineStr">
        <is>
          <t>0, 0, 0, 0, 1, 0, 2, 0, 0, 0, 0, 0, 0, 0, 4, 0, 4, 0, 0</t>
        </is>
      </c>
      <c r="I89" s="123">
        <f>IF(H89="","",LEN(H89)-LEN(SUBSTITUTE(H89,",",""))+1)</f>
        <v/>
      </c>
      <c r="J89" s="142" t="inlineStr">
        <is>
          <t>升高改善</t>
        </is>
      </c>
      <c r="K89" s="143" t="n">
        <v>0.232804831333474</v>
      </c>
      <c r="L89" s="143" t="n">
        <v>0.102286981959486</v>
      </c>
      <c r="M89" s="123">
        <f>IF(OR(K89="",L89=""),"",IF(AND(L89&lt;0.05,OR(AND(J89="升高改善",K89&gt;0),AND(J89="降低改善",K89&lt;0))),"校正","不校正"))</f>
        <v/>
      </c>
      <c r="N89" s="119" t="inlineStr">
        <is>
          <t>Figure 1，PDF 8 / 印刷页32，自上而下第3面板（John）；符号见原图图例</t>
        </is>
      </c>
    </row>
    <row r="90" ht="45" customHeight="1" s="111">
      <c r="A90" s="121" t="inlineStr">
        <is>
          <t>K181</t>
        </is>
      </c>
      <c r="B90" s="121" t="inlineStr">
        <is>
          <t>027-二次</t>
        </is>
      </c>
      <c r="C90" s="121" t="inlineStr">
        <is>
          <t>Helen</t>
        </is>
      </c>
      <c r="D90" s="140" t="inlineStr">
        <is>
          <t>干预</t>
        </is>
      </c>
      <c r="E90" s="119" t="inlineStr">
        <is>
          <t>Baseline vs VSM</t>
        </is>
      </c>
      <c r="F90" s="132" t="inlineStr">
        <is>
          <t>1, 0, 0, 0, 0, 0, 0, 1, 0, 0, 0, 0, 0, 0, 0, 1, 0, 0, 0, 0, 0, 0, 0, 1, 0, 0, 1, 0, 0, 1, 1, 0</t>
        </is>
      </c>
      <c r="G90" s="123">
        <f>IF(F90="","",LEN(F90)-LEN(SUBSTITUTE(F90,",",""))+1)</f>
        <v/>
      </c>
      <c r="H90" s="132" t="inlineStr">
        <is>
          <t>3, 1, 3, 5, 6, 4, 4, 1, 3</t>
        </is>
      </c>
      <c r="I90" s="123">
        <f>IF(H90="","",LEN(H90)-LEN(SUBSTITUTE(H90,",",""))+1)</f>
        <v/>
      </c>
      <c r="J90" s="142" t="inlineStr">
        <is>
          <t>升高改善</t>
        </is>
      </c>
      <c r="K90" s="143" t="n">
        <v>0.145951510159958</v>
      </c>
      <c r="L90" s="143" t="n">
        <v>0.327056029748996</v>
      </c>
      <c r="M90" s="123">
        <f>IF(OR(K90="",L90=""),"",IF(AND(L90&lt;0.05,OR(AND(J90="升高改善",K90&gt;0),AND(J90="降低改善",K90&lt;0))),"校正","不校正"))</f>
        <v/>
      </c>
      <c r="N90" s="119" t="inlineStr">
        <is>
          <t>Figure 1，PDF 8 / 印刷页32，自上而下第4面板（Helen）；符号见原图图例</t>
        </is>
      </c>
    </row>
    <row r="91" ht="45" customHeight="1" s="111">
      <c r="A91" s="121" t="inlineStr">
        <is>
          <t>K182</t>
        </is>
      </c>
      <c r="B91" s="121" t="inlineStr">
        <is>
          <t>027-二次</t>
        </is>
      </c>
      <c r="C91" s="121" t="inlineStr">
        <is>
          <t>Helen</t>
        </is>
      </c>
      <c r="D91" s="140" t="inlineStr">
        <is>
          <t>维持</t>
        </is>
      </c>
      <c r="E91" s="119" t="inlineStr">
        <is>
          <t>Baseline vs Maintenance</t>
        </is>
      </c>
      <c r="F91" s="132" t="inlineStr">
        <is>
          <t>1, 0, 0, 0, 0, 0, 0, 1, 0, 0, 0, 0, 0, 0, 0, 1, 0, 0, 0, 0, 0, 0, 0, 1, 0, 0, 1, 0, 0, 1, 1, 0</t>
        </is>
      </c>
      <c r="G91" s="123">
        <f>IF(F91="","",LEN(F91)-LEN(SUBSTITUTE(F91,",",""))+1)</f>
        <v/>
      </c>
      <c r="H91" s="132" t="inlineStr">
        <is>
          <t>2, 3, 5, 3, 6, 4, 4, 3</t>
        </is>
      </c>
      <c r="I91" s="123">
        <f>IF(H91="","",LEN(H91)-LEN(SUBSTITUTE(H91,",",""))+1)</f>
        <v/>
      </c>
      <c r="J91" s="142" t="inlineStr">
        <is>
          <t>升高改善</t>
        </is>
      </c>
      <c r="K91" s="143" t="n">
        <v>0.145951510159958</v>
      </c>
      <c r="L91" s="143" t="n">
        <v>0.327056029748996</v>
      </c>
      <c r="M91" s="123">
        <f>IF(OR(K91="",L91=""),"",IF(AND(L91&lt;0.05,OR(AND(J91="升高改善",K91&gt;0),AND(J91="降低改善",K91&lt;0))),"校正","不校正"))</f>
        <v/>
      </c>
      <c r="N91" s="119" t="inlineStr">
        <is>
          <t>Figure 1，PDF 8 / 印刷页32，自上而下第4面板（Helen）；符号见原图图例</t>
        </is>
      </c>
    </row>
    <row r="92" ht="45" customHeight="1" s="111">
      <c r="A92" s="121" t="inlineStr">
        <is>
          <t>K183</t>
        </is>
      </c>
      <c r="B92" s="121" t="inlineStr">
        <is>
          <t>029-二次</t>
        </is>
      </c>
      <c r="C92" s="121" t="inlineStr">
        <is>
          <t>Jerry</t>
        </is>
      </c>
      <c r="D92" s="140" t="inlineStr">
        <is>
          <t>干预</t>
        </is>
      </c>
      <c r="E92" s="119" t="inlineStr">
        <is>
          <t>Baseline vs VSM</t>
        </is>
      </c>
      <c r="F92" s="119" t="inlineStr">
        <is>
          <t>38, 30, 38, 33, 45, 35</t>
        </is>
      </c>
      <c r="G92" s="121">
        <f>IF(F92="","",LEN(F92)-LEN(SUBSTITUTE(F92,",",""))+1)</f>
        <v/>
      </c>
      <c r="H92" s="119" t="inlineStr">
        <is>
          <t>80, 85, 60, 80, 55, 73, 65, 68, 75, 75, 73, 78, 63, 75</t>
        </is>
      </c>
      <c r="I92" s="121">
        <f>IF(H92="","",LEN(H92)-LEN(SUBSTITUTE(H92,",",""))+1)</f>
        <v/>
      </c>
      <c r="J92" s="140" t="inlineStr">
        <is>
          <t>升高改善</t>
        </is>
      </c>
      <c r="K92" s="141" t="n">
        <v>0.138013111868471</v>
      </c>
      <c r="L92" s="141" t="n">
        <v>0.7020563949269411</v>
      </c>
      <c r="M92" s="121">
        <f>IF(OR(K92="",L92=""),"",IF(AND(L92&lt;0.05,OR(AND(J92="升高改善",K92&gt;0),AND(J92="降低改善",K92&lt;0))),"校正","不校正"))</f>
        <v/>
      </c>
      <c r="N92" s="119" t="inlineStr">
        <is>
          <t>Figure 1，PDF 8 / 印刷页55，自上而下第1面板（Jerry），三角标记目标序列</t>
        </is>
      </c>
    </row>
    <row r="93" ht="45" customHeight="1" s="111">
      <c r="A93" s="121" t="inlineStr">
        <is>
          <t>K184</t>
        </is>
      </c>
      <c r="B93" s="121" t="inlineStr">
        <is>
          <t>029-二次</t>
        </is>
      </c>
      <c r="C93" s="121" t="inlineStr">
        <is>
          <t>Bob</t>
        </is>
      </c>
      <c r="D93" s="140" t="inlineStr">
        <is>
          <t>干预</t>
        </is>
      </c>
      <c r="E93" s="119" t="inlineStr">
        <is>
          <t>Baseline vs VSM</t>
        </is>
      </c>
      <c r="F93" s="119" t="inlineStr">
        <is>
          <t>0, 3, 3, 3, 3, 3, 0, 0, 0, 0, 3, 3, 3</t>
        </is>
      </c>
      <c r="G93" s="121">
        <f>IF(F93="","",LEN(F93)-LEN(SUBSTITUTE(F93,",",""))+1)</f>
        <v/>
      </c>
      <c r="H93" s="119" t="inlineStr">
        <is>
          <t>10, 8, 3, 3, 53, 28, 48, 35, 28, 43, 23, 35</t>
        </is>
      </c>
      <c r="I93" s="121">
        <f>IF(H93="","",LEN(H93)-LEN(SUBSTITUTE(H93,",",""))+1)</f>
        <v/>
      </c>
      <c r="J93" s="140" t="inlineStr">
        <is>
          <t>升高改善</t>
        </is>
      </c>
      <c r="K93" s="141" t="n">
        <v>0</v>
      </c>
      <c r="L93" s="141" t="n">
        <v>1</v>
      </c>
      <c r="M93" s="121">
        <f>IF(OR(K93="",L93=""),"",IF(AND(L93&lt;0.05,OR(AND(J93="升高改善",K93&gt;0),AND(J93="降低改善",K93&lt;0))),"校正","不校正"))</f>
        <v/>
      </c>
      <c r="N93" s="119" t="inlineStr">
        <is>
          <t>Figure 1，PDF 8 / 印刷页55，自上而下第2面板（Bob），三角标记目标序列</t>
        </is>
      </c>
    </row>
    <row r="94" ht="45" customHeight="1" s="111">
      <c r="A94" s="121" t="inlineStr">
        <is>
          <t>K185</t>
        </is>
      </c>
      <c r="B94" s="121" t="inlineStr">
        <is>
          <t>029-二次</t>
        </is>
      </c>
      <c r="C94" s="121" t="inlineStr">
        <is>
          <t>Phil</t>
        </is>
      </c>
      <c r="D94" s="140" t="inlineStr">
        <is>
          <t>干预</t>
        </is>
      </c>
      <c r="E94" s="119" t="inlineStr">
        <is>
          <t>Baseline vs VSM</t>
        </is>
      </c>
      <c r="F94" s="119" t="inlineStr">
        <is>
          <t>13, 3, 5, 0, 13, 10, 8, 5, 15, 15, 10, 18, 3, 20, 13</t>
        </is>
      </c>
      <c r="G94" s="121">
        <f>IF(F94="","",LEN(F94)-LEN(SUBSTITUTE(F94,",",""))+1)</f>
        <v/>
      </c>
      <c r="H94" s="119" t="inlineStr">
        <is>
          <t>33, 55, 45, 70, 63, 58, 73, 68</t>
        </is>
      </c>
      <c r="I94" s="121">
        <f>IF(H94="","",LEN(H94)-LEN(SUBSTITUTE(H94,",",""))+1)</f>
        <v/>
      </c>
      <c r="J94" s="140" t="inlineStr">
        <is>
          <t>升高改善</t>
        </is>
      </c>
      <c r="K94" s="141" t="n">
        <v>0.335174700252001</v>
      </c>
      <c r="L94" s="141" t="n">
        <v>0.0893973855188657</v>
      </c>
      <c r="M94" s="121">
        <f>IF(OR(K94="",L94=""),"",IF(AND(L94&lt;0.05,OR(AND(J94="升高改善",K94&gt;0),AND(J94="降低改善",K94&lt;0))),"校正","不校正"))</f>
        <v/>
      </c>
      <c r="N94" s="119" t="inlineStr">
        <is>
          <t>Figure 1，PDF 8 / 印刷页55，自上而下第3面板（Phil），三角标记目标序列</t>
        </is>
      </c>
    </row>
    <row r="95" ht="45" customHeight="1" s="111">
      <c r="A95" s="121" t="inlineStr">
        <is>
          <t>K186</t>
        </is>
      </c>
      <c r="B95" s="121" t="inlineStr">
        <is>
          <t>030-滚雪球</t>
        </is>
      </c>
      <c r="C95" s="121" t="inlineStr">
        <is>
          <t>Cameron</t>
        </is>
      </c>
      <c r="D95" s="140" t="inlineStr">
        <is>
          <t>干预</t>
        </is>
      </c>
      <c r="E95" s="119" t="inlineStr">
        <is>
          <t>Baseline vs Intervention</t>
        </is>
      </c>
      <c r="F95" s="119" t="inlineStr">
        <is>
          <t>0, 0, 0, 50, 50, 25, 25, 25, 25</t>
        </is>
      </c>
      <c r="G95" s="121">
        <f>IF(F95="","",LEN(F95)-LEN(SUBSTITUTE(F95,",",""))+1)</f>
        <v/>
      </c>
      <c r="H95" s="119" t="inlineStr">
        <is>
          <t>100, 100, 100, 75, 100, 100</t>
        </is>
      </c>
      <c r="I95" s="121">
        <f>IF(H95="","",LEN(H95)-LEN(SUBSTITUTE(H95,",",""))+1)</f>
        <v/>
      </c>
      <c r="J95" s="140" t="inlineStr">
        <is>
          <t>升高改善</t>
        </is>
      </c>
      <c r="K95" s="141" t="n">
        <v>0.326860225230307</v>
      </c>
      <c r="L95" s="141" t="n">
        <v>0.259544222403874</v>
      </c>
      <c r="M95" s="121">
        <f>IF(OR(K95="",L95=""),"",IF(AND(L95&lt;0.05,OR(AND(J95="升高改善",K95&gt;0),AND(J95="降低改善",K95&lt;0))),"校正","不校正"))</f>
        <v/>
      </c>
      <c r="N95" s="119" t="inlineStr">
        <is>
          <t>Figure 1，PDF7/675，自上而下第1面板，实心菱形</t>
        </is>
      </c>
    </row>
    <row r="96" ht="45" customHeight="1" s="111">
      <c r="A96" s="121" t="inlineStr">
        <is>
          <t>K187</t>
        </is>
      </c>
      <c r="B96" s="121" t="inlineStr">
        <is>
          <t>030-滚雪球</t>
        </is>
      </c>
      <c r="C96" s="121" t="inlineStr">
        <is>
          <t>Cameron</t>
        </is>
      </c>
      <c r="D96" s="140" t="inlineStr">
        <is>
          <t>维持</t>
        </is>
      </c>
      <c r="E96" s="119" t="inlineStr">
        <is>
          <t>Baseline vs Maintenance（训练情境）</t>
        </is>
      </c>
      <c r="F96" s="119" t="inlineStr">
        <is>
          <t>0, 0, 0, 50, 50, 25, 25, 25, 25</t>
        </is>
      </c>
      <c r="G96" s="121">
        <f>IF(F96="","",LEN(F96)-LEN(SUBSTITUTE(F96,",",""))+1)</f>
        <v/>
      </c>
      <c r="H96" s="119" t="inlineStr">
        <is>
          <t>75, 100, 100, 75, 75, 100, 75, 100, 75, 100, 100, 100, 100, 100, 100</t>
        </is>
      </c>
      <c r="I96" s="121">
        <f>IF(H96="","",LEN(H96)-LEN(SUBSTITUTE(H96,",",""))+1)</f>
        <v/>
      </c>
      <c r="J96" s="140" t="inlineStr">
        <is>
          <t>升高改善</t>
        </is>
      </c>
      <c r="K96" s="141" t="n">
        <v>0.326860225230307</v>
      </c>
      <c r="L96" s="141" t="n">
        <v>0.259544222403874</v>
      </c>
      <c r="M96" s="121">
        <f>IF(OR(K96="",L96=""),"",IF(AND(L96&lt;0.05,OR(AND(J96="升高改善",K96&gt;0),AND(J96="降低改善",K96&lt;0))),"校正","不校正"))</f>
        <v/>
      </c>
      <c r="N96" s="119" t="inlineStr">
        <is>
          <t>Figure 1，PDF7/675，自上而下第1面板，实心菱形</t>
        </is>
      </c>
    </row>
    <row r="97" ht="45" customHeight="1" s="111">
      <c r="A97" s="121" t="inlineStr">
        <is>
          <t>K188</t>
        </is>
      </c>
      <c r="B97" s="121" t="inlineStr">
        <is>
          <t>030-滚雪球</t>
        </is>
      </c>
      <c r="C97" s="121" t="inlineStr">
        <is>
          <t>Cameron</t>
        </is>
      </c>
      <c r="D97" s="140" t="inlineStr">
        <is>
          <t>干预</t>
        </is>
      </c>
      <c r="E97" s="119" t="inlineStr">
        <is>
          <t>Baseline vs Intervention</t>
        </is>
      </c>
      <c r="F97" s="119" t="inlineStr">
        <is>
          <t>80, 60, 80, 60, 60, 80, 80, 80, 60, 60, 60, 60</t>
        </is>
      </c>
      <c r="G97" s="121">
        <f>IF(F97="","",LEN(F97)-LEN(SUBSTITUTE(F97,",",""))+1)</f>
        <v/>
      </c>
      <c r="H97" s="119" t="inlineStr">
        <is>
          <t>100, 100, 100, 80, 100, 100</t>
        </is>
      </c>
      <c r="I97" s="121">
        <f>IF(H97="","",LEN(H97)-LEN(SUBSTITUTE(H97,",",""))+1)</f>
        <v/>
      </c>
      <c r="J97" s="140" t="inlineStr">
        <is>
          <t>升高改善</t>
        </is>
      </c>
      <c r="K97" s="141" t="n">
        <v>-0.31209389196618</v>
      </c>
      <c r="L97" s="141" t="n">
        <v>0.223225145306756</v>
      </c>
      <c r="M97" s="121">
        <f>IF(OR(K97="",L97=""),"",IF(AND(L97&lt;0.05,OR(AND(J97="升高改善",K97&gt;0),AND(J97="降低改善",K97&lt;0))),"校正","不校正"))</f>
        <v/>
      </c>
      <c r="N97" s="119" t="inlineStr">
        <is>
          <t>Figure 1，PDF7/675，自上而下第2面板，实心菱形</t>
        </is>
      </c>
    </row>
    <row r="98" ht="45" customHeight="1" s="111">
      <c r="A98" s="121" t="inlineStr">
        <is>
          <t>K189</t>
        </is>
      </c>
      <c r="B98" s="121" t="inlineStr">
        <is>
          <t>030-滚雪球</t>
        </is>
      </c>
      <c r="C98" s="121" t="inlineStr">
        <is>
          <t>Cameron</t>
        </is>
      </c>
      <c r="D98" s="140" t="inlineStr">
        <is>
          <t>维持</t>
        </is>
      </c>
      <c r="E98" s="119" t="inlineStr">
        <is>
          <t>Baseline vs Maintenance（训练情境）</t>
        </is>
      </c>
      <c r="F98" s="119" t="inlineStr">
        <is>
          <t>80, 60, 80, 60, 60, 80, 80, 80, 60, 60, 60, 60</t>
        </is>
      </c>
      <c r="G98" s="121">
        <f>IF(F98="","",LEN(F98)-LEN(SUBSTITUTE(F98,",",""))+1)</f>
        <v/>
      </c>
      <c r="H98" s="119" t="inlineStr">
        <is>
          <t>80, 100, 80, 100, 100, 80, 80, 100, 100, 80, 80, 100</t>
        </is>
      </c>
      <c r="I98" s="121">
        <f>IF(H98="","",LEN(H98)-LEN(SUBSTITUTE(H98,",",""))+1)</f>
        <v/>
      </c>
      <c r="J98" s="140" t="inlineStr">
        <is>
          <t>升高改善</t>
        </is>
      </c>
      <c r="K98" s="141" t="n">
        <v>-0.31209389196618</v>
      </c>
      <c r="L98" s="141" t="n">
        <v>0.223225145306756</v>
      </c>
      <c r="M98" s="121">
        <f>IF(OR(K98="",L98=""),"",IF(AND(L98&lt;0.05,OR(AND(J98="升高改善",K98&gt;0),AND(J98="降低改善",K98&lt;0))),"校正","不校正"))</f>
        <v/>
      </c>
      <c r="N98" s="119" t="inlineStr">
        <is>
          <t>Figure 1，PDF7/675，自上而下第2面板，实心菱形</t>
        </is>
      </c>
    </row>
    <row r="99" ht="45" customHeight="1" s="111">
      <c r="A99" s="121" t="inlineStr">
        <is>
          <t>K190</t>
        </is>
      </c>
      <c r="B99" s="121" t="inlineStr">
        <is>
          <t>030-滚雪球</t>
        </is>
      </c>
      <c r="C99" s="121" t="inlineStr">
        <is>
          <t>Cameron</t>
        </is>
      </c>
      <c r="D99" s="140" t="inlineStr">
        <is>
          <t>干预</t>
        </is>
      </c>
      <c r="E99" s="119" t="inlineStr">
        <is>
          <t>Baseline vs Intervention</t>
        </is>
      </c>
      <c r="F99" s="119" t="inlineStr">
        <is>
          <t>25, 25, 0, 25, 0, 0, 0, 0, 0, 0, 25, 0, 25, 25, 0</t>
        </is>
      </c>
      <c r="G99" s="121">
        <f>IF(F99="","",LEN(F99)-LEN(SUBSTITUTE(F99,",",""))+1)</f>
        <v/>
      </c>
      <c r="H99" s="119" t="inlineStr">
        <is>
          <t>100, 100, 100, 100, 100, 100, 100, 100, 100</t>
        </is>
      </c>
      <c r="I99" s="121">
        <f>IF(H99="","",LEN(H99)-LEN(SUBSTITUTE(H99,",",""))+1)</f>
        <v/>
      </c>
      <c r="J99" s="140" t="inlineStr">
        <is>
          <t>升高改善</t>
        </is>
      </c>
      <c r="K99" s="141" t="n">
        <v>-0.0796819072889596</v>
      </c>
      <c r="L99" s="141" t="n">
        <v>0.723673609831763</v>
      </c>
      <c r="M99" s="121">
        <f>IF(OR(K99="",L99=""),"",IF(AND(L99&lt;0.05,OR(AND(J99="升高改善",K99&gt;0),AND(J99="降低改善",K99&lt;0))),"校正","不校正"))</f>
        <v/>
      </c>
      <c r="N99" s="119" t="inlineStr">
        <is>
          <t>Figure 1，PDF7/675，自上而下第3面板，实心菱形</t>
        </is>
      </c>
    </row>
    <row r="100" ht="45" customHeight="1" s="111">
      <c r="A100" s="121" t="inlineStr">
        <is>
          <t>K191</t>
        </is>
      </c>
      <c r="B100" s="121" t="inlineStr">
        <is>
          <t>030-滚雪球</t>
        </is>
      </c>
      <c r="C100" s="121" t="inlineStr">
        <is>
          <t>Cameron</t>
        </is>
      </c>
      <c r="D100" s="140" t="inlineStr">
        <is>
          <t>维持</t>
        </is>
      </c>
      <c r="E100" s="119" t="inlineStr">
        <is>
          <t>Baseline vs Maintenance（训练情境）</t>
        </is>
      </c>
      <c r="F100" s="119" t="inlineStr">
        <is>
          <t>25, 25, 0, 25, 0, 0, 0, 0, 0, 0, 25, 0, 25, 25, 0</t>
        </is>
      </c>
      <c r="G100" s="121">
        <f>IF(F100="","",LEN(F100)-LEN(SUBSTITUTE(F100,",",""))+1)</f>
        <v/>
      </c>
      <c r="H100" s="119" t="inlineStr">
        <is>
          <t>100, 100, 100, 100, 100, 100, 100, 100, 100</t>
        </is>
      </c>
      <c r="I100" s="121">
        <f>IF(H100="","",LEN(H100)-LEN(SUBSTITUTE(H100,",",""))+1)</f>
        <v/>
      </c>
      <c r="J100" s="140" t="inlineStr">
        <is>
          <t>升高改善</t>
        </is>
      </c>
      <c r="K100" s="141" t="n">
        <v>-0.0796819072889596</v>
      </c>
      <c r="L100" s="141" t="n">
        <v>0.723673609831763</v>
      </c>
      <c r="M100" s="121">
        <f>IF(OR(K100="",L100=""),"",IF(AND(L100&lt;0.05,OR(AND(J100="升高改善",K100&gt;0),AND(J100="降低改善",K100&lt;0))),"校正","不校正"))</f>
        <v/>
      </c>
      <c r="N100" s="119" t="inlineStr">
        <is>
          <t>Figure 1，PDF7/675，自上而下第3面板，实心菱形</t>
        </is>
      </c>
    </row>
    <row r="101" ht="45" customHeight="1" s="111">
      <c r="A101" s="121" t="inlineStr">
        <is>
          <t>K192</t>
        </is>
      </c>
      <c r="B101" s="121" t="inlineStr">
        <is>
          <t>030-滚雪球</t>
        </is>
      </c>
      <c r="C101" s="121" t="inlineStr">
        <is>
          <t>Cameron</t>
        </is>
      </c>
      <c r="D101" s="140" t="inlineStr">
        <is>
          <t>干预</t>
        </is>
      </c>
      <c r="E101" s="119" t="inlineStr">
        <is>
          <t>Baseline vs Intervention</t>
        </is>
      </c>
      <c r="F101" s="119" t="inlineStr">
        <is>
          <t>60, 60, 40, 40, 20, 20, 40, 20, 40, 40, 40, 20, 20, 20, 40</t>
        </is>
      </c>
      <c r="G101" s="121">
        <f>IF(F101="","",LEN(F101)-LEN(SUBSTITUTE(F101,",",""))+1)</f>
        <v/>
      </c>
      <c r="H101" s="119" t="inlineStr">
        <is>
          <t>100, 100, 100, 100, 100, 100, 100, 100, 100</t>
        </is>
      </c>
      <c r="I101" s="121">
        <f>IF(H101="","",LEN(H101)-LEN(SUBSTITUTE(H101,",",""))+1)</f>
        <v/>
      </c>
      <c r="J101" s="140" t="inlineStr">
        <is>
          <t>升高改善</t>
        </is>
      </c>
      <c r="K101" s="141" t="n">
        <v>-0.402373908081478</v>
      </c>
      <c r="L101" s="141" t="n">
        <v>0.0630918977746777</v>
      </c>
      <c r="M101" s="121">
        <f>IF(OR(K101="",L101=""),"",IF(AND(L101&lt;0.05,OR(AND(J101="升高改善",K101&gt;0),AND(J101="降低改善",K101&lt;0))),"校正","不校正"))</f>
        <v/>
      </c>
      <c r="N101" s="119" t="inlineStr">
        <is>
          <t>Figure 1，PDF7/675，自上而下第4面板，实心菱形</t>
        </is>
      </c>
    </row>
    <row r="102" ht="45" customHeight="1" s="111">
      <c r="A102" s="121" t="inlineStr">
        <is>
          <t>K193</t>
        </is>
      </c>
      <c r="B102" s="121" t="inlineStr">
        <is>
          <t>030-滚雪球</t>
        </is>
      </c>
      <c r="C102" s="121" t="inlineStr">
        <is>
          <t>Ferris</t>
        </is>
      </c>
      <c r="D102" s="140" t="inlineStr">
        <is>
          <t>干预</t>
        </is>
      </c>
      <c r="E102" s="119" t="inlineStr">
        <is>
          <t>Baseline vs Intervention</t>
        </is>
      </c>
      <c r="F102" s="119" t="inlineStr">
        <is>
          <t>50, 25, 50, 50, 50, 50, 75, 75, 50</t>
        </is>
      </c>
      <c r="G102" s="121">
        <f>IF(F102="","",LEN(F102)-LEN(SUBSTITUTE(F102,",",""))+1)</f>
        <v/>
      </c>
      <c r="H102" s="119" t="inlineStr">
        <is>
          <t>100, 100, 100, 75, 100, 100</t>
        </is>
      </c>
      <c r="I102" s="121">
        <f>IF(H102="","",LEN(H102)-LEN(SUBSTITUTE(H102,",",""))+1)</f>
        <v/>
      </c>
      <c r="J102" s="140" t="inlineStr">
        <is>
          <t>升高改善</t>
        </is>
      </c>
      <c r="K102" s="141" t="n">
        <v>0.521749194749951</v>
      </c>
      <c r="L102" s="141" t="n">
        <v>0.0769741729812668</v>
      </c>
      <c r="M102" s="121">
        <f>IF(OR(K102="",L102=""),"",IF(AND(L102&lt;0.05,OR(AND(J102="升高改善",K102&gt;0),AND(J102="降低改善",K102&lt;0))),"校正","不校正"))</f>
        <v/>
      </c>
      <c r="N102" s="119" t="inlineStr">
        <is>
          <t>Figure 3，PDF9/677，自上而下第1面板，实心菱形</t>
        </is>
      </c>
    </row>
    <row r="103" ht="45" customHeight="1" s="111">
      <c r="A103" s="121" t="inlineStr">
        <is>
          <t>K194</t>
        </is>
      </c>
      <c r="B103" s="121" t="inlineStr">
        <is>
          <t>030-滚雪球</t>
        </is>
      </c>
      <c r="C103" s="121" t="inlineStr">
        <is>
          <t>Ferris</t>
        </is>
      </c>
      <c r="D103" s="140" t="inlineStr">
        <is>
          <t>维持</t>
        </is>
      </c>
      <c r="E103" s="119" t="inlineStr">
        <is>
          <t>Baseline vs Maintenance（训练情境）</t>
        </is>
      </c>
      <c r="F103" s="119" t="inlineStr">
        <is>
          <t>50, 25, 50, 50, 50, 50, 75, 75, 50</t>
        </is>
      </c>
      <c r="G103" s="121">
        <f>IF(F103="","",LEN(F103)-LEN(SUBSTITUTE(F103,",",""))+1)</f>
        <v/>
      </c>
      <c r="H103" s="119" t="inlineStr">
        <is>
          <t>75, 75, 75, 75, 75, 75, 75, 75, 100, 100, 100, 100, 100, 100, 100</t>
        </is>
      </c>
      <c r="I103" s="121">
        <f>IF(H103="","",LEN(H103)-LEN(SUBSTITUTE(H103,",",""))+1)</f>
        <v/>
      </c>
      <c r="J103" s="140" t="inlineStr">
        <is>
          <t>升高改善</t>
        </is>
      </c>
      <c r="K103" s="141" t="n">
        <v>0.521749194749951</v>
      </c>
      <c r="L103" s="141" t="n">
        <v>0.0769741729812668</v>
      </c>
      <c r="M103" s="121">
        <f>IF(OR(K103="",L103=""),"",IF(AND(L103&lt;0.05,OR(AND(J103="升高改善",K103&gt;0),AND(J103="降低改善",K103&lt;0))),"校正","不校正"))</f>
        <v/>
      </c>
      <c r="N103" s="119" t="inlineStr">
        <is>
          <t>Figure 3，PDF9/677，自上而下第1面板，实心菱形</t>
        </is>
      </c>
    </row>
    <row r="104" ht="45" customHeight="1" s="111">
      <c r="A104" s="121" t="inlineStr">
        <is>
          <t>K195</t>
        </is>
      </c>
      <c r="B104" s="121" t="inlineStr">
        <is>
          <t>030-滚雪球</t>
        </is>
      </c>
      <c r="C104" s="121" t="inlineStr">
        <is>
          <t>Ferris</t>
        </is>
      </c>
      <c r="D104" s="140" t="inlineStr">
        <is>
          <t>干预</t>
        </is>
      </c>
      <c r="E104" s="119" t="inlineStr">
        <is>
          <t>Baseline vs Intervention</t>
        </is>
      </c>
      <c r="F104" s="119" t="inlineStr">
        <is>
          <t>60, 60, 40, 60, 60, 60, 40, 20, 20, 20, 40, 20</t>
        </is>
      </c>
      <c r="G104" s="121">
        <f>IF(F104="","",LEN(F104)-LEN(SUBSTITUTE(F104,",",""))+1)</f>
        <v/>
      </c>
      <c r="H104" s="119" t="inlineStr">
        <is>
          <t>100, 100, 80, 100, 100, 100</t>
        </is>
      </c>
      <c r="I104" s="121">
        <f>IF(H104="","",LEN(H104)-LEN(SUBSTITUTE(H104,",",""))+1)</f>
        <v/>
      </c>
      <c r="J104" s="140" t="inlineStr">
        <is>
          <t>升高改善</t>
        </is>
      </c>
      <c r="K104" s="141" t="n">
        <v>-0.628415874980724</v>
      </c>
      <c r="L104" s="141" t="n">
        <v>0.009806616350195431</v>
      </c>
      <c r="M104" s="121">
        <f>IF(OR(K104="",L104=""),"",IF(AND(L104&lt;0.05,OR(AND(J104="升高改善",K104&gt;0),AND(J104="降低改善",K104&lt;0))),"校正","不校正"))</f>
        <v/>
      </c>
      <c r="N104" s="119" t="inlineStr">
        <is>
          <t>Figure 3，PDF9/677，自上而下第2面板，实心菱形</t>
        </is>
      </c>
    </row>
    <row r="105" ht="45" customHeight="1" s="111">
      <c r="A105" s="121" t="inlineStr">
        <is>
          <t>K196</t>
        </is>
      </c>
      <c r="B105" s="121" t="inlineStr">
        <is>
          <t>030-滚雪球</t>
        </is>
      </c>
      <c r="C105" s="121" t="inlineStr">
        <is>
          <t>Ferris</t>
        </is>
      </c>
      <c r="D105" s="140" t="inlineStr">
        <is>
          <t>维持</t>
        </is>
      </c>
      <c r="E105" s="119" t="inlineStr">
        <is>
          <t>Baseline vs Maintenance（训练情境）</t>
        </is>
      </c>
      <c r="F105" s="119" t="inlineStr">
        <is>
          <t>60, 60, 40, 60, 60, 60, 40, 20, 20, 20, 40, 20</t>
        </is>
      </c>
      <c r="G105" s="121">
        <f>IF(F105="","",LEN(F105)-LEN(SUBSTITUTE(F105,",",""))+1)</f>
        <v/>
      </c>
      <c r="H105" s="119" t="inlineStr">
        <is>
          <t>80, 80, 80, 100, 100, 80, 80, 80, 100, 80, 80, 80</t>
        </is>
      </c>
      <c r="I105" s="121">
        <f>IF(H105="","",LEN(H105)-LEN(SUBSTITUTE(H105,",",""))+1)</f>
        <v/>
      </c>
      <c r="J105" s="140" t="inlineStr">
        <is>
          <t>升高改善</t>
        </is>
      </c>
      <c r="K105" s="141" t="n">
        <v>-0.628415874980724</v>
      </c>
      <c r="L105" s="141" t="n">
        <v>0.009806616350195431</v>
      </c>
      <c r="M105" s="121">
        <f>IF(OR(K105="",L105=""),"",IF(AND(L105&lt;0.05,OR(AND(J105="升高改善",K105&gt;0),AND(J105="降低改善",K105&lt;0))),"校正","不校正"))</f>
        <v/>
      </c>
      <c r="N105" s="119" t="inlineStr">
        <is>
          <t>Figure 3，PDF9/677，自上而下第2面板，实心菱形</t>
        </is>
      </c>
    </row>
    <row r="106" ht="45" customHeight="1" s="111">
      <c r="A106" s="121" t="inlineStr">
        <is>
          <t>K197</t>
        </is>
      </c>
      <c r="B106" s="121" t="inlineStr">
        <is>
          <t>030-滚雪球</t>
        </is>
      </c>
      <c r="C106" s="121" t="inlineStr">
        <is>
          <t>Ferris</t>
        </is>
      </c>
      <c r="D106" s="140" t="inlineStr">
        <is>
          <t>干预</t>
        </is>
      </c>
      <c r="E106" s="119" t="inlineStr">
        <is>
          <t>Baseline vs Intervention</t>
        </is>
      </c>
      <c r="F106" s="119" t="inlineStr">
        <is>
          <t>0, 0, 0, 0, 0, 0, 0, 0, 0, 0, 0, 0, 25, 25, 25</t>
        </is>
      </c>
      <c r="G106" s="121">
        <f>IF(F106="","",LEN(F106)-LEN(SUBSTITUTE(F106,",",""))+1)</f>
        <v/>
      </c>
      <c r="H106" s="119" t="inlineStr">
        <is>
          <t>75, 75, 75, 100, 100, 100, 100, 100, 100</t>
        </is>
      </c>
      <c r="I106" s="121">
        <f>IF(H106="","",LEN(H106)-LEN(SUBSTITUTE(H106,",",""))+1)</f>
        <v/>
      </c>
      <c r="J106" s="140" t="inlineStr">
        <is>
          <t>升高改善</t>
        </is>
      </c>
      <c r="K106" s="141" t="n">
        <v>0.5855400437691201</v>
      </c>
      <c r="L106" s="141" t="n">
        <v>0.00937476845943489</v>
      </c>
      <c r="M106" s="121">
        <f>IF(OR(K106="",L106=""),"",IF(AND(L106&lt;0.05,OR(AND(J106="升高改善",K106&gt;0),AND(J106="降低改善",K106&lt;0))),"校正","不校正"))</f>
        <v/>
      </c>
      <c r="N106" s="119" t="inlineStr">
        <is>
          <t>Figure 3，PDF9/677，自上而下第3面板，实心菱形</t>
        </is>
      </c>
    </row>
    <row r="107" ht="45" customHeight="1" s="111">
      <c r="A107" s="121" t="inlineStr">
        <is>
          <t>K198</t>
        </is>
      </c>
      <c r="B107" s="121" t="inlineStr">
        <is>
          <t>030-滚雪球</t>
        </is>
      </c>
      <c r="C107" s="121" t="inlineStr">
        <is>
          <t>Ferris</t>
        </is>
      </c>
      <c r="D107" s="140" t="inlineStr">
        <is>
          <t>维持</t>
        </is>
      </c>
      <c r="E107" s="119" t="inlineStr">
        <is>
          <t>Baseline vs Maintenance（训练情境）</t>
        </is>
      </c>
      <c r="F107" s="119" t="inlineStr">
        <is>
          <t>0, 0, 0, 0, 0, 0, 0, 0, 0, 0, 0, 0, 25, 25, 25</t>
        </is>
      </c>
      <c r="G107" s="121">
        <f>IF(F107="","",LEN(F107)-LEN(SUBSTITUTE(F107,",",""))+1)</f>
        <v/>
      </c>
      <c r="H107" s="119" t="inlineStr">
        <is>
          <t>100, 100, 75, 100, 100, 100, 100, 100, 100</t>
        </is>
      </c>
      <c r="I107" s="121">
        <f>IF(H107="","",LEN(H107)-LEN(SUBSTITUTE(H107,",",""))+1)</f>
        <v/>
      </c>
      <c r="J107" s="140" t="inlineStr">
        <is>
          <t>升高改善</t>
        </is>
      </c>
      <c r="K107" s="141" t="n">
        <v>0.5855400437691201</v>
      </c>
      <c r="L107" s="141" t="n">
        <v>0.00937476845943489</v>
      </c>
      <c r="M107" s="121">
        <f>IF(OR(K107="",L107=""),"",IF(AND(L107&lt;0.05,OR(AND(J107="升高改善",K107&gt;0),AND(J107="降低改善",K107&lt;0))),"校正","不校正"))</f>
        <v/>
      </c>
      <c r="N107" s="119" t="inlineStr">
        <is>
          <t>Figure 3，PDF9/677，自上而下第3面板，实心菱形</t>
        </is>
      </c>
    </row>
    <row r="108" ht="45" customHeight="1" s="111">
      <c r="A108" s="121" t="inlineStr">
        <is>
          <t>K199</t>
        </is>
      </c>
      <c r="B108" s="121" t="inlineStr">
        <is>
          <t>030-滚雪球</t>
        </is>
      </c>
      <c r="C108" s="121" t="inlineStr">
        <is>
          <t>Ferris</t>
        </is>
      </c>
      <c r="D108" s="140" t="inlineStr">
        <is>
          <t>干预</t>
        </is>
      </c>
      <c r="E108" s="119" t="inlineStr">
        <is>
          <t>Baseline vs Intervention</t>
        </is>
      </c>
      <c r="F108" s="119" t="inlineStr">
        <is>
          <t>40, 20, 20, 40, 40, 40, 40, 40, 40, 20, 40, 40, 20, 40, 40</t>
        </is>
      </c>
      <c r="G108" s="121">
        <f>IF(F108="","",LEN(F108)-LEN(SUBSTITUTE(F108,",",""))+1)</f>
        <v/>
      </c>
      <c r="H108" s="119" t="inlineStr">
        <is>
          <t>80, 80, 80, 100, 100, 100, 100, 100, 100</t>
        </is>
      </c>
      <c r="I108" s="121">
        <f>IF(H108="","",LEN(H108)-LEN(SUBSTITUTE(H108,",",""))+1)</f>
        <v/>
      </c>
      <c r="J108" s="140" t="inlineStr">
        <is>
          <t>升高改善</t>
        </is>
      </c>
      <c r="K108" s="141" t="n">
        <v>0.1176979772673</v>
      </c>
      <c r="L108" s="141" t="n">
        <v>0.60150813444059</v>
      </c>
      <c r="M108" s="121">
        <f>IF(OR(K108="",L108=""),"",IF(AND(L108&lt;0.05,OR(AND(J108="升高改善",K108&gt;0),AND(J108="降低改善",K108&lt;0))),"校正","不校正"))</f>
        <v/>
      </c>
      <c r="N108" s="119" t="inlineStr">
        <is>
          <t>Figure 3，PDF9/677，自上而下第4面板，实心菱形</t>
        </is>
      </c>
    </row>
    <row r="109" ht="45" customHeight="1" s="111">
      <c r="A109" s="121" t="inlineStr">
        <is>
          <t>K220</t>
        </is>
      </c>
      <c r="B109" s="121" t="inlineStr">
        <is>
          <t>032-二次</t>
        </is>
      </c>
      <c r="C109" s="121" t="inlineStr">
        <is>
          <t>Jacob</t>
        </is>
      </c>
      <c r="D109" s="140" t="inlineStr">
        <is>
          <t>干预</t>
        </is>
      </c>
      <c r="E109" s="119" t="inlineStr">
        <is>
          <t>BL vs INT</t>
        </is>
      </c>
      <c r="F109" s="136" t="inlineStr">
        <is>
          <t>7, 10, 8</t>
        </is>
      </c>
      <c r="G109" s="127">
        <f>IF(F109="","",LEN(F109)-LEN(SUBSTITUTE(F109,",",""))+1)</f>
        <v/>
      </c>
      <c r="H109" s="136" t="inlineStr">
        <is>
          <t>27, 13, 49, 7.8, 25, 90, 55, 32, 38</t>
        </is>
      </c>
      <c r="I109" s="127">
        <f>IF(H109="","",LEN(H109)-LEN(SUBSTITUTE(H109,",",""))+1)</f>
        <v/>
      </c>
      <c r="J109" s="144" t="inlineStr">
        <is>
          <t>升高改善</t>
        </is>
      </c>
      <c r="K109" s="145" t="n">
        <v>0.3333333333333334</v>
      </c>
      <c r="L109" s="145" t="n">
        <v>1</v>
      </c>
      <c r="M109" s="127">
        <f>IF(OR(K109="",L109=""),"",IF(AND(L109&lt;0.05,OR(AND(J109="升高改善",K109&gt;0),AND(J109="降低改善",K109&lt;0))),"校正","不校正"))</f>
        <v/>
      </c>
      <c r="N109" s="119" t="inlineStr">
        <is>
          <t>Figure1，PDF8（原文在线页码8），自上而下第1面板 Jacob；符号见原图图例</t>
        </is>
      </c>
    </row>
    <row r="110" ht="45" customHeight="1" s="111">
      <c r="A110" s="121" t="inlineStr">
        <is>
          <t>K221</t>
        </is>
      </c>
      <c r="B110" s="121" t="inlineStr">
        <is>
          <t>032-二次</t>
        </is>
      </c>
      <c r="C110" s="121" t="inlineStr">
        <is>
          <t>Jacob</t>
        </is>
      </c>
      <c r="D110" s="140" t="inlineStr">
        <is>
          <t>维持</t>
        </is>
      </c>
      <c r="E110" s="119" t="inlineStr">
        <is>
          <t>BL vs FU（课程结束约5周后）</t>
        </is>
      </c>
      <c r="F110" s="119" t="inlineStr">
        <is>
          <t>7, 10, 8</t>
        </is>
      </c>
      <c r="G110" s="121">
        <f>IF(F110="","",LEN(F110)-LEN(SUBSTITUTE(F110,",",""))+1)</f>
        <v/>
      </c>
      <c r="H110" s="119" t="inlineStr">
        <is>
          <t>31, 34, 37</t>
        </is>
      </c>
      <c r="I110" s="121">
        <f>IF(H110="","",LEN(H110)-LEN(SUBSTITUTE(H110,",",""))+1)</f>
        <v/>
      </c>
      <c r="J110" s="140" t="inlineStr">
        <is>
          <t>升高改善</t>
        </is>
      </c>
      <c r="K110" s="141" t="n">
        <v>0.333333333333333</v>
      </c>
      <c r="L110" s="141" t="n">
        <v>1</v>
      </c>
      <c r="M110" s="121">
        <f>IF(OR(K110="",L110=""),"",IF(AND(L110&lt;0.05,OR(AND(J110="升高改善",K110&gt;0),AND(J110="降低改善",K110&lt;0))),"校正","不校正"))</f>
        <v/>
      </c>
      <c r="N110" s="119" t="inlineStr">
        <is>
          <t>Figure1，PDF8（原文在线页码8），自上而下第1面板 Jacob；符号见原图图例</t>
        </is>
      </c>
    </row>
    <row r="111" ht="45" customHeight="1" s="111">
      <c r="A111" s="121" t="inlineStr">
        <is>
          <t>K222</t>
        </is>
      </c>
      <c r="B111" s="121" t="inlineStr">
        <is>
          <t>032-二次</t>
        </is>
      </c>
      <c r="C111" s="121" t="inlineStr">
        <is>
          <t>Carl</t>
        </is>
      </c>
      <c r="D111" s="140" t="inlineStr">
        <is>
          <t>干预</t>
        </is>
      </c>
      <c r="E111" s="119" t="inlineStr">
        <is>
          <t>BL vs INT</t>
        </is>
      </c>
      <c r="F111" s="136" t="inlineStr">
        <is>
          <t>2, 10, 5</t>
        </is>
      </c>
      <c r="G111" s="127">
        <f>IF(F111="","",LEN(F111)-LEN(SUBSTITUTE(F111,",",""))+1)</f>
        <v/>
      </c>
      <c r="H111" s="136" t="inlineStr">
        <is>
          <t>27, 42, 28, 35, 19, 33, 62, 26, 63, 43, 42</t>
        </is>
      </c>
      <c r="I111" s="127">
        <f>IF(H111="","",LEN(H111)-LEN(SUBSTITUTE(H111,",",""))+1)</f>
        <v/>
      </c>
      <c r="J111" s="144" t="inlineStr">
        <is>
          <t>升高改善</t>
        </is>
      </c>
      <c r="K111" s="145" t="n">
        <v>0.3333333333333334</v>
      </c>
      <c r="L111" s="145" t="n">
        <v>1</v>
      </c>
      <c r="M111" s="127">
        <f>IF(OR(K111="",L111=""),"",IF(AND(L111&lt;0.05,OR(AND(J111="升高改善",K111&gt;0),AND(J111="降低改善",K111&lt;0))),"校正","不校正"))</f>
        <v/>
      </c>
      <c r="N111" s="119" t="inlineStr">
        <is>
          <t>Figure1，PDF8（原文在线页码8），自上而下第2面板 Carl；符号见原图图例</t>
        </is>
      </c>
    </row>
    <row r="112" ht="45" customHeight="1" s="111">
      <c r="A112" s="121" t="inlineStr">
        <is>
          <t>K223</t>
        </is>
      </c>
      <c r="B112" s="121" t="inlineStr">
        <is>
          <t>032-二次</t>
        </is>
      </c>
      <c r="C112" s="121" t="inlineStr">
        <is>
          <t>Carl</t>
        </is>
      </c>
      <c r="D112" s="140" t="inlineStr">
        <is>
          <t>维持</t>
        </is>
      </c>
      <c r="E112" s="119" t="inlineStr">
        <is>
          <t>BL vs FU（课程结束约5周后）</t>
        </is>
      </c>
      <c r="F112" s="119" t="inlineStr">
        <is>
          <t>2, 10, 5</t>
        </is>
      </c>
      <c r="G112" s="121">
        <f>IF(F112="","",LEN(F112)-LEN(SUBSTITUTE(F112,",",""))+1)</f>
        <v/>
      </c>
      <c r="H112" s="119" t="inlineStr">
        <is>
          <t>67, 40, 48</t>
        </is>
      </c>
      <c r="I112" s="121">
        <f>IF(H112="","",LEN(H112)-LEN(SUBSTITUTE(H112,",",""))+1)</f>
        <v/>
      </c>
      <c r="J112" s="140" t="inlineStr">
        <is>
          <t>升高改善</t>
        </is>
      </c>
      <c r="K112" s="141" t="n">
        <v>0.333333333333333</v>
      </c>
      <c r="L112" s="141" t="n">
        <v>1</v>
      </c>
      <c r="M112" s="121">
        <f>IF(OR(K112="",L112=""),"",IF(AND(L112&lt;0.05,OR(AND(J112="升高改善",K112&gt;0),AND(J112="降低改善",K112&lt;0))),"校正","不校正"))</f>
        <v/>
      </c>
      <c r="N112" s="119" t="inlineStr">
        <is>
          <t>Figure1，PDF8（原文在线页码8），自上而下第2面板 Carl；符号见原图图例</t>
        </is>
      </c>
    </row>
    <row r="113" ht="45" customHeight="1" s="111">
      <c r="A113" s="121" t="inlineStr">
        <is>
          <t>K224</t>
        </is>
      </c>
      <c r="B113" s="121" t="inlineStr">
        <is>
          <t>032-二次</t>
        </is>
      </c>
      <c r="C113" s="121" t="inlineStr">
        <is>
          <t>Edgar</t>
        </is>
      </c>
      <c r="D113" s="140" t="inlineStr">
        <is>
          <t>干预</t>
        </is>
      </c>
      <c r="E113" s="119" t="inlineStr">
        <is>
          <t>BL vs INT</t>
        </is>
      </c>
      <c r="F113" s="136" t="inlineStr">
        <is>
          <t>17, 27, 60, 15, 14</t>
        </is>
      </c>
      <c r="G113" s="127">
        <f>IF(F113="","",LEN(F113)-LEN(SUBSTITUTE(F113,",",""))+1)</f>
        <v/>
      </c>
      <c r="H113" s="136" t="inlineStr">
        <is>
          <t>51, 74, 75, 68, 68, 57, 79, 82</t>
        </is>
      </c>
      <c r="I113" s="127">
        <f>IF(H113="","",LEN(H113)-LEN(SUBSTITUTE(H113,",",""))+1)</f>
        <v/>
      </c>
      <c r="J113" s="144" t="inlineStr">
        <is>
          <t>升高改善</t>
        </is>
      </c>
      <c r="K113" s="145" t="n">
        <v>-0.4</v>
      </c>
      <c r="L113" s="145" t="n">
        <v>0.4833333333333333</v>
      </c>
      <c r="M113" s="127">
        <f>IF(OR(K113="",L113=""),"",IF(AND(L113&lt;0.05,OR(AND(J113="升高改善",K113&gt;0),AND(J113="降低改善",K113&lt;0))),"校正","不校正"))</f>
        <v/>
      </c>
      <c r="N113" s="119" t="inlineStr">
        <is>
          <t>Figure1，PDF8（原文在线页码8），自上而下第3面板 Edgar；符号见原图图例</t>
        </is>
      </c>
    </row>
    <row r="114" ht="45" customHeight="1" s="111">
      <c r="A114" s="121" t="inlineStr">
        <is>
          <t>K225</t>
        </is>
      </c>
      <c r="B114" s="121" t="inlineStr">
        <is>
          <t>032-二次</t>
        </is>
      </c>
      <c r="C114" s="121" t="inlineStr">
        <is>
          <t>Edgar</t>
        </is>
      </c>
      <c r="D114" s="140" t="inlineStr">
        <is>
          <t>维持</t>
        </is>
      </c>
      <c r="E114" s="119" t="inlineStr">
        <is>
          <t>BL vs FU（课程结束约5周后）</t>
        </is>
      </c>
      <c r="F114" s="119" t="inlineStr">
        <is>
          <t>17, 27, 60, 15, 14</t>
        </is>
      </c>
      <c r="G114" s="121">
        <f>IF(F114="","",LEN(F114)-LEN(SUBSTITUTE(F114,",",""))+1)</f>
        <v/>
      </c>
      <c r="H114" s="119" t="inlineStr">
        <is>
          <t>60, 65, 60</t>
        </is>
      </c>
      <c r="I114" s="121">
        <f>IF(H114="","",LEN(H114)-LEN(SUBSTITUTE(H114,",",""))+1)</f>
        <v/>
      </c>
      <c r="J114" s="140" t="inlineStr">
        <is>
          <t>升高改善</t>
        </is>
      </c>
      <c r="K114" s="141" t="n">
        <v>-0.4</v>
      </c>
      <c r="L114" s="141" t="n">
        <v>0.483333333333333</v>
      </c>
      <c r="M114" s="121">
        <f>IF(OR(K114="",L114=""),"",IF(AND(L114&lt;0.05,OR(AND(J114="升高改善",K114&gt;0),AND(J114="降低改善",K114&lt;0))),"校正","不校正"))</f>
        <v/>
      </c>
      <c r="N114" s="119" t="inlineStr">
        <is>
          <t>Figure1，PDF8（原文在线页码8），自上而下第3面板 Edgar；符号见原图图例</t>
        </is>
      </c>
    </row>
    <row r="115" ht="45" customHeight="1" s="111">
      <c r="A115" s="121" t="inlineStr">
        <is>
          <t>K226</t>
        </is>
      </c>
      <c r="B115" s="121" t="inlineStr">
        <is>
          <t>032-二次</t>
        </is>
      </c>
      <c r="C115" s="121" t="inlineStr">
        <is>
          <t>Dylan</t>
        </is>
      </c>
      <c r="D115" s="140" t="inlineStr">
        <is>
          <t>干预</t>
        </is>
      </c>
      <c r="E115" s="119" t="inlineStr">
        <is>
          <t>BL vs INT</t>
        </is>
      </c>
      <c r="F115" s="136" t="inlineStr">
        <is>
          <t>33, 2, 5, 0, 0, 3, 2</t>
        </is>
      </c>
      <c r="G115" s="127">
        <f>IF(F115="","",LEN(F115)-LEN(SUBSTITUTE(F115,",",""))+1)</f>
        <v/>
      </c>
      <c r="H115" s="136" t="inlineStr">
        <is>
          <t>16, 49, 37, 39, 30, 68, 48, 37, 45, 58</t>
        </is>
      </c>
      <c r="I115" s="127">
        <f>IF(H115="","",LEN(H115)-LEN(SUBSTITUTE(H115,",",""))+1)</f>
        <v/>
      </c>
      <c r="J115" s="144" t="inlineStr">
        <is>
          <t>升高改善</t>
        </is>
      </c>
      <c r="K115" s="145" t="n">
        <v>-0.3504383220252312</v>
      </c>
      <c r="L115" s="145" t="n">
        <v>0.2819887144992868</v>
      </c>
      <c r="M115" s="127">
        <f>IF(OR(K115="",L115=""),"",IF(AND(L115&lt;0.05,OR(AND(J115="升高改善",K115&gt;0),AND(J115="降低改善",K115&lt;0))),"校正","不校正"))</f>
        <v/>
      </c>
      <c r="N115" s="119" t="inlineStr">
        <is>
          <t>Figure1，PDF8（原文在线页码8），自上而下第4面板 Dylan；符号见原图图例</t>
        </is>
      </c>
    </row>
    <row r="116" ht="45" customHeight="1" s="111">
      <c r="A116" s="121" t="inlineStr">
        <is>
          <t>K227</t>
        </is>
      </c>
      <c r="B116" s="121" t="inlineStr">
        <is>
          <t>032-二次</t>
        </is>
      </c>
      <c r="C116" s="121" t="inlineStr">
        <is>
          <t>Dylan</t>
        </is>
      </c>
      <c r="D116" s="140" t="inlineStr">
        <is>
          <t>维持</t>
        </is>
      </c>
      <c r="E116" s="119" t="inlineStr">
        <is>
          <t>BL vs FU（课程结束约5周后）</t>
        </is>
      </c>
      <c r="F116" s="119" t="inlineStr">
        <is>
          <t>33, 2, 5, 0, 0, 3, 2</t>
        </is>
      </c>
      <c r="G116" s="121">
        <f>IF(F116="","",LEN(F116)-LEN(SUBSTITUTE(F116,",",""))+1)</f>
        <v/>
      </c>
      <c r="H116" s="119" t="inlineStr">
        <is>
          <t>38, 38, 7, 33</t>
        </is>
      </c>
      <c r="I116" s="121">
        <f>IF(H116="","",LEN(H116)-LEN(SUBSTITUTE(H116,",",""))+1)</f>
        <v/>
      </c>
      <c r="J116" s="140" t="inlineStr">
        <is>
          <t>升高改善</t>
        </is>
      </c>
      <c r="K116" s="141" t="n">
        <v>-0.350438322025231</v>
      </c>
      <c r="L116" s="141" t="n">
        <v>0.281988714499287</v>
      </c>
      <c r="M116" s="121">
        <f>IF(OR(K116="",L116=""),"",IF(AND(L116&lt;0.05,OR(AND(J116="升高改善",K116&gt;0),AND(J116="降低改善",K116&lt;0))),"校正","不校正"))</f>
        <v/>
      </c>
      <c r="N116" s="119" t="inlineStr">
        <is>
          <t>Figure1，PDF8（原文在线页码8），自上而下第4面板 Dylan；符号见原图图例</t>
        </is>
      </c>
    </row>
    <row r="117" ht="45" customHeight="1" s="111">
      <c r="A117" s="121" t="inlineStr">
        <is>
          <t>K228</t>
        </is>
      </c>
      <c r="B117" s="121" t="inlineStr">
        <is>
          <t>032-二次</t>
        </is>
      </c>
      <c r="C117" s="121" t="inlineStr">
        <is>
          <t>Louis</t>
        </is>
      </c>
      <c r="D117" s="140" t="inlineStr">
        <is>
          <t>干预</t>
        </is>
      </c>
      <c r="E117" s="119" t="inlineStr">
        <is>
          <t>BL vs INT</t>
        </is>
      </c>
      <c r="F117" s="136" t="inlineStr">
        <is>
          <t>56, 15, 11, 11, 13, 14, 22, 61, 8, 12</t>
        </is>
      </c>
      <c r="G117" s="127">
        <f>IF(F117="","",LEN(F117)-LEN(SUBSTITUTE(F117,",",""))+1)</f>
        <v/>
      </c>
      <c r="H117" s="136" t="inlineStr">
        <is>
          <t>56, 50, 50, 60, 71, 65, 68</t>
        </is>
      </c>
      <c r="I117" s="127">
        <f>IF(H117="","",LEN(H117)-LEN(SUBSTITUTE(H117,",",""))+1)</f>
        <v/>
      </c>
      <c r="J117" s="144" t="inlineStr">
        <is>
          <t>升高改善</t>
        </is>
      </c>
      <c r="K117" s="145" t="n">
        <v>-0.08989331499509895</v>
      </c>
      <c r="L117" s="145" t="n">
        <v>0.7194375444233914</v>
      </c>
      <c r="M117" s="127">
        <f>IF(OR(K117="",L117=""),"",IF(AND(L117&lt;0.05,OR(AND(J117="升高改善",K117&gt;0),AND(J117="降低改善",K117&lt;0))),"校正","不校正"))</f>
        <v/>
      </c>
      <c r="N117" s="119" t="inlineStr">
        <is>
          <t>Figure1，PDF8（原文在线页码8），自上而下第5面板 Louis；符号见原图图例</t>
        </is>
      </c>
    </row>
    <row r="118" ht="45" customHeight="1" s="111">
      <c r="A118" s="121" t="inlineStr">
        <is>
          <t>K229</t>
        </is>
      </c>
      <c r="B118" s="121" t="inlineStr">
        <is>
          <t>034-二次</t>
        </is>
      </c>
      <c r="C118" s="121" t="inlineStr">
        <is>
          <t>Matthew</t>
        </is>
      </c>
      <c r="D118" s="140" t="inlineStr">
        <is>
          <t>干预</t>
        </is>
      </c>
      <c r="E118" s="118" t="inlineStr">
        <is>
          <t>诊室基线 vs Social Stories＋Video Modeling 期</t>
        </is>
      </c>
      <c r="F118" s="119" t="inlineStr">
        <is>
          <t>6, 0, 13</t>
        </is>
      </c>
      <c r="G118" s="121">
        <f>IF(F118="","",LEN(F118)-LEN(SUBSTITUTE(F118,",",""))+1)</f>
        <v/>
      </c>
      <c r="H118" s="119" t="inlineStr">
        <is>
          <t>67, 87, 100, 100, 96, 100, 100, 100, 93, 100, 100, 100, 100, 100, 100, 100, 100</t>
        </is>
      </c>
      <c r="I118" s="121">
        <f>IF(H118="","",LEN(H118)-LEN(SUBSTITUTE(H118,",",""))+1)</f>
        <v/>
      </c>
      <c r="J118" s="140" t="inlineStr">
        <is>
          <t>升高改善</t>
        </is>
      </c>
      <c r="K118" s="141" t="n">
        <v>0.333333333333333</v>
      </c>
      <c r="L118" s="141" t="n">
        <v>1</v>
      </c>
      <c r="M118" s="121">
        <f>IF(OR(K118="",L118=""),"",IF(AND(L118&lt;0.05,OR(AND(J118="升高改善",K118&gt;0),AND(J118="降低改善",K118&lt;0))),"校正","不校正"))</f>
        <v/>
      </c>
      <c r="N118" s="118" t="inlineStr">
        <is>
          <t>Fig1 PDF3／印刷397，自上而下第1面板，Clinic系列；符号见原图图例</t>
        </is>
      </c>
    </row>
    <row r="119" ht="45" customHeight="1" s="111">
      <c r="A119" s="121" t="inlineStr">
        <is>
          <t>K230</t>
        </is>
      </c>
      <c r="B119" s="121" t="inlineStr">
        <is>
          <t>034-二次</t>
        </is>
      </c>
      <c r="C119" s="121" t="inlineStr">
        <is>
          <t>Matthew</t>
        </is>
      </c>
      <c r="D119" s="140" t="inlineStr">
        <is>
          <t>干预</t>
        </is>
      </c>
      <c r="E119" s="118" t="inlineStr">
        <is>
          <t>诊室基线 vs Social Stories＋Video Modeling 期</t>
        </is>
      </c>
      <c r="F119" s="119" t="inlineStr">
        <is>
          <t>3, 0, 0, 0, 0</t>
        </is>
      </c>
      <c r="G119" s="121">
        <f>IF(F119="","",LEN(F119)-LEN(SUBSTITUTE(F119,",",""))+1)</f>
        <v/>
      </c>
      <c r="H119" s="119" t="inlineStr">
        <is>
          <t>9, 9, 3, 23, 0, 0, 0, 0, 0, 3, 3, 17, 40, 10, 0</t>
        </is>
      </c>
      <c r="I119" s="121">
        <f>IF(H119="","",LEN(H119)-LEN(SUBSTITUTE(H119,",",""))+1)</f>
        <v/>
      </c>
      <c r="J119" s="140" t="inlineStr">
        <is>
          <t>升高改善</t>
        </is>
      </c>
      <c r="K119" s="141" t="n">
        <v>-0.632455532033676</v>
      </c>
      <c r="L119" s="141" t="n">
        <v>0.157299207050285</v>
      </c>
      <c r="M119" s="121">
        <f>IF(OR(K119="",L119=""),"",IF(AND(L119&lt;0.05,OR(AND(J119="升高改善",K119&gt;0),AND(J119="降低改善",K119&lt;0))),"校正","不校正"))</f>
        <v/>
      </c>
      <c r="N119" s="118" t="inlineStr">
        <is>
          <t>Fig1 PDF3／印刷397，自上而下第2面板，Clinic系列；符号见原图图例</t>
        </is>
      </c>
    </row>
    <row r="120" ht="45" customHeight="1" s="111">
      <c r="A120" s="121" t="inlineStr">
        <is>
          <t>K231</t>
        </is>
      </c>
      <c r="B120" s="121" t="inlineStr">
        <is>
          <t>034-二次</t>
        </is>
      </c>
      <c r="C120" s="121" t="inlineStr">
        <is>
          <t>Matthew</t>
        </is>
      </c>
      <c r="D120" s="140" t="inlineStr">
        <is>
          <t>干预</t>
        </is>
      </c>
      <c r="E120" s="118" t="inlineStr">
        <is>
          <t>诊室基线 vs Social Stories＋Video Modeling 期</t>
        </is>
      </c>
      <c r="F120" s="119" t="inlineStr">
        <is>
          <t>3, 0, 0, 0, 0, 0, 0, 3, 3, 0</t>
        </is>
      </c>
      <c r="G120" s="121">
        <f>IF(F120="","",LEN(F120)-LEN(SUBSTITUTE(F120,",",""))+1)</f>
        <v/>
      </c>
      <c r="H120" s="119" t="inlineStr">
        <is>
          <t>7, 23, 34, 20, 52, 27, 30, 45, 27, 40</t>
        </is>
      </c>
      <c r="I120" s="121">
        <f>IF(H120="","",LEN(H120)-LEN(SUBSTITUTE(H120,",",""))+1)</f>
        <v/>
      </c>
      <c r="J120" s="140" t="inlineStr">
        <is>
          <t>升高改善</t>
        </is>
      </c>
      <c r="K120" s="141" t="n">
        <v>0.0975900072948533</v>
      </c>
      <c r="L120" s="141" t="n">
        <v>0.732439899903872</v>
      </c>
      <c r="M120" s="121">
        <f>IF(OR(K120="",L120=""),"",IF(AND(L120&lt;0.05,OR(AND(J120="升高改善",K120&gt;0),AND(J120="降低改善",K120&lt;0))),"校正","不校正"))</f>
        <v/>
      </c>
      <c r="N120" s="118" t="inlineStr">
        <is>
          <t>Fig1 PDF3／印刷397，自上而下第3面板，Clinic系列；符号见原图图例</t>
        </is>
      </c>
    </row>
    <row r="121" ht="45" customHeight="1" s="111">
      <c r="A121" s="121" t="inlineStr">
        <is>
          <t>K232</t>
        </is>
      </c>
      <c r="B121" s="121" t="inlineStr">
        <is>
          <t>035-二次</t>
        </is>
      </c>
      <c r="C121" s="121" t="inlineStr">
        <is>
          <t>James</t>
        </is>
      </c>
      <c r="D121" s="140" t="inlineStr">
        <is>
          <t>干预</t>
        </is>
      </c>
      <c r="E121" s="119" t="inlineStr">
        <is>
          <t>BL vs INT</t>
        </is>
      </c>
      <c r="F121" s="119" t="inlineStr">
        <is>
          <t>0, 0, 0</t>
        </is>
      </c>
      <c r="G121" s="121">
        <f>IF(F121="","",LEN(F121)-LEN(SUBSTITUTE(F121,",",""))+1)</f>
        <v/>
      </c>
      <c r="H121" s="119" t="inlineStr">
        <is>
          <t>40, 0, 60, 0, 60, 80, 60, 0, 60, 80, 100</t>
        </is>
      </c>
      <c r="I121" s="121">
        <f>IF(H121="","",LEN(H121)-LEN(SUBSTITUTE(H121,",",""))+1)</f>
        <v/>
      </c>
      <c r="J121" s="140" t="inlineStr">
        <is>
          <t>升高改善</t>
        </is>
      </c>
      <c r="K121" s="141" t="n">
        <v>0</v>
      </c>
      <c r="L121" s="141" t="n">
        <v>1</v>
      </c>
      <c r="M121" s="121">
        <f>IF(OR(K121="",L121=""),"",IF(AND(L121&lt;0.05,OR(AND(J121="升高改善",K121&gt;0),AND(J121="降低改善",K121&lt;0))),"校正","不校正"))</f>
        <v/>
      </c>
      <c r="N121" s="119" t="inlineStr">
        <is>
          <t>Figure1，PDF15/246，自上而下第1面板，实心圆</t>
        </is>
      </c>
    </row>
    <row r="122" ht="45" customHeight="1" s="111">
      <c r="A122" s="121" t="inlineStr">
        <is>
          <t>K233</t>
        </is>
      </c>
      <c r="B122" s="121" t="inlineStr">
        <is>
          <t>035-二次</t>
        </is>
      </c>
      <c r="C122" s="121" t="inlineStr">
        <is>
          <t>James</t>
        </is>
      </c>
      <c r="D122" s="140" t="inlineStr">
        <is>
          <t>维持</t>
        </is>
      </c>
      <c r="E122" s="119" t="inlineStr">
        <is>
          <t>BL vs MT（训练情境）</t>
        </is>
      </c>
      <c r="F122" s="119" t="inlineStr">
        <is>
          <t>0, 0, 0</t>
        </is>
      </c>
      <c r="G122" s="121">
        <f>IF(F122="","",LEN(F122)-LEN(SUBSTITUTE(F122,",",""))+1)</f>
        <v/>
      </c>
      <c r="H122" s="119" t="inlineStr">
        <is>
          <t>40, 40, 80, 80, 20, 20, 40</t>
        </is>
      </c>
      <c r="I122" s="121">
        <f>IF(H122="","",LEN(H122)-LEN(SUBSTITUTE(H122,",",""))+1)</f>
        <v/>
      </c>
      <c r="J122" s="140" t="inlineStr">
        <is>
          <t>升高改善</t>
        </is>
      </c>
      <c r="K122" s="141" t="n">
        <v>0</v>
      </c>
      <c r="L122" s="141" t="n">
        <v>1</v>
      </c>
      <c r="M122" s="121">
        <f>IF(OR(K122="",L122=""),"",IF(AND(L122&lt;0.05,OR(AND(J122="升高改善",K122&gt;0),AND(J122="降低改善",K122&lt;0))),"校正","不校正"))</f>
        <v/>
      </c>
      <c r="N122" s="119" t="inlineStr">
        <is>
          <t>Figure1，PDF15/246，自上而下第1面板，实心圆</t>
        </is>
      </c>
    </row>
    <row r="123" ht="45" customHeight="1" s="111">
      <c r="A123" s="121" t="inlineStr">
        <is>
          <t>K234</t>
        </is>
      </c>
      <c r="B123" s="121" t="inlineStr">
        <is>
          <t>035-二次</t>
        </is>
      </c>
      <c r="C123" s="121" t="inlineStr">
        <is>
          <t>James</t>
        </is>
      </c>
      <c r="D123" s="140" t="inlineStr">
        <is>
          <t>泛化</t>
        </is>
      </c>
      <c r="E123" s="118" t="inlineStr">
        <is>
          <t>泛化 BL vs INT 期泛化探测（空心符号）</t>
        </is>
      </c>
      <c r="F123" s="119" t="inlineStr">
        <is>
          <t>0, 0, 0</t>
        </is>
      </c>
      <c r="G123" s="121">
        <f>IF(F123="","",LEN(F123)-LEN(SUBSTITUTE(F123,",",""))+1)</f>
        <v/>
      </c>
      <c r="H123" s="119" t="inlineStr">
        <is>
          <t>80, 60, 80</t>
        </is>
      </c>
      <c r="I123" s="121">
        <f>IF(H123="","",LEN(H123)-LEN(SUBSTITUTE(H123,",",""))+1)</f>
        <v/>
      </c>
      <c r="J123" s="140" t="inlineStr">
        <is>
          <t>升高改善</t>
        </is>
      </c>
      <c r="K123" s="141" t="n">
        <v>0</v>
      </c>
      <c r="L123" s="141" t="n">
        <v>1</v>
      </c>
      <c r="M123" s="121">
        <f>IF(OR(K123="",L123=""),"",IF(AND(L123&lt;0.05,OR(AND(J123="升高改善",K123&gt;0),AND(J123="降低改善",K123&lt;0))),"校正","不校正"))</f>
        <v/>
      </c>
      <c r="N123" s="118" t="inlineStr">
        <is>
          <t>Figure1，PDF15/246，自上而下第1面板，空心倒三角</t>
        </is>
      </c>
    </row>
    <row r="124" ht="45" customHeight="1" s="111">
      <c r="A124" s="121" t="inlineStr">
        <is>
          <t>K235</t>
        </is>
      </c>
      <c r="B124" s="121" t="inlineStr">
        <is>
          <t>035-二次</t>
        </is>
      </c>
      <c r="C124" s="121" t="inlineStr">
        <is>
          <t>James</t>
        </is>
      </c>
      <c r="D124" s="140" t="inlineStr">
        <is>
          <t>干预</t>
        </is>
      </c>
      <c r="E124" s="119" t="inlineStr">
        <is>
          <t>BL vs INT</t>
        </is>
      </c>
      <c r="F124" s="119" t="inlineStr">
        <is>
          <t>0, 20, 0, 0, 0, 20, 0</t>
        </is>
      </c>
      <c r="G124" s="121">
        <f>IF(F124="","",LEN(F124)-LEN(SUBSTITUTE(F124,",",""))+1)</f>
        <v/>
      </c>
      <c r="H124" s="119" t="inlineStr">
        <is>
          <t>20, 20, 20, 20, 80</t>
        </is>
      </c>
      <c r="I124" s="121">
        <f>IF(H124="","",LEN(H124)-LEN(SUBSTITUTE(H124,",",""))+1)</f>
        <v/>
      </c>
      <c r="J124" s="140" t="inlineStr">
        <is>
          <t>升高改善</t>
        </is>
      </c>
      <c r="K124" s="141" t="n">
        <v>0</v>
      </c>
      <c r="L124" s="141" t="n">
        <v>1</v>
      </c>
      <c r="M124" s="121">
        <f>IF(OR(K124="",L124=""),"",IF(AND(L124&lt;0.05,OR(AND(J124="升高改善",K124&gt;0),AND(J124="降低改善",K124&lt;0))),"校正","不校正"))</f>
        <v/>
      </c>
      <c r="N124" s="119" t="inlineStr">
        <is>
          <t>Figure1，PDF15/246，自上而下第2面板，实心圆</t>
        </is>
      </c>
    </row>
    <row r="125" ht="45" customHeight="1" s="111">
      <c r="A125" s="121" t="inlineStr">
        <is>
          <t>K236</t>
        </is>
      </c>
      <c r="B125" s="121" t="inlineStr">
        <is>
          <t>035-二次</t>
        </is>
      </c>
      <c r="C125" s="121" t="inlineStr">
        <is>
          <t>James</t>
        </is>
      </c>
      <c r="D125" s="140" t="inlineStr">
        <is>
          <t>维持</t>
        </is>
      </c>
      <c r="E125" s="119" t="inlineStr">
        <is>
          <t>BL vs MT（训练情境）</t>
        </is>
      </c>
      <c r="F125" s="119" t="inlineStr">
        <is>
          <t>0, 20, 0, 0, 0, 20, 0</t>
        </is>
      </c>
      <c r="G125" s="121">
        <f>IF(F125="","",LEN(F125)-LEN(SUBSTITUTE(F125,",",""))+1)</f>
        <v/>
      </c>
      <c r="H125" s="119" t="inlineStr">
        <is>
          <t>20, 80, 0, 80</t>
        </is>
      </c>
      <c r="I125" s="121">
        <f>IF(H125="","",LEN(H125)-LEN(SUBSTITUTE(H125,",",""))+1)</f>
        <v/>
      </c>
      <c r="J125" s="140" t="inlineStr">
        <is>
          <t>升高改善</t>
        </is>
      </c>
      <c r="K125" s="141" t="n">
        <v>0</v>
      </c>
      <c r="L125" s="141" t="n">
        <v>1</v>
      </c>
      <c r="M125" s="121">
        <f>IF(OR(K125="",L125=""),"",IF(AND(L125&lt;0.05,OR(AND(J125="升高改善",K125&gt;0),AND(J125="降低改善",K125&lt;0))),"校正","不校正"))</f>
        <v/>
      </c>
      <c r="N125" s="119" t="inlineStr">
        <is>
          <t>Figure1，PDF15/246，自上而下第2面板，实心圆</t>
        </is>
      </c>
    </row>
    <row r="126" ht="45" customHeight="1" s="111">
      <c r="A126" s="121" t="inlineStr">
        <is>
          <t>K237</t>
        </is>
      </c>
      <c r="B126" s="121" t="inlineStr">
        <is>
          <t>035-二次</t>
        </is>
      </c>
      <c r="C126" s="121" t="inlineStr">
        <is>
          <t>James</t>
        </is>
      </c>
      <c r="D126" s="140" t="inlineStr">
        <is>
          <t>泛化</t>
        </is>
      </c>
      <c r="E126" s="118" t="inlineStr">
        <is>
          <t>泛化 BL vs INT 期泛化探测（空心符号）</t>
        </is>
      </c>
      <c r="F126" s="119" t="inlineStr">
        <is>
          <t>0, 0, 20, 20</t>
        </is>
      </c>
      <c r="G126" s="121">
        <f>IF(F126="","",LEN(F126)-LEN(SUBSTITUTE(F126,",",""))+1)</f>
        <v/>
      </c>
      <c r="H126" s="119" t="inlineStr">
        <is>
          <t>40, 40, 20</t>
        </is>
      </c>
      <c r="I126" s="121">
        <f>IF(H126="","",LEN(H126)-LEN(SUBSTITUTE(H126,",",""))+1)</f>
        <v/>
      </c>
      <c r="J126" s="140" t="inlineStr">
        <is>
          <t>升高改善</t>
        </is>
      </c>
      <c r="K126" s="141" t="n">
        <v>0.816496580927726</v>
      </c>
      <c r="L126" s="141" t="n">
        <v>0.121335250358482</v>
      </c>
      <c r="M126" s="121">
        <f>IF(OR(K126="",L126=""),"",IF(AND(L126&lt;0.05,OR(AND(J126="升高改善",K126&gt;0),AND(J126="降低改善",K126&lt;0))),"校正","不校正"))</f>
        <v/>
      </c>
      <c r="N126" s="118" t="inlineStr">
        <is>
          <t>Figure1，PDF15/246，自上而下第2面板，空心倒三角</t>
        </is>
      </c>
    </row>
    <row r="127" ht="45" customHeight="1" s="111">
      <c r="A127" s="121" t="inlineStr">
        <is>
          <t>K238</t>
        </is>
      </c>
      <c r="B127" s="121" t="inlineStr">
        <is>
          <t>035-二次</t>
        </is>
      </c>
      <c r="C127" s="121" t="inlineStr">
        <is>
          <t>James</t>
        </is>
      </c>
      <c r="D127" s="140" t="inlineStr">
        <is>
          <t>干预</t>
        </is>
      </c>
      <c r="E127" s="119" t="inlineStr">
        <is>
          <t>BL vs INT</t>
        </is>
      </c>
      <c r="F127" s="119" t="inlineStr">
        <is>
          <t>0, 0, 0, 0, 0, 0, 0, 0, 0</t>
        </is>
      </c>
      <c r="G127" s="121">
        <f>IF(F127="","",LEN(F127)-LEN(SUBSTITUTE(F127,",",""))+1)</f>
        <v/>
      </c>
      <c r="H127" s="119" t="inlineStr">
        <is>
          <t>0, 50, 16, 50, 33, 33</t>
        </is>
      </c>
      <c r="I127" s="121">
        <f>IF(H127="","",LEN(H127)-LEN(SUBSTITUTE(H127,",",""))+1)</f>
        <v/>
      </c>
      <c r="J127" s="140" t="inlineStr">
        <is>
          <t>升高改善</t>
        </is>
      </c>
      <c r="K127" s="141" t="n">
        <v>0</v>
      </c>
      <c r="L127" s="141" t="n">
        <v>1</v>
      </c>
      <c r="M127" s="121">
        <f>IF(OR(K127="",L127=""),"",IF(AND(L127&lt;0.05,OR(AND(J127="升高改善",K127&gt;0),AND(J127="降低改善",K127&lt;0))),"校正","不校正"))</f>
        <v/>
      </c>
      <c r="N127" s="119" t="inlineStr">
        <is>
          <t>Figure1，PDF15/246，自上而下第3面板，实心圆</t>
        </is>
      </c>
    </row>
    <row r="128" ht="45" customHeight="1" s="111">
      <c r="A128" s="121" t="inlineStr">
        <is>
          <t>K239</t>
        </is>
      </c>
      <c r="B128" s="121" t="inlineStr">
        <is>
          <t>035-二次</t>
        </is>
      </c>
      <c r="C128" s="121" t="inlineStr">
        <is>
          <t>James</t>
        </is>
      </c>
      <c r="D128" s="140" t="inlineStr">
        <is>
          <t>维持</t>
        </is>
      </c>
      <c r="E128" s="119" t="inlineStr">
        <is>
          <t>BL vs MT（训练情境）</t>
        </is>
      </c>
      <c r="F128" s="119" t="inlineStr">
        <is>
          <t>0, 0, 0, 0, 0, 0, 0, 0, 0</t>
        </is>
      </c>
      <c r="G128" s="121">
        <f>IF(F128="","",LEN(F128)-LEN(SUBSTITUTE(F128,",",""))+1)</f>
        <v/>
      </c>
      <c r="H128" s="119" t="inlineStr">
        <is>
          <t>33, 33, 33</t>
        </is>
      </c>
      <c r="I128" s="121">
        <f>IF(H128="","",LEN(H128)-LEN(SUBSTITUTE(H128,",",""))+1)</f>
        <v/>
      </c>
      <c r="J128" s="140" t="inlineStr">
        <is>
          <t>升高改善</t>
        </is>
      </c>
      <c r="K128" s="141" t="n">
        <v>0</v>
      </c>
      <c r="L128" s="141" t="n">
        <v>1</v>
      </c>
      <c r="M128" s="121">
        <f>IF(OR(K128="",L128=""),"",IF(AND(L128&lt;0.05,OR(AND(J128="升高改善",K128&gt;0),AND(J128="降低改善",K128&lt;0))),"校正","不校正"))</f>
        <v/>
      </c>
      <c r="N128" s="119" t="inlineStr">
        <is>
          <t>Figure1，PDF15/246，自上而下第3面板，实心圆</t>
        </is>
      </c>
    </row>
    <row r="129" ht="45" customHeight="1" s="111">
      <c r="A129" s="121" t="inlineStr">
        <is>
          <t>K240</t>
        </is>
      </c>
      <c r="B129" s="121" t="inlineStr">
        <is>
          <t>035-二次</t>
        </is>
      </c>
      <c r="C129" s="121" t="inlineStr">
        <is>
          <t>James</t>
        </is>
      </c>
      <c r="D129" s="140" t="inlineStr">
        <is>
          <t>泛化</t>
        </is>
      </c>
      <c r="E129" s="118" t="inlineStr">
        <is>
          <t>泛化 BL vs INT 期泛化探测（空心符号）</t>
        </is>
      </c>
      <c r="F129" s="119" t="inlineStr">
        <is>
          <t>0, 0, 0, 0</t>
        </is>
      </c>
      <c r="G129" s="121">
        <f>IF(F129="","",LEN(F129)-LEN(SUBSTITUTE(F129,",",""))+1)</f>
        <v/>
      </c>
      <c r="H129" s="119" t="inlineStr">
        <is>
          <t>33, 50, 0</t>
        </is>
      </c>
      <c r="I129" s="121">
        <f>IF(H129="","",LEN(H129)-LEN(SUBSTITUTE(H129,",",""))+1)</f>
        <v/>
      </c>
      <c r="J129" s="140" t="inlineStr">
        <is>
          <t>升高改善</t>
        </is>
      </c>
      <c r="K129" s="141" t="n">
        <v>0</v>
      </c>
      <c r="L129" s="141" t="n">
        <v>1</v>
      </c>
      <c r="M129" s="121">
        <f>IF(OR(K129="",L129=""),"",IF(AND(L129&lt;0.05,OR(AND(J129="升高改善",K129&gt;0),AND(J129="降低改善",K129&lt;0))),"校正","不校正"))</f>
        <v/>
      </c>
      <c r="N129" s="118" t="inlineStr">
        <is>
          <t>Figure1，PDF15/246，自上而下第3面板，空心倒三角</t>
        </is>
      </c>
    </row>
    <row r="130" ht="45" customHeight="1" s="111">
      <c r="A130" s="121" t="inlineStr">
        <is>
          <t>K241</t>
        </is>
      </c>
      <c r="B130" s="121" t="inlineStr">
        <is>
          <t>035-二次</t>
        </is>
      </c>
      <c r="C130" s="121" t="inlineStr">
        <is>
          <t>James</t>
        </is>
      </c>
      <c r="D130" s="140" t="inlineStr">
        <is>
          <t>干预</t>
        </is>
      </c>
      <c r="E130" s="119" t="inlineStr">
        <is>
          <t>BL vs INT</t>
        </is>
      </c>
      <c r="F130" s="119" t="inlineStr">
        <is>
          <t>0, 0, 0, 0, 50, 25, 0, 0, 0, 0, 0</t>
        </is>
      </c>
      <c r="G130" s="121">
        <f>IF(F130="","",LEN(F130)-LEN(SUBSTITUTE(F130,",",""))+1)</f>
        <v/>
      </c>
      <c r="H130" s="119" t="inlineStr">
        <is>
          <t>50, 25, 0, 50, 25, 50, 25</t>
        </is>
      </c>
      <c r="I130" s="121">
        <f>IF(H130="","",LEN(H130)-LEN(SUBSTITUTE(H130,",",""))+1)</f>
        <v/>
      </c>
      <c r="J130" s="140" t="inlineStr">
        <is>
          <t>升高改善</t>
        </is>
      </c>
      <c r="K130" s="141" t="n">
        <v>-0.0928032337334619</v>
      </c>
      <c r="L130" s="141" t="n">
        <v>0.725495742341154</v>
      </c>
      <c r="M130" s="121">
        <f>IF(OR(K130="",L130=""),"",IF(AND(L130&lt;0.05,OR(AND(J130="升高改善",K130&gt;0),AND(J130="降低改善",K130&lt;0))),"校正","不校正"))</f>
        <v/>
      </c>
      <c r="N130" s="119" t="inlineStr">
        <is>
          <t>Figure1，PDF15/246，自上而下第4面板，实心圆</t>
        </is>
      </c>
    </row>
    <row r="131" ht="45" customHeight="1" s="111">
      <c r="A131" s="121" t="inlineStr">
        <is>
          <t>K242</t>
        </is>
      </c>
      <c r="B131" s="121" t="inlineStr">
        <is>
          <t>035-二次</t>
        </is>
      </c>
      <c r="C131" s="121" t="inlineStr">
        <is>
          <t>James</t>
        </is>
      </c>
      <c r="D131" s="140" t="inlineStr">
        <is>
          <t>泛化</t>
        </is>
      </c>
      <c r="E131" s="118" t="inlineStr">
        <is>
          <t>泛化 BL vs INT 期泛化探测（空心符号）</t>
        </is>
      </c>
      <c r="F131" s="119" t="inlineStr">
        <is>
          <t>0, 0, 0, 0, 0</t>
        </is>
      </c>
      <c r="G131" s="121">
        <f>IF(F131="","",LEN(F131)-LEN(SUBSTITUTE(F131,",",""))+1)</f>
        <v/>
      </c>
      <c r="H131" s="119" t="inlineStr">
        <is>
          <t>25, 25, 50</t>
        </is>
      </c>
      <c r="I131" s="121">
        <f>IF(H131="","",LEN(H131)-LEN(SUBSTITUTE(H131,",",""))+1)</f>
        <v/>
      </c>
      <c r="J131" s="140" t="inlineStr">
        <is>
          <t>升高改善</t>
        </is>
      </c>
      <c r="K131" s="141" t="n">
        <v>0</v>
      </c>
      <c r="L131" s="141" t="n">
        <v>1</v>
      </c>
      <c r="M131" s="121">
        <f>IF(OR(K131="",L131=""),"",IF(AND(L131&lt;0.05,OR(AND(J131="升高改善",K131&gt;0),AND(J131="降低改善",K131&lt;0))),"校正","不校正"))</f>
        <v/>
      </c>
      <c r="N131" s="118" t="inlineStr">
        <is>
          <t>Figure1，PDF15/246，自上而下第4面板，空心倒三角</t>
        </is>
      </c>
    </row>
    <row r="132" ht="45" customHeight="1" s="111">
      <c r="A132" s="121" t="inlineStr">
        <is>
          <t>K243</t>
        </is>
      </c>
      <c r="B132" s="121" t="inlineStr">
        <is>
          <t>035-二次</t>
        </is>
      </c>
      <c r="C132" s="121" t="inlineStr">
        <is>
          <t>Ryan</t>
        </is>
      </c>
      <c r="D132" s="140" t="inlineStr">
        <is>
          <t>干预</t>
        </is>
      </c>
      <c r="E132" s="119" t="inlineStr">
        <is>
          <t>BL vs INT</t>
        </is>
      </c>
      <c r="F132" s="119" t="inlineStr">
        <is>
          <t>40, 40, 40</t>
        </is>
      </c>
      <c r="G132" s="121">
        <f>IF(F132="","",LEN(F132)-LEN(SUBSTITUTE(F132,",",""))+1)</f>
        <v/>
      </c>
      <c r="H132" s="119" t="inlineStr">
        <is>
          <t>100, 100, 80, 80, 100, 100, 100</t>
        </is>
      </c>
      <c r="I132" s="121">
        <f>IF(H132="","",LEN(H132)-LEN(SUBSTITUTE(H132,",",""))+1)</f>
        <v/>
      </c>
      <c r="J132" s="140" t="inlineStr">
        <is>
          <t>升高改善</t>
        </is>
      </c>
      <c r="K132" s="141" t="n">
        <v>0</v>
      </c>
      <c r="L132" s="141" t="n">
        <v>1</v>
      </c>
      <c r="M132" s="121">
        <f>IF(OR(K132="",L132=""),"",IF(AND(L132&lt;0.05,OR(AND(J132="升高改善",K132&gt;0),AND(J132="降低改善",K132&lt;0))),"校正","不校正"))</f>
        <v/>
      </c>
      <c r="N132" s="119" t="inlineStr">
        <is>
          <t>Figure2，PDF16/247，自上而下第1面板，实心圆</t>
        </is>
      </c>
    </row>
    <row r="133" ht="45" customHeight="1" s="111">
      <c r="A133" s="121" t="inlineStr">
        <is>
          <t>K244</t>
        </is>
      </c>
      <c r="B133" s="121" t="inlineStr">
        <is>
          <t>035-二次</t>
        </is>
      </c>
      <c r="C133" s="121" t="inlineStr">
        <is>
          <t>Ryan</t>
        </is>
      </c>
      <c r="D133" s="140" t="inlineStr">
        <is>
          <t>维持</t>
        </is>
      </c>
      <c r="E133" s="119" t="inlineStr">
        <is>
          <t>BL vs MT（训练情境）</t>
        </is>
      </c>
      <c r="F133" s="119" t="inlineStr">
        <is>
          <t>40, 40, 40</t>
        </is>
      </c>
      <c r="G133" s="121">
        <f>IF(F133="","",LEN(F133)-LEN(SUBSTITUTE(F133,",",""))+1)</f>
        <v/>
      </c>
      <c r="H133" s="119" t="inlineStr">
        <is>
          <t>100, 60, 40, 60, 60, 60</t>
        </is>
      </c>
      <c r="I133" s="121">
        <f>IF(H133="","",LEN(H133)-LEN(SUBSTITUTE(H133,",",""))+1)</f>
        <v/>
      </c>
      <c r="J133" s="140" t="inlineStr">
        <is>
          <t>升高改善</t>
        </is>
      </c>
      <c r="K133" s="141" t="n">
        <v>0</v>
      </c>
      <c r="L133" s="141" t="n">
        <v>1</v>
      </c>
      <c r="M133" s="121">
        <f>IF(OR(K133="",L133=""),"",IF(AND(L133&lt;0.05,OR(AND(J133="升高改善",K133&gt;0),AND(J133="降低改善",K133&lt;0))),"校正","不校正"))</f>
        <v/>
      </c>
      <c r="N133" s="119" t="inlineStr">
        <is>
          <t>Figure2，PDF16/247，自上而下第1面板，实心圆</t>
        </is>
      </c>
    </row>
    <row r="134" ht="45" customHeight="1" s="111">
      <c r="A134" s="121" t="inlineStr">
        <is>
          <t>K245</t>
        </is>
      </c>
      <c r="B134" s="121" t="inlineStr">
        <is>
          <t>035-二次</t>
        </is>
      </c>
      <c r="C134" s="121" t="inlineStr">
        <is>
          <t>Ryan</t>
        </is>
      </c>
      <c r="D134" s="140" t="inlineStr">
        <is>
          <t>泛化</t>
        </is>
      </c>
      <c r="E134" s="118" t="inlineStr">
        <is>
          <t>泛化 BL vs INT 期泛化探测（空心符号）</t>
        </is>
      </c>
      <c r="F134" s="119" t="inlineStr">
        <is>
          <t>80, 40, 80</t>
        </is>
      </c>
      <c r="G134" s="121">
        <f>IF(F134="","",LEN(F134)-LEN(SUBSTITUTE(F134,",",""))+1)</f>
        <v/>
      </c>
      <c r="H134" s="119" t="inlineStr">
        <is>
          <t>100, 100, 100</t>
        </is>
      </c>
      <c r="I134" s="121">
        <f>IF(H134="","",LEN(H134)-LEN(SUBSTITUTE(H134,",",""))+1)</f>
        <v/>
      </c>
      <c r="J134" s="140" t="inlineStr">
        <is>
          <t>升高改善</t>
        </is>
      </c>
      <c r="K134" s="141" t="n">
        <v>0</v>
      </c>
      <c r="L134" s="141" t="n">
        <v>1</v>
      </c>
      <c r="M134" s="121">
        <f>IF(OR(K134="",L134=""),"",IF(AND(L134&lt;0.05,OR(AND(J134="升高改善",K134&gt;0),AND(J134="降低改善",K134&lt;0))),"校正","不校正"))</f>
        <v/>
      </c>
      <c r="N134" s="118" t="inlineStr">
        <is>
          <t>Figure2，PDF16/247，自上而下第1面板，空心倒三角</t>
        </is>
      </c>
    </row>
    <row r="135" ht="45" customHeight="1" s="111">
      <c r="A135" s="121" t="inlineStr">
        <is>
          <t>K246</t>
        </is>
      </c>
      <c r="B135" s="121" t="inlineStr">
        <is>
          <t>035-二次</t>
        </is>
      </c>
      <c r="C135" s="121" t="inlineStr">
        <is>
          <t>Ryan</t>
        </is>
      </c>
      <c r="D135" s="140" t="inlineStr">
        <is>
          <t>干预</t>
        </is>
      </c>
      <c r="E135" s="119" t="inlineStr">
        <is>
          <t>BL vs INT</t>
        </is>
      </c>
      <c r="F135" s="119" t="inlineStr">
        <is>
          <t>0, 20, 20, 0, 20, 0, 0</t>
        </is>
      </c>
      <c r="G135" s="121">
        <f>IF(F135="","",LEN(F135)-LEN(SUBSTITUTE(F135,",",""))+1)</f>
        <v/>
      </c>
      <c r="H135" s="119" t="inlineStr">
        <is>
          <t>20, 20, 100, 100, 100</t>
        </is>
      </c>
      <c r="I135" s="121">
        <f>IF(H135="","",LEN(H135)-LEN(SUBSTITUTE(H135,",",""))+1)</f>
        <v/>
      </c>
      <c r="J135" s="140" t="inlineStr">
        <is>
          <t>升高改善</t>
        </is>
      </c>
      <c r="K135" s="141" t="n">
        <v>-0.251976315339485</v>
      </c>
      <c r="L135" s="141" t="n">
        <v>0.479500122186953</v>
      </c>
      <c r="M135" s="121">
        <f>IF(OR(K135="",L135=""),"",IF(AND(L135&lt;0.05,OR(AND(J135="升高改善",K135&gt;0),AND(J135="降低改善",K135&lt;0))),"校正","不校正"))</f>
        <v/>
      </c>
      <c r="N135" s="119" t="inlineStr">
        <is>
          <t>Figure2，PDF16/247，自上而下第2面板，实心圆</t>
        </is>
      </c>
    </row>
    <row r="136" ht="45" customHeight="1" s="111">
      <c r="A136" s="121" t="inlineStr">
        <is>
          <t>K247</t>
        </is>
      </c>
      <c r="B136" s="121" t="inlineStr">
        <is>
          <t>035-二次</t>
        </is>
      </c>
      <c r="C136" s="121" t="inlineStr">
        <is>
          <t>Ryan</t>
        </is>
      </c>
      <c r="D136" s="140" t="inlineStr">
        <is>
          <t>维持</t>
        </is>
      </c>
      <c r="E136" s="119" t="inlineStr">
        <is>
          <t>BL vs MT（训练情境）</t>
        </is>
      </c>
      <c r="F136" s="119" t="inlineStr">
        <is>
          <t>0, 20, 20, 0, 20, 0, 0</t>
        </is>
      </c>
      <c r="G136" s="121">
        <f>IF(F136="","",LEN(F136)-LEN(SUBSTITUTE(F136,",",""))+1)</f>
        <v/>
      </c>
      <c r="H136" s="119" t="inlineStr">
        <is>
          <t>100, 100, 100, 100</t>
        </is>
      </c>
      <c r="I136" s="121">
        <f>IF(H136="","",LEN(H136)-LEN(SUBSTITUTE(H136,",",""))+1)</f>
        <v/>
      </c>
      <c r="J136" s="140" t="inlineStr">
        <is>
          <t>升高改善</t>
        </is>
      </c>
      <c r="K136" s="141" t="n">
        <v>-0.251976315339485</v>
      </c>
      <c r="L136" s="141" t="n">
        <v>0.479500122186953</v>
      </c>
      <c r="M136" s="121">
        <f>IF(OR(K136="",L136=""),"",IF(AND(L136&lt;0.05,OR(AND(J136="升高改善",K136&gt;0),AND(J136="降低改善",K136&lt;0))),"校正","不校正"))</f>
        <v/>
      </c>
      <c r="N136" s="119" t="inlineStr">
        <is>
          <t>Figure2，PDF16/247，自上而下第2面板，实心圆</t>
        </is>
      </c>
    </row>
    <row r="137" ht="45" customHeight="1" s="111">
      <c r="A137" s="121" t="inlineStr">
        <is>
          <t>K248</t>
        </is>
      </c>
      <c r="B137" s="121" t="inlineStr">
        <is>
          <t>035-二次</t>
        </is>
      </c>
      <c r="C137" s="121" t="inlineStr">
        <is>
          <t>Ryan</t>
        </is>
      </c>
      <c r="D137" s="140" t="inlineStr">
        <is>
          <t>泛化</t>
        </is>
      </c>
      <c r="E137" s="118" t="inlineStr">
        <is>
          <t>泛化 BL vs INT 期泛化探测（空心符号）</t>
        </is>
      </c>
      <c r="F137" s="119" t="inlineStr">
        <is>
          <t>60, 60, 40, 20, 0</t>
        </is>
      </c>
      <c r="G137" s="121">
        <f>IF(F137="","",LEN(F137)-LEN(SUBSTITUTE(F137,",",""))+1)</f>
        <v/>
      </c>
      <c r="H137" s="119" t="inlineStr">
        <is>
          <t>100, 100, 100</t>
        </is>
      </c>
      <c r="I137" s="121">
        <f>IF(H137="","",LEN(H137)-LEN(SUBSTITUTE(H137,",",""))+1)</f>
        <v/>
      </c>
      <c r="J137" s="140" t="inlineStr">
        <is>
          <t>升高改善</t>
        </is>
      </c>
      <c r="K137" s="141" t="n">
        <v>-0.948683298050514</v>
      </c>
      <c r="L137" s="141" t="n">
        <v>0.0229774015032061</v>
      </c>
      <c r="M137" s="121">
        <f>IF(OR(K137="",L137=""),"",IF(AND(L137&lt;0.05,OR(AND(J137="升高改善",K137&gt;0),AND(J137="降低改善",K137&lt;0))),"校正","不校正"))</f>
        <v/>
      </c>
      <c r="N137" s="118" t="inlineStr">
        <is>
          <t>Figure2，PDF16/247，自上而下第2面板，空心倒三角</t>
        </is>
      </c>
    </row>
    <row r="138" ht="45" customHeight="1" s="111">
      <c r="A138" s="121" t="inlineStr">
        <is>
          <t>K249</t>
        </is>
      </c>
      <c r="B138" s="121" t="inlineStr">
        <is>
          <t>035-二次</t>
        </is>
      </c>
      <c r="C138" s="121" t="inlineStr">
        <is>
          <t>Ryan</t>
        </is>
      </c>
      <c r="D138" s="140" t="inlineStr">
        <is>
          <t>干预</t>
        </is>
      </c>
      <c r="E138" s="119" t="inlineStr">
        <is>
          <t>BL vs INT</t>
        </is>
      </c>
      <c r="F138" s="119" t="inlineStr">
        <is>
          <t>0, 0, 60, 0, 0, 33, 50, 50, 50</t>
        </is>
      </c>
      <c r="G138" s="121">
        <f>IF(F138="","",LEN(F138)-LEN(SUBSTITUTE(F138,",",""))+1)</f>
        <v/>
      </c>
      <c r="H138" s="119" t="inlineStr">
        <is>
          <t>83, 83, 100, 100, 100</t>
        </is>
      </c>
      <c r="I138" s="121">
        <f>IF(H138="","",LEN(H138)-LEN(SUBSTITUTE(H138,",",""))+1)</f>
        <v/>
      </c>
      <c r="J138" s="140" t="inlineStr">
        <is>
          <t>升高改善</t>
        </is>
      </c>
      <c r="K138" s="141" t="n">
        <v>0.481125224324688</v>
      </c>
      <c r="L138" s="141" t="n">
        <v>0.09284922807157971</v>
      </c>
      <c r="M138" s="121">
        <f>IF(OR(K138="",L138=""),"",IF(AND(L138&lt;0.05,OR(AND(J138="升高改善",K138&gt;0),AND(J138="降低改善",K138&lt;0))),"校正","不校正"))</f>
        <v/>
      </c>
      <c r="N138" s="119" t="inlineStr">
        <is>
          <t>Figure2，PDF16/247，自上而下第3面板，实心圆</t>
        </is>
      </c>
    </row>
    <row r="139" ht="45" customHeight="1" s="111">
      <c r="A139" s="121" t="inlineStr">
        <is>
          <t>K250</t>
        </is>
      </c>
      <c r="B139" s="121" t="inlineStr">
        <is>
          <t>035-二次</t>
        </is>
      </c>
      <c r="C139" s="121" t="inlineStr">
        <is>
          <t>Ryan</t>
        </is>
      </c>
      <c r="D139" s="140" t="inlineStr">
        <is>
          <t>维持</t>
        </is>
      </c>
      <c r="E139" s="119" t="inlineStr">
        <is>
          <t>BL vs MT（训练情境）</t>
        </is>
      </c>
      <c r="F139" s="119" t="inlineStr">
        <is>
          <t>0, 0, 60, 0, 0, 33, 50, 50, 50</t>
        </is>
      </c>
      <c r="G139" s="121">
        <f>IF(F139="","",LEN(F139)-LEN(SUBSTITUTE(F139,",",""))+1)</f>
        <v/>
      </c>
      <c r="H139" s="119" t="inlineStr">
        <is>
          <t>83, 66, 83</t>
        </is>
      </c>
      <c r="I139" s="121">
        <f>IF(H139="","",LEN(H139)-LEN(SUBSTITUTE(H139,",",""))+1)</f>
        <v/>
      </c>
      <c r="J139" s="140" t="inlineStr">
        <is>
          <t>升高改善</t>
        </is>
      </c>
      <c r="K139" s="141" t="n">
        <v>0.481125224324688</v>
      </c>
      <c r="L139" s="141" t="n">
        <v>0.09284922807157971</v>
      </c>
      <c r="M139" s="121">
        <f>IF(OR(K139="",L139=""),"",IF(AND(L139&lt;0.05,OR(AND(J139="升高改善",K139&gt;0),AND(J139="降低改善",K139&lt;0))),"校正","不校正"))</f>
        <v/>
      </c>
      <c r="N139" s="119" t="inlineStr">
        <is>
          <t>Figure2，PDF16/247，自上而下第3面板，实心圆</t>
        </is>
      </c>
    </row>
    <row r="140" ht="45" customHeight="1" s="111">
      <c r="A140" s="121" t="inlineStr">
        <is>
          <t>K251</t>
        </is>
      </c>
      <c r="B140" s="121" t="inlineStr">
        <is>
          <t>035-二次</t>
        </is>
      </c>
      <c r="C140" s="121" t="inlineStr">
        <is>
          <t>Ryan</t>
        </is>
      </c>
      <c r="D140" s="140" t="inlineStr">
        <is>
          <t>泛化</t>
        </is>
      </c>
      <c r="E140" s="118" t="inlineStr">
        <is>
          <t>泛化 BL vs INT 期泛化探测（空心符号）</t>
        </is>
      </c>
      <c r="F140" s="119" t="inlineStr">
        <is>
          <t>0, 50, 33, 33, 50, 50</t>
        </is>
      </c>
      <c r="G140" s="121">
        <f>IF(F140="","",LEN(F140)-LEN(SUBSTITUTE(F140,",",""))+1)</f>
        <v/>
      </c>
      <c r="H140" s="119" t="inlineStr">
        <is>
          <t>100, 66, 100, 100</t>
        </is>
      </c>
      <c r="I140" s="121">
        <f>IF(H140="","",LEN(H140)-LEN(SUBSTITUTE(H140,",",""))+1)</f>
        <v/>
      </c>
      <c r="J140" s="140" t="inlineStr">
        <is>
          <t>升高改善</t>
        </is>
      </c>
      <c r="K140" s="141" t="n">
        <v>0.5449492609130659</v>
      </c>
      <c r="L140" s="141" t="n">
        <v>0.15017990865766</v>
      </c>
      <c r="M140" s="121">
        <f>IF(OR(K140="",L140=""),"",IF(AND(L140&lt;0.05,OR(AND(J140="升高改善",K140&gt;0),AND(J140="降低改善",K140&lt;0))),"校正","不校正"))</f>
        <v/>
      </c>
      <c r="N140" s="118" t="inlineStr">
        <is>
          <t>Figure2，PDF16/247，自上而下第3面板，空心倒三角</t>
        </is>
      </c>
    </row>
    <row r="141" ht="45" customHeight="1" s="111">
      <c r="A141" s="121" t="inlineStr">
        <is>
          <t>K252</t>
        </is>
      </c>
      <c r="B141" s="121" t="inlineStr">
        <is>
          <t>035-二次</t>
        </is>
      </c>
      <c r="C141" s="121" t="inlineStr">
        <is>
          <t>Ryan</t>
        </is>
      </c>
      <c r="D141" s="140" t="inlineStr">
        <is>
          <t>干预</t>
        </is>
      </c>
      <c r="E141" s="119" t="inlineStr">
        <is>
          <t>BL vs INT</t>
        </is>
      </c>
      <c r="F141" s="119" t="inlineStr">
        <is>
          <t>0, 0, 0, 0, 50, 100, 75, 50, 25, 25, 25</t>
        </is>
      </c>
      <c r="G141" s="121">
        <f>IF(F141="","",LEN(F141)-LEN(SUBSTITUTE(F141,",",""))+1)</f>
        <v/>
      </c>
      <c r="H141" s="119" t="inlineStr">
        <is>
          <t>75, 100, 100, 100</t>
        </is>
      </c>
      <c r="I141" s="121">
        <f>IF(H141="","",LEN(H141)-LEN(SUBSTITUTE(H141,",",""))+1)</f>
        <v/>
      </c>
      <c r="J141" s="140" t="inlineStr">
        <is>
          <t>升高改善</t>
        </is>
      </c>
      <c r="K141" s="141" t="n">
        <v>0.301511344577764</v>
      </c>
      <c r="L141" s="141" t="n">
        <v>0.223225145306756</v>
      </c>
      <c r="M141" s="121">
        <f>IF(OR(K141="",L141=""),"",IF(AND(L141&lt;0.05,OR(AND(J141="升高改善",K141&gt;0),AND(J141="降低改善",K141&lt;0))),"校正","不校正"))</f>
        <v/>
      </c>
      <c r="N141" s="119" t="inlineStr">
        <is>
          <t>Figure2，PDF16/247，自上而下第4面板，实心圆</t>
        </is>
      </c>
    </row>
    <row r="142" ht="45" customHeight="1" s="111">
      <c r="A142" s="121" t="inlineStr">
        <is>
          <t>K253</t>
        </is>
      </c>
      <c r="B142" s="121" t="inlineStr">
        <is>
          <t>035-二次</t>
        </is>
      </c>
      <c r="C142" s="121" t="inlineStr">
        <is>
          <t>Ryan</t>
        </is>
      </c>
      <c r="D142" s="140" t="inlineStr">
        <is>
          <t>泛化</t>
        </is>
      </c>
      <c r="E142" s="118" t="inlineStr">
        <is>
          <t>泛化 BL vs INT 期泛化探测（空心符号）</t>
        </is>
      </c>
      <c r="F142" s="119" t="inlineStr">
        <is>
          <t>50, 25, 25, 0, 75, 25, 50</t>
        </is>
      </c>
      <c r="G142" s="121">
        <f>IF(F142="","",LEN(F142)-LEN(SUBSTITUTE(F142,",",""))+1)</f>
        <v/>
      </c>
      <c r="H142" s="119" t="inlineStr">
        <is>
          <t>75, 100, 100, 100</t>
        </is>
      </c>
      <c r="I142" s="121">
        <f>IF(H142="","",LEN(H142)-LEN(SUBSTITUTE(H142,",",""))+1)</f>
        <v/>
      </c>
      <c r="J142" s="140" t="inlineStr">
        <is>
          <t>升高改善</t>
        </is>
      </c>
      <c r="K142" s="141" t="n">
        <v>0.0529256124024963</v>
      </c>
      <c r="L142" s="141" t="n">
        <v>0.873844698517373</v>
      </c>
      <c r="M142" s="121">
        <f>IF(OR(K142="",L142=""),"",IF(AND(L142&lt;0.05,OR(AND(J142="升高改善",K142&gt;0),AND(J142="降低改善",K142&lt;0))),"校正","不校正"))</f>
        <v/>
      </c>
      <c r="N142" s="118" t="inlineStr">
        <is>
          <t>Figure2，PDF16/247，自上而下第4面板，空心倒三角</t>
        </is>
      </c>
    </row>
    <row r="143" ht="45" customHeight="1" s="111">
      <c r="A143" s="121" t="inlineStr">
        <is>
          <t>K254</t>
        </is>
      </c>
      <c r="B143" s="121" t="inlineStr">
        <is>
          <t>035-二次</t>
        </is>
      </c>
      <c r="C143" s="121" t="inlineStr">
        <is>
          <t>Andrew</t>
        </is>
      </c>
      <c r="D143" s="140" t="inlineStr">
        <is>
          <t>干预</t>
        </is>
      </c>
      <c r="E143" s="119" t="inlineStr">
        <is>
          <t>BL vs INT</t>
        </is>
      </c>
      <c r="F143" s="119" t="inlineStr">
        <is>
          <t>40, 0, 0, 40, 40, 20</t>
        </is>
      </c>
      <c r="G143" s="121">
        <f>IF(F143="","",LEN(F143)-LEN(SUBSTITUTE(F143,",",""))+1)</f>
        <v/>
      </c>
      <c r="H143" s="119" t="inlineStr">
        <is>
          <t>100, 80, 100, 100, 100</t>
        </is>
      </c>
      <c r="I143" s="121">
        <f>IF(H143="","",LEN(H143)-LEN(SUBSTITUTE(H143,",",""))+1)</f>
        <v/>
      </c>
      <c r="J143" s="140" t="inlineStr">
        <is>
          <t>升高改善</t>
        </is>
      </c>
      <c r="K143" s="141" t="n">
        <v>0.0778498944161523</v>
      </c>
      <c r="L143" s="141" t="n">
        <v>0.837137271541353</v>
      </c>
      <c r="M143" s="121">
        <f>IF(OR(K143="",L143=""),"",IF(AND(L143&lt;0.05,OR(AND(J143="升高改善",K143&gt;0),AND(J143="降低改善",K143&lt;0))),"校正","不校正"))</f>
        <v/>
      </c>
      <c r="N143" s="119" t="inlineStr">
        <is>
          <t>Figure3，PDF19/250，自上而下第1面板，实心圆</t>
        </is>
      </c>
    </row>
    <row r="144" ht="45" customHeight="1" s="111">
      <c r="A144" s="121" t="inlineStr">
        <is>
          <t>K255</t>
        </is>
      </c>
      <c r="B144" s="121" t="inlineStr">
        <is>
          <t>035-二次</t>
        </is>
      </c>
      <c r="C144" s="121" t="inlineStr">
        <is>
          <t>Andrew</t>
        </is>
      </c>
      <c r="D144" s="140" t="inlineStr">
        <is>
          <t>维持</t>
        </is>
      </c>
      <c r="E144" s="119" t="inlineStr">
        <is>
          <t>BL vs MT（训练情境）</t>
        </is>
      </c>
      <c r="F144" s="119" t="inlineStr">
        <is>
          <t>40, 0, 0, 40, 40, 20</t>
        </is>
      </c>
      <c r="G144" s="121">
        <f>IF(F144="","",LEN(F144)-LEN(SUBSTITUTE(F144,",",""))+1)</f>
        <v/>
      </c>
      <c r="H144" s="119" t="inlineStr">
        <is>
          <t>80, 80, 100, 100, 80</t>
        </is>
      </c>
      <c r="I144" s="121">
        <f>IF(H144="","",LEN(H144)-LEN(SUBSTITUTE(H144,",",""))+1)</f>
        <v/>
      </c>
      <c r="J144" s="140" t="inlineStr">
        <is>
          <t>升高改善</t>
        </is>
      </c>
      <c r="K144" s="141" t="n">
        <v>0.0778498944161523</v>
      </c>
      <c r="L144" s="141" t="n">
        <v>0.837137271541353</v>
      </c>
      <c r="M144" s="121">
        <f>IF(OR(K144="",L144=""),"",IF(AND(L144&lt;0.05,OR(AND(J144="升高改善",K144&gt;0),AND(J144="降低改善",K144&lt;0))),"校正","不校正"))</f>
        <v/>
      </c>
      <c r="N144" s="119" t="inlineStr">
        <is>
          <t>Figure3，PDF19/250，自上而下第1面板，实心圆</t>
        </is>
      </c>
    </row>
    <row r="145" ht="45" customHeight="1" s="111">
      <c r="A145" s="121" t="inlineStr">
        <is>
          <t>K256</t>
        </is>
      </c>
      <c r="B145" s="121" t="inlineStr">
        <is>
          <t>035-二次</t>
        </is>
      </c>
      <c r="C145" s="121" t="inlineStr">
        <is>
          <t>Andrew</t>
        </is>
      </c>
      <c r="D145" s="140" t="inlineStr">
        <is>
          <t>泛化</t>
        </is>
      </c>
      <c r="E145" s="118" t="inlineStr">
        <is>
          <t>泛化 BL vs INT 期泛化探测（空心符号）</t>
        </is>
      </c>
      <c r="F145" s="119" t="inlineStr">
        <is>
          <t>60, 40, 40</t>
        </is>
      </c>
      <c r="G145" s="121">
        <f>IF(F145="","",LEN(F145)-LEN(SUBSTITUTE(F145,",",""))+1)</f>
        <v/>
      </c>
      <c r="H145" s="119" t="inlineStr">
        <is>
          <t>100, 80, 100</t>
        </is>
      </c>
      <c r="I145" s="121">
        <f>IF(H145="","",LEN(H145)-LEN(SUBSTITUTE(H145,",",""))+1)</f>
        <v/>
      </c>
      <c r="J145" s="140" t="inlineStr">
        <is>
          <t>升高改善</t>
        </is>
      </c>
      <c r="K145" s="141" t="n">
        <v>-0.816496580927726</v>
      </c>
      <c r="L145" s="141" t="n">
        <v>0.220671361919847</v>
      </c>
      <c r="M145" s="121">
        <f>IF(OR(K145="",L145=""),"",IF(AND(L145&lt;0.05,OR(AND(J145="升高改善",K145&gt;0),AND(J145="降低改善",K145&lt;0))),"校正","不校正"))</f>
        <v/>
      </c>
      <c r="N145" s="118" t="inlineStr">
        <is>
          <t>Figure3，PDF19/250，自上而下第1面板，空心倒三角</t>
        </is>
      </c>
    </row>
    <row r="146" ht="45" customHeight="1" s="111">
      <c r="A146" s="121" t="inlineStr">
        <is>
          <t>K257</t>
        </is>
      </c>
      <c r="B146" s="121" t="inlineStr">
        <is>
          <t>035-二次</t>
        </is>
      </c>
      <c r="C146" s="121" t="inlineStr">
        <is>
          <t>Andrew</t>
        </is>
      </c>
      <c r="D146" s="140" t="inlineStr">
        <is>
          <t>干预</t>
        </is>
      </c>
      <c r="E146" s="119" t="inlineStr">
        <is>
          <t>BL vs INT</t>
        </is>
      </c>
      <c r="F146" s="119" t="inlineStr">
        <is>
          <t>20, 20, 0, 20, 0, 0</t>
        </is>
      </c>
      <c r="G146" s="121">
        <f>IF(F146="","",LEN(F146)-LEN(SUBSTITUTE(F146,",",""))+1)</f>
        <v/>
      </c>
      <c r="H146" s="119" t="inlineStr">
        <is>
          <t>100, 20, 100, 100, 100</t>
        </is>
      </c>
      <c r="I146" s="121">
        <f>IF(H146="","",LEN(H146)-LEN(SUBSTITUTE(H146,",",""))+1)</f>
        <v/>
      </c>
      <c r="J146" s="140" t="inlineStr">
        <is>
          <t>升高改善</t>
        </is>
      </c>
      <c r="K146" s="141" t="n">
        <v>-0.602464076076709</v>
      </c>
      <c r="L146" s="141" t="n">
        <v>0.126630457947617</v>
      </c>
      <c r="M146" s="121">
        <f>IF(OR(K146="",L146=""),"",IF(AND(L146&lt;0.05,OR(AND(J146="升高改善",K146&gt;0),AND(J146="降低改善",K146&lt;0))),"校正","不校正"))</f>
        <v/>
      </c>
      <c r="N146" s="119" t="inlineStr">
        <is>
          <t>Figure3，PDF19/250，自上而下第2面板，实心圆</t>
        </is>
      </c>
    </row>
    <row r="147" ht="45" customHeight="1" s="111">
      <c r="A147" s="121" t="inlineStr">
        <is>
          <t>K258</t>
        </is>
      </c>
      <c r="B147" s="121" t="inlineStr">
        <is>
          <t>035-二次</t>
        </is>
      </c>
      <c r="C147" s="121" t="inlineStr">
        <is>
          <t>Andrew</t>
        </is>
      </c>
      <c r="D147" s="140" t="inlineStr">
        <is>
          <t>维持</t>
        </is>
      </c>
      <c r="E147" s="119" t="inlineStr">
        <is>
          <t>BL vs MT（训练情境）</t>
        </is>
      </c>
      <c r="F147" s="119" t="inlineStr">
        <is>
          <t>20, 20, 0, 20, 0, 0</t>
        </is>
      </c>
      <c r="G147" s="121">
        <f>IF(F147="","",LEN(F147)-LEN(SUBSTITUTE(F147,",",""))+1)</f>
        <v/>
      </c>
      <c r="H147" s="119" t="inlineStr">
        <is>
          <t>20, 100, 100</t>
        </is>
      </c>
      <c r="I147" s="121">
        <f>IF(H147="","",LEN(H147)-LEN(SUBSTITUTE(H147,",",""))+1)</f>
        <v/>
      </c>
      <c r="J147" s="140" t="inlineStr">
        <is>
          <t>升高改善</t>
        </is>
      </c>
      <c r="K147" s="141" t="n">
        <v>-0.602464076076709</v>
      </c>
      <c r="L147" s="141" t="n">
        <v>0.126630457947617</v>
      </c>
      <c r="M147" s="121">
        <f>IF(OR(K147="",L147=""),"",IF(AND(L147&lt;0.05,OR(AND(J147="升高改善",K147&gt;0),AND(J147="降低改善",K147&lt;0))),"校正","不校正"))</f>
        <v/>
      </c>
      <c r="N147" s="119" t="inlineStr">
        <is>
          <t>Figure3，PDF19/250，自上而下第2面板，实心圆</t>
        </is>
      </c>
    </row>
    <row r="148" ht="45" customHeight="1" s="111">
      <c r="A148" s="121" t="inlineStr">
        <is>
          <t>K259</t>
        </is>
      </c>
      <c r="B148" s="121" t="inlineStr">
        <is>
          <t>035-二次</t>
        </is>
      </c>
      <c r="C148" s="121" t="inlineStr">
        <is>
          <t>Andrew</t>
        </is>
      </c>
      <c r="D148" s="140" t="inlineStr">
        <is>
          <t>泛化</t>
        </is>
      </c>
      <c r="E148" s="118" t="inlineStr">
        <is>
          <t>泛化 BL vs INT 期泛化探测（空心符号）</t>
        </is>
      </c>
      <c r="F148" s="119" t="inlineStr">
        <is>
          <t>0, 0, 60, 20, 0</t>
        </is>
      </c>
      <c r="G148" s="121">
        <f>IF(F148="","",LEN(F148)-LEN(SUBSTITUTE(F148,",",""))+1)</f>
        <v/>
      </c>
      <c r="H148" s="119" t="inlineStr">
        <is>
          <t>100, 100, 100</t>
        </is>
      </c>
      <c r="I148" s="121">
        <f>IF(H148="","",LEN(H148)-LEN(SUBSTITUTE(H148,",",""))+1)</f>
        <v/>
      </c>
      <c r="J148" s="140" t="inlineStr">
        <is>
          <t>升高改善</t>
        </is>
      </c>
      <c r="K148" s="141" t="n">
        <v>0.119522860933439</v>
      </c>
      <c r="L148" s="141" t="n">
        <v>0.781511294998713</v>
      </c>
      <c r="M148" s="121">
        <f>IF(OR(K148="",L148=""),"",IF(AND(L148&lt;0.05,OR(AND(J148="升高改善",K148&gt;0),AND(J148="降低改善",K148&lt;0))),"校正","不校正"))</f>
        <v/>
      </c>
      <c r="N148" s="118" t="inlineStr">
        <is>
          <t>Figure3，PDF19/250，自上而下第2面板，空心倒三角</t>
        </is>
      </c>
    </row>
    <row r="149" ht="45" customHeight="1" s="111">
      <c r="A149" s="121" t="inlineStr">
        <is>
          <t>K260</t>
        </is>
      </c>
      <c r="B149" s="121" t="inlineStr">
        <is>
          <t>035-二次</t>
        </is>
      </c>
      <c r="C149" s="121" t="inlineStr">
        <is>
          <t>Andrew</t>
        </is>
      </c>
      <c r="D149" s="140" t="inlineStr">
        <is>
          <t>干预</t>
        </is>
      </c>
      <c r="E149" s="119" t="inlineStr">
        <is>
          <t>BL vs INT</t>
        </is>
      </c>
      <c r="F149" s="119" t="inlineStr">
        <is>
          <t>0, 0, 0, 0, 0, 50, 0, 0</t>
        </is>
      </c>
      <c r="G149" s="121">
        <f>IF(F149="","",LEN(F149)-LEN(SUBSTITUTE(F149,",",""))+1)</f>
        <v/>
      </c>
      <c r="H149" s="119" t="inlineStr">
        <is>
          <t>50, 50, 100, 100, 100</t>
        </is>
      </c>
      <c r="I149" s="121">
        <f>IF(H149="","",LEN(H149)-LEN(SUBSTITUTE(H149,",",""))+1)</f>
        <v/>
      </c>
      <c r="J149" s="140" t="inlineStr">
        <is>
          <t>升高改善</t>
        </is>
      </c>
      <c r="K149" s="141" t="n">
        <v>0.214285714285714</v>
      </c>
      <c r="L149" s="141" t="n">
        <v>0.512690760261924</v>
      </c>
      <c r="M149" s="121">
        <f>IF(OR(K149="",L149=""),"",IF(AND(L149&lt;0.05,OR(AND(J149="升高改善",K149&gt;0),AND(J149="降低改善",K149&lt;0))),"校正","不校正"))</f>
        <v/>
      </c>
      <c r="N149" s="119" t="inlineStr">
        <is>
          <t>Figure3，PDF19/250，自上而下第3面板，实心圆</t>
        </is>
      </c>
    </row>
    <row r="150" ht="45" customHeight="1" s="111">
      <c r="A150" s="121" t="inlineStr">
        <is>
          <t>K261</t>
        </is>
      </c>
      <c r="B150" s="121" t="inlineStr">
        <is>
          <t>035-二次</t>
        </is>
      </c>
      <c r="C150" s="121" t="inlineStr">
        <is>
          <t>Andrew</t>
        </is>
      </c>
      <c r="D150" s="140" t="inlineStr">
        <is>
          <t>维持</t>
        </is>
      </c>
      <c r="E150" s="119" t="inlineStr">
        <is>
          <t>BL vs MT（训练情境）</t>
        </is>
      </c>
      <c r="F150" s="119" t="inlineStr">
        <is>
          <t>0, 0, 0, 0, 0, 50, 0, 0</t>
        </is>
      </c>
      <c r="G150" s="121">
        <f>IF(F150="","",LEN(F150)-LEN(SUBSTITUTE(F150,",",""))+1)</f>
        <v/>
      </c>
      <c r="H150" s="119" t="inlineStr">
        <is>
          <t>100, 83, 83</t>
        </is>
      </c>
      <c r="I150" s="121">
        <f>IF(H150="","",LEN(H150)-LEN(SUBSTITUTE(H150,",",""))+1)</f>
        <v/>
      </c>
      <c r="J150" s="140" t="inlineStr">
        <is>
          <t>升高改善</t>
        </is>
      </c>
      <c r="K150" s="141" t="n">
        <v>0.214285714285714</v>
      </c>
      <c r="L150" s="141" t="n">
        <v>0.512690760261924</v>
      </c>
      <c r="M150" s="121">
        <f>IF(OR(K150="",L150=""),"",IF(AND(L150&lt;0.05,OR(AND(J150="升高改善",K150&gt;0),AND(J150="降低改善",K150&lt;0))),"校正","不校正"))</f>
        <v/>
      </c>
      <c r="N150" s="119" t="inlineStr">
        <is>
          <t>Figure3，PDF19/250，自上而下第3面板，实心圆</t>
        </is>
      </c>
    </row>
    <row r="151" ht="45" customHeight="1" s="111">
      <c r="A151" s="121" t="inlineStr">
        <is>
          <t>K262</t>
        </is>
      </c>
      <c r="B151" s="121" t="inlineStr">
        <is>
          <t>035-二次</t>
        </is>
      </c>
      <c r="C151" s="121" t="inlineStr">
        <is>
          <t>Andrew</t>
        </is>
      </c>
      <c r="D151" s="140" t="inlineStr">
        <is>
          <t>泛化</t>
        </is>
      </c>
      <c r="E151" s="118" t="inlineStr">
        <is>
          <t>泛化 BL vs INT 期泛化探测（空心符号）</t>
        </is>
      </c>
      <c r="F151" s="119" t="inlineStr">
        <is>
          <t>0, 0, 0, 0, 0, 0</t>
        </is>
      </c>
      <c r="G151" s="121">
        <f>IF(F151="","",LEN(F151)-LEN(SUBSTITUTE(F151,",",""))+1)</f>
        <v/>
      </c>
      <c r="H151" s="119" t="inlineStr">
        <is>
          <t>100, 100, 100</t>
        </is>
      </c>
      <c r="I151" s="121">
        <f>IF(H151="","",LEN(H151)-LEN(SUBSTITUTE(H151,",",""))+1)</f>
        <v/>
      </c>
      <c r="J151" s="140" t="inlineStr">
        <is>
          <t>升高改善</t>
        </is>
      </c>
      <c r="K151" s="141" t="n">
        <v>0</v>
      </c>
      <c r="L151" s="141" t="n">
        <v>1</v>
      </c>
      <c r="M151" s="121">
        <f>IF(OR(K151="",L151=""),"",IF(AND(L151&lt;0.05,OR(AND(J151="升高改善",K151&gt;0),AND(J151="降低改善",K151&lt;0))),"校正","不校正"))</f>
        <v/>
      </c>
      <c r="N151" s="118" t="inlineStr">
        <is>
          <t>Figure3，PDF19/250，自上而下第3面板，空心倒三角</t>
        </is>
      </c>
    </row>
    <row r="152" ht="45" customHeight="1" s="111">
      <c r="A152" s="121" t="inlineStr">
        <is>
          <t>K263</t>
        </is>
      </c>
      <c r="B152" s="121" t="inlineStr">
        <is>
          <t>035-二次</t>
        </is>
      </c>
      <c r="C152" s="121" t="inlineStr">
        <is>
          <t>Andrew</t>
        </is>
      </c>
      <c r="D152" s="140" t="inlineStr">
        <is>
          <t>干预</t>
        </is>
      </c>
      <c r="E152" s="119" t="inlineStr">
        <is>
          <t>BL vs INT</t>
        </is>
      </c>
      <c r="F152" s="119" t="inlineStr">
        <is>
          <t>0, 0, 0, 50, 25, 25, 25, 25, 25</t>
        </is>
      </c>
      <c r="G152" s="121">
        <f>IF(F152="","",LEN(F152)-LEN(SUBSTITUTE(F152,",",""))+1)</f>
        <v/>
      </c>
      <c r="H152" s="119" t="inlineStr">
        <is>
          <t>100, 75, 100, 100, 100</t>
        </is>
      </c>
      <c r="I152" s="121">
        <f>IF(H152="","",LEN(H152)-LEN(SUBSTITUTE(H152,",",""))+1)</f>
        <v/>
      </c>
      <c r="J152" s="140" t="inlineStr">
        <is>
          <t>升高改善</t>
        </is>
      </c>
      <c r="K152" s="141" t="n">
        <v>0.451781230456995</v>
      </c>
      <c r="L152" s="141" t="n">
        <v>0.124630747076955</v>
      </c>
      <c r="M152" s="121">
        <f>IF(OR(K152="",L152=""),"",IF(AND(L152&lt;0.05,OR(AND(J152="升高改善",K152&gt;0),AND(J152="降低改善",K152&lt;0))),"校正","不校正"))</f>
        <v/>
      </c>
      <c r="N152" s="119" t="inlineStr">
        <is>
          <t>Figure3，PDF19/250，自上而下第4面板，实心圆</t>
        </is>
      </c>
    </row>
    <row r="153" ht="45" customHeight="1" s="111">
      <c r="A153" s="121" t="inlineStr">
        <is>
          <t>K264</t>
        </is>
      </c>
      <c r="B153" s="121" t="inlineStr">
        <is>
          <t>035-二次</t>
        </is>
      </c>
      <c r="C153" s="121" t="inlineStr">
        <is>
          <t>Andrew</t>
        </is>
      </c>
      <c r="D153" s="140" t="inlineStr">
        <is>
          <t>泛化</t>
        </is>
      </c>
      <c r="E153" s="118" t="inlineStr">
        <is>
          <t>泛化 BL vs INT 期泛化探测（空心符号）</t>
        </is>
      </c>
      <c r="F153" s="119" t="inlineStr">
        <is>
          <t>25, 75, 75, 0, 25, 25, 25</t>
        </is>
      </c>
      <c r="G153" s="121">
        <f>IF(F153="","",LEN(F153)-LEN(SUBSTITUTE(F153,",",""))+1)</f>
        <v/>
      </c>
      <c r="H153" s="119" t="inlineStr">
        <is>
          <t>75, 100, 75</t>
        </is>
      </c>
      <c r="I153" s="121">
        <f>IF(H153="","",LEN(H153)-LEN(SUBSTITUTE(H153,",",""))+1)</f>
        <v/>
      </c>
      <c r="J153" s="140" t="inlineStr">
        <is>
          <t>升高改善</t>
        </is>
      </c>
      <c r="K153" s="141" t="n">
        <v>-0.233284737407922</v>
      </c>
      <c r="L153" s="141" t="n">
        <v>0.496905847564768</v>
      </c>
      <c r="M153" s="121">
        <f>IF(OR(K153="",L153=""),"",IF(AND(L153&lt;0.05,OR(AND(J153="升高改善",K153&gt;0),AND(J153="降低改善",K153&lt;0))),"校正","不校正"))</f>
        <v/>
      </c>
      <c r="N153" s="118" t="inlineStr">
        <is>
          <t>Figure3，PDF19/250，自上而下第4面板，空心倒三角</t>
        </is>
      </c>
    </row>
    <row r="154" ht="45" customHeight="1" s="111">
      <c r="A154" s="121" t="inlineStr">
        <is>
          <t>K265</t>
        </is>
      </c>
      <c r="B154" s="121" t="inlineStr">
        <is>
          <t>037-二次</t>
        </is>
      </c>
      <c r="C154" s="121" t="inlineStr">
        <is>
          <t>Matt</t>
        </is>
      </c>
      <c r="D154" s="140" t="inlineStr">
        <is>
          <t>干预</t>
        </is>
      </c>
      <c r="E154" s="119" t="inlineStr">
        <is>
          <t>Baseline vs Intervention（VSM）</t>
        </is>
      </c>
      <c r="F154" s="136" t="inlineStr">
        <is>
          <t>13, 22, 13, 22, 22, 22, 33, 18, 33</t>
        </is>
      </c>
      <c r="G154" s="127">
        <f>IF(F154="","",LEN(F154)-LEN(SUBSTITUTE(F154,",",""))+1)</f>
        <v/>
      </c>
      <c r="H154" s="136" t="inlineStr">
        <is>
          <t>44, 33, 56, 32, 87, 46, 33, 43, 51, 33, 50, 55</t>
        </is>
      </c>
      <c r="I154" s="127">
        <f>IF(H154="","",LEN(H154)-LEN(SUBSTITUTE(H154,",",""))+1)</f>
        <v/>
      </c>
      <c r="J154" s="144" t="inlineStr">
        <is>
          <t>升高改善</t>
        </is>
      </c>
      <c r="K154" s="145" t="n">
        <v>0.5039526306789696</v>
      </c>
      <c r="L154" s="145" t="n">
        <v>0.07604147583024336</v>
      </c>
      <c r="M154" s="127">
        <f>IF(OR(K154="",L154=""),"",IF(AND(L154&lt;0.05,OR(AND(J154="升高改善",K154&gt;0),AND(J154="降低改善",K154&lt;0))),"校正","不校正"))</f>
        <v/>
      </c>
      <c r="N154" s="119" t="inlineStr">
        <is>
          <t>Figure2，PDF7/页211，自上而下第1面板Matt；实心圆；原图黑色阶段分界线</t>
        </is>
      </c>
    </row>
    <row r="155" ht="45" customHeight="1" s="111">
      <c r="A155" s="121" t="inlineStr">
        <is>
          <t>K266</t>
        </is>
      </c>
      <c r="B155" s="121" t="inlineStr">
        <is>
          <t>037-二次</t>
        </is>
      </c>
      <c r="C155" s="121" t="inlineStr">
        <is>
          <t>Matt</t>
        </is>
      </c>
      <c r="D155" s="140" t="inlineStr">
        <is>
          <t>维持</t>
        </is>
      </c>
      <c r="E155" s="119" t="inlineStr">
        <is>
          <t>Baseline vs Withdrawal</t>
        </is>
      </c>
      <c r="F155" s="136" t="inlineStr">
        <is>
          <t>13, 22, 13, 22, 22, 22, 33, 18, 33</t>
        </is>
      </c>
      <c r="G155" s="127">
        <f>IF(F155="","",LEN(F155)-LEN(SUBSTITUTE(F155,",",""))+1)</f>
        <v/>
      </c>
      <c r="H155" s="136" t="inlineStr">
        <is>
          <t>28, 52, 33</t>
        </is>
      </c>
      <c r="I155" s="127">
        <f>IF(H155="","",LEN(H155)-LEN(SUBSTITUTE(H155,",",""))+1)</f>
        <v/>
      </c>
      <c r="J155" s="144" t="inlineStr">
        <is>
          <t>升高改善</t>
        </is>
      </c>
      <c r="K155" s="145" t="n">
        <v>0.5039526306789696</v>
      </c>
      <c r="L155" s="145" t="n">
        <v>0.07604147583024336</v>
      </c>
      <c r="M155" s="127">
        <f>IF(OR(K155="",L155=""),"",IF(AND(L155&lt;0.05,OR(AND(J155="升高改善",K155&gt;0),AND(J155="降低改善",K155&lt;0))),"校正","不校正"))</f>
        <v/>
      </c>
      <c r="N155" s="119" t="inlineStr">
        <is>
          <t>Figure2，PDF7/页211，自上而下第1面板Matt；实心圆；原图黑色阶段分界线</t>
        </is>
      </c>
    </row>
    <row r="156" ht="45" customHeight="1" s="111">
      <c r="A156" s="121" t="inlineStr">
        <is>
          <t>K267</t>
        </is>
      </c>
      <c r="B156" s="121" t="inlineStr">
        <is>
          <t>037-二次</t>
        </is>
      </c>
      <c r="C156" s="121" t="inlineStr">
        <is>
          <t>Esther</t>
        </is>
      </c>
      <c r="D156" s="140" t="inlineStr">
        <is>
          <t>干预</t>
        </is>
      </c>
      <c r="E156" s="119" t="inlineStr">
        <is>
          <t>Baseline vs Intervention（VSM）</t>
        </is>
      </c>
      <c r="F156" s="136" t="inlineStr">
        <is>
          <t>0, 11, 23, 31, 39, 24, 24, 17, 37, 22, 24</t>
        </is>
      </c>
      <c r="G156" s="127">
        <f>IF(F156="","",LEN(F156)-LEN(SUBSTITUTE(F156,",",""))+1)</f>
        <v/>
      </c>
      <c r="H156" s="136" t="inlineStr">
        <is>
          <t>61, 46, 37, 50, 50, 44, 41</t>
        </is>
      </c>
      <c r="I156" s="127">
        <f>IF(H156="","",LEN(H156)-LEN(SUBSTITUTE(H156,",",""))+1)</f>
        <v/>
      </c>
      <c r="J156" s="144" t="inlineStr">
        <is>
          <t>升高改善</t>
        </is>
      </c>
      <c r="K156" s="145" t="n">
        <v>0.261785157202368</v>
      </c>
      <c r="L156" s="145" t="n">
        <v>0.2703685816257839</v>
      </c>
      <c r="M156" s="127">
        <f>IF(OR(K156="",L156=""),"",IF(AND(L156&lt;0.05,OR(AND(J156="升高改善",K156&gt;0),AND(J156="降低改善",K156&lt;0))),"校正","不校正"))</f>
        <v/>
      </c>
      <c r="N156" s="119" t="inlineStr">
        <is>
          <t>Figure2，PDF7/页211，自上而下第2面板Esther；实心圆；原图黑色阶段分界线</t>
        </is>
      </c>
    </row>
    <row r="157" ht="45" customHeight="1" s="111">
      <c r="A157" s="121" t="inlineStr">
        <is>
          <t>K268</t>
        </is>
      </c>
      <c r="B157" s="121" t="inlineStr">
        <is>
          <t>037-二次</t>
        </is>
      </c>
      <c r="C157" s="121" t="inlineStr">
        <is>
          <t>Fred</t>
        </is>
      </c>
      <c r="D157" s="140" t="inlineStr">
        <is>
          <t>干预</t>
        </is>
      </c>
      <c r="E157" s="119" t="inlineStr">
        <is>
          <t>Baseline vs Intervention（VSM）</t>
        </is>
      </c>
      <c r="F157" s="136" t="inlineStr">
        <is>
          <t>43, 25, 24, 41, 15, 28, 10, 43, 46, 53, 53, 65, 52, 26</t>
        </is>
      </c>
      <c r="G157" s="127">
        <f>IF(F157="","",LEN(F157)-LEN(SUBSTITUTE(F157,",",""))+1)</f>
        <v/>
      </c>
      <c r="H157" s="136" t="inlineStr">
        <is>
          <t>47, 61, 88, 80, 76, 79, 80</t>
        </is>
      </c>
      <c r="I157" s="127">
        <f>IF(H157="","",LEN(H157)-LEN(SUBSTITUTE(H157,",",""))+1)</f>
        <v/>
      </c>
      <c r="J157" s="144" t="inlineStr">
        <is>
          <t>升高改善</t>
        </is>
      </c>
      <c r="K157" s="145" t="n">
        <v>0.3666893025074554</v>
      </c>
      <c r="L157" s="145" t="n">
        <v>0.06998308046248114</v>
      </c>
      <c r="M157" s="127">
        <f>IF(OR(K157="",L157=""),"",IF(AND(L157&lt;0.05,OR(AND(J157="升高改善",K157&gt;0),AND(J157="降低改善",K157&lt;0))),"校正","不校正"))</f>
        <v/>
      </c>
      <c r="N157" s="119" t="inlineStr">
        <is>
          <t>Figure2，PDF7/页211，自上而下第3面板Fred；实心圆；原图黑色阶段分界线</t>
        </is>
      </c>
    </row>
    <row r="158" ht="45" customHeight="1" s="111">
      <c r="A158" s="121" t="inlineStr">
        <is>
          <t>K269</t>
        </is>
      </c>
      <c r="B158" s="121" t="inlineStr">
        <is>
          <t>038-滚雪球</t>
        </is>
      </c>
      <c r="C158" s="121" t="inlineStr">
        <is>
          <t>Ben</t>
        </is>
      </c>
      <c r="D158" s="140" t="inlineStr">
        <is>
          <t>干预</t>
        </is>
      </c>
      <c r="E158" s="119" t="inlineStr">
        <is>
          <t>BL vs INT</t>
        </is>
      </c>
      <c r="F158" s="119" t="inlineStr">
        <is>
          <t>20, 60, 40, 0, 0</t>
        </is>
      </c>
      <c r="G158" s="121">
        <f>IF(F158="","",LEN(F158)-LEN(SUBSTITUTE(F158,",",""))+1)</f>
        <v/>
      </c>
      <c r="H158" s="119" t="inlineStr">
        <is>
          <t>100, 80, 100, 100, 100</t>
        </is>
      </c>
      <c r="I158" s="121">
        <f>IF(H158="","",LEN(H158)-LEN(SUBSTITUTE(H158,",",""))+1)</f>
        <v/>
      </c>
      <c r="J158" s="140" t="inlineStr">
        <is>
          <t>升高改善</t>
        </is>
      </c>
      <c r="K158" s="141" t="n">
        <v>-0.52704627669473</v>
      </c>
      <c r="L158" s="141" t="n">
        <v>0.206507295485425</v>
      </c>
      <c r="M158" s="121">
        <f>IF(OR(K158="",L158=""),"",IF(AND(L158&lt;0.05,OR(AND(J158="升高改善",K158&gt;0),AND(J158="降低改善",K158&lt;0))),"校正","不校正"))</f>
        <v/>
      </c>
      <c r="N158" s="119" t="inlineStr">
        <is>
          <t>Figure1，PDF7/329，自上而下第1面板，实心圆</t>
        </is>
      </c>
    </row>
    <row r="159" ht="45" customHeight="1" s="111">
      <c r="A159" s="121" t="inlineStr">
        <is>
          <t>K270</t>
        </is>
      </c>
      <c r="B159" s="121" t="inlineStr">
        <is>
          <t>038-滚雪球</t>
        </is>
      </c>
      <c r="C159" s="121" t="inlineStr">
        <is>
          <t>Ben</t>
        </is>
      </c>
      <c r="D159" s="140" t="inlineStr">
        <is>
          <t>维持</t>
        </is>
      </c>
      <c r="E159" s="119" t="inlineStr">
        <is>
          <t>BL vs MT（训练情境）</t>
        </is>
      </c>
      <c r="F159" s="119" t="inlineStr">
        <is>
          <t>20, 60, 40, 0, 0</t>
        </is>
      </c>
      <c r="G159" s="121">
        <f>IF(F159="","",LEN(F159)-LEN(SUBSTITUTE(F159,",",""))+1)</f>
        <v/>
      </c>
      <c r="H159" s="119" t="inlineStr">
        <is>
          <t>100, 100, 100, 100, 80, 100</t>
        </is>
      </c>
      <c r="I159" s="121">
        <f>IF(H159="","",LEN(H159)-LEN(SUBSTITUTE(H159,",",""))+1)</f>
        <v/>
      </c>
      <c r="J159" s="140" t="inlineStr">
        <is>
          <t>升高改善</t>
        </is>
      </c>
      <c r="K159" s="141" t="n">
        <v>-0.52704627669473</v>
      </c>
      <c r="L159" s="141" t="n">
        <v>0.206507295485425</v>
      </c>
      <c r="M159" s="121">
        <f>IF(OR(K159="",L159=""),"",IF(AND(L159&lt;0.05,OR(AND(J159="升高改善",K159&gt;0),AND(J159="降低改善",K159&lt;0))),"校正","不校正"))</f>
        <v/>
      </c>
      <c r="N159" s="119" t="inlineStr">
        <is>
          <t>Figure1，PDF7/329，自上而下第1面板，实心圆</t>
        </is>
      </c>
    </row>
    <row r="160" ht="45" customHeight="1" s="111">
      <c r="A160" s="121" t="inlineStr">
        <is>
          <t>K271</t>
        </is>
      </c>
      <c r="B160" s="121" t="inlineStr">
        <is>
          <t>038-滚雪球</t>
        </is>
      </c>
      <c r="C160" s="121" t="inlineStr">
        <is>
          <t>Ben</t>
        </is>
      </c>
      <c r="D160" s="140" t="inlineStr">
        <is>
          <t>泛化</t>
        </is>
      </c>
      <c r="E160" s="118" t="inlineStr">
        <is>
          <t>泛化 BL vs INT 期泛化探测（空心符号）</t>
        </is>
      </c>
      <c r="F160" s="119" t="inlineStr">
        <is>
          <t>0, 0, 0</t>
        </is>
      </c>
      <c r="G160" s="121">
        <f>IF(F160="","",LEN(F160)-LEN(SUBSTITUTE(F160,",",""))+1)</f>
        <v/>
      </c>
      <c r="H160" s="119" t="inlineStr">
        <is>
          <t>100, 100, 100, 100, 100</t>
        </is>
      </c>
      <c r="I160" s="121">
        <f>IF(H160="","",LEN(H160)-LEN(SUBSTITUTE(H160,",",""))+1)</f>
        <v/>
      </c>
      <c r="J160" s="140" t="inlineStr">
        <is>
          <t>升高改善</t>
        </is>
      </c>
      <c r="K160" s="141" t="n">
        <v>0</v>
      </c>
      <c r="L160" s="141" t="n">
        <v>1</v>
      </c>
      <c r="M160" s="121">
        <f>IF(OR(K160="",L160=""),"",IF(AND(L160&lt;0.05,OR(AND(J160="升高改善",K160&gt;0),AND(J160="降低改善",K160&lt;0))),"校正","不校正"))</f>
        <v/>
      </c>
      <c r="N160" s="118" t="inlineStr">
        <is>
          <t>Figure1，PDF7/329，自上而下第1面板，空心方形</t>
        </is>
      </c>
    </row>
    <row r="161" ht="45" customHeight="1" s="111">
      <c r="A161" s="121" t="inlineStr">
        <is>
          <t>K272</t>
        </is>
      </c>
      <c r="B161" s="121" t="inlineStr">
        <is>
          <t>038-滚雪球</t>
        </is>
      </c>
      <c r="C161" s="121" t="inlineStr">
        <is>
          <t>Ben</t>
        </is>
      </c>
      <c r="D161" s="140" t="inlineStr">
        <is>
          <t>干预</t>
        </is>
      </c>
      <c r="E161" s="119" t="inlineStr">
        <is>
          <t>BL vs INT</t>
        </is>
      </c>
      <c r="F161" s="119" t="inlineStr">
        <is>
          <t>0, 0, 0, 0, 0, 0, 0</t>
        </is>
      </c>
      <c r="G161" s="121">
        <f>IF(F161="","",LEN(F161)-LEN(SUBSTITUTE(F161,",",""))+1)</f>
        <v/>
      </c>
      <c r="H161" s="119" t="inlineStr">
        <is>
          <t>100, 100, 0, 20, 0, 0, 0, 100, 0, 100, 100, 100, 100</t>
        </is>
      </c>
      <c r="I161" s="121">
        <f>IF(H161="","",LEN(H161)-LEN(SUBSTITUTE(H161,",",""))+1)</f>
        <v/>
      </c>
      <c r="J161" s="140" t="inlineStr">
        <is>
          <t>升高改善</t>
        </is>
      </c>
      <c r="K161" s="141" t="n">
        <v>0</v>
      </c>
      <c r="L161" s="141" t="n">
        <v>1</v>
      </c>
      <c r="M161" s="121">
        <f>IF(OR(K161="",L161=""),"",IF(AND(L161&lt;0.05,OR(AND(J161="升高改善",K161&gt;0),AND(J161="降低改善",K161&lt;0))),"校正","不校正"))</f>
        <v/>
      </c>
      <c r="N161" s="119" t="inlineStr">
        <is>
          <t>Figure1，PDF7/329，自上而下第2面板，实心圆</t>
        </is>
      </c>
    </row>
    <row r="162" ht="45" customHeight="1" s="111">
      <c r="A162" s="121" t="inlineStr">
        <is>
          <t>K273</t>
        </is>
      </c>
      <c r="B162" s="121" t="inlineStr">
        <is>
          <t>038-滚雪球</t>
        </is>
      </c>
      <c r="C162" s="121" t="inlineStr">
        <is>
          <t>Ben</t>
        </is>
      </c>
      <c r="D162" s="140" t="inlineStr">
        <is>
          <t>维持</t>
        </is>
      </c>
      <c r="E162" s="119" t="inlineStr">
        <is>
          <t>BL vs MT（训练情境）</t>
        </is>
      </c>
      <c r="F162" s="119" t="inlineStr">
        <is>
          <t>0, 0, 0, 0, 0, 0, 0</t>
        </is>
      </c>
      <c r="G162" s="121">
        <f>IF(F162="","",LEN(F162)-LEN(SUBSTITUTE(F162,",",""))+1)</f>
        <v/>
      </c>
      <c r="H162" s="119" t="inlineStr">
        <is>
          <t>100, 100, 0</t>
        </is>
      </c>
      <c r="I162" s="121">
        <f>IF(H162="","",LEN(H162)-LEN(SUBSTITUTE(H162,",",""))+1)</f>
        <v/>
      </c>
      <c r="J162" s="140" t="inlineStr">
        <is>
          <t>升高改善</t>
        </is>
      </c>
      <c r="K162" s="141" t="n">
        <v>0</v>
      </c>
      <c r="L162" s="141" t="n">
        <v>1</v>
      </c>
      <c r="M162" s="121">
        <f>IF(OR(K162="",L162=""),"",IF(AND(L162&lt;0.05,OR(AND(J162="升高改善",K162&gt;0),AND(J162="降低改善",K162&lt;0))),"校正","不校正"))</f>
        <v/>
      </c>
      <c r="N162" s="119" t="inlineStr">
        <is>
          <t>Figure1，PDF7/329，自上而下第2面板，实心圆</t>
        </is>
      </c>
    </row>
    <row r="163" ht="45" customHeight="1" s="111">
      <c r="A163" s="121" t="inlineStr">
        <is>
          <t>K274</t>
        </is>
      </c>
      <c r="B163" s="121" t="inlineStr">
        <is>
          <t>038-滚雪球</t>
        </is>
      </c>
      <c r="C163" s="121" t="inlineStr">
        <is>
          <t>Ben</t>
        </is>
      </c>
      <c r="D163" s="140" t="inlineStr">
        <is>
          <t>泛化</t>
        </is>
      </c>
      <c r="E163" s="118" t="inlineStr">
        <is>
          <t>泛化 BL vs INT 期泛化探测（空心符号）</t>
        </is>
      </c>
      <c r="F163" s="119" t="inlineStr">
        <is>
          <t>0, 0, 0</t>
        </is>
      </c>
      <c r="G163" s="121">
        <f>IF(F163="","",LEN(F163)-LEN(SUBSTITUTE(F163,",",""))+1)</f>
        <v/>
      </c>
      <c r="H163" s="119" t="inlineStr">
        <is>
          <t>100, 0, 0</t>
        </is>
      </c>
      <c r="I163" s="121">
        <f>IF(H163="","",LEN(H163)-LEN(SUBSTITUTE(H163,",",""))+1)</f>
        <v/>
      </c>
      <c r="J163" s="140" t="inlineStr">
        <is>
          <t>升高改善</t>
        </is>
      </c>
      <c r="K163" s="141" t="n">
        <v>0</v>
      </c>
      <c r="L163" s="141" t="n">
        <v>1</v>
      </c>
      <c r="M163" s="121">
        <f>IF(OR(K163="",L163=""),"",IF(AND(L163&lt;0.05,OR(AND(J163="升高改善",K163&gt;0),AND(J163="降低改善",K163&lt;0))),"校正","不校正"))</f>
        <v/>
      </c>
      <c r="N163" s="118" t="inlineStr">
        <is>
          <t>Figure1，PDF7/329，自上而下第2面板，空心方形</t>
        </is>
      </c>
    </row>
    <row r="164" ht="45" customHeight="1" s="111">
      <c r="A164" s="121" t="inlineStr">
        <is>
          <t>K275</t>
        </is>
      </c>
      <c r="B164" s="121" t="inlineStr">
        <is>
          <t>038-滚雪球</t>
        </is>
      </c>
      <c r="C164" s="121" t="inlineStr">
        <is>
          <t>Ben</t>
        </is>
      </c>
      <c r="D164" s="140" t="inlineStr">
        <is>
          <t>干预</t>
        </is>
      </c>
      <c r="E164" s="119" t="inlineStr">
        <is>
          <t>BL vs INT</t>
        </is>
      </c>
      <c r="F164" s="119" t="inlineStr">
        <is>
          <t>0, 0, 0, 0, 0, 0, 0, 0, 0</t>
        </is>
      </c>
      <c r="G164" s="121">
        <f>IF(F164="","",LEN(F164)-LEN(SUBSTITUTE(F164,",",""))+1)</f>
        <v/>
      </c>
      <c r="H164" s="119" t="inlineStr">
        <is>
          <t>100, 100, 100, 100, 0, 100</t>
        </is>
      </c>
      <c r="I164" s="121">
        <f>IF(H164="","",LEN(H164)-LEN(SUBSTITUTE(H164,",",""))+1)</f>
        <v/>
      </c>
      <c r="J164" s="140" t="inlineStr">
        <is>
          <t>升高改善</t>
        </is>
      </c>
      <c r="K164" s="141" t="n">
        <v>0</v>
      </c>
      <c r="L164" s="141" t="n">
        <v>1</v>
      </c>
      <c r="M164" s="121">
        <f>IF(OR(K164="",L164=""),"",IF(AND(L164&lt;0.05,OR(AND(J164="升高改善",K164&gt;0),AND(J164="降低改善",K164&lt;0))),"校正","不校正"))</f>
        <v/>
      </c>
      <c r="N164" s="119" t="inlineStr">
        <is>
          <t>Figure1，PDF7/329，自上而下第3面板，实心圆</t>
        </is>
      </c>
    </row>
    <row r="165" ht="45" customHeight="1" s="111">
      <c r="A165" s="121" t="inlineStr">
        <is>
          <t>K276</t>
        </is>
      </c>
      <c r="B165" s="121" t="inlineStr">
        <is>
          <t>038-滚雪球</t>
        </is>
      </c>
      <c r="C165" s="121" t="inlineStr">
        <is>
          <t>Ben</t>
        </is>
      </c>
      <c r="D165" s="140" t="inlineStr">
        <is>
          <t>泛化</t>
        </is>
      </c>
      <c r="E165" s="118" t="inlineStr">
        <is>
          <t>泛化 BL vs INT 期泛化探测（空心符号）</t>
        </is>
      </c>
      <c r="F165" s="119" t="inlineStr">
        <is>
          <t>0, 0, 0, 0, 0</t>
        </is>
      </c>
      <c r="G165" s="121">
        <f>IF(F165="","",LEN(F165)-LEN(SUBSTITUTE(F165,",",""))+1)</f>
        <v/>
      </c>
      <c r="H165" s="119" t="inlineStr">
        <is>
          <t>100, 75, 100</t>
        </is>
      </c>
      <c r="I165" s="121">
        <f>IF(H165="","",LEN(H165)-LEN(SUBSTITUTE(H165,",",""))+1)</f>
        <v/>
      </c>
      <c r="J165" s="140" t="inlineStr">
        <is>
          <t>升高改善</t>
        </is>
      </c>
      <c r="K165" s="141" t="n">
        <v>0</v>
      </c>
      <c r="L165" s="141" t="n">
        <v>1</v>
      </c>
      <c r="M165" s="121">
        <f>IF(OR(K165="",L165=""),"",IF(AND(L165&lt;0.05,OR(AND(J165="升高改善",K165&gt;0),AND(J165="降低改善",K165&lt;0))),"校正","不校正"))</f>
        <v/>
      </c>
      <c r="N165" s="118" t="inlineStr">
        <is>
          <t>Figure1，PDF7/329，自上而下第3面板，空心方形</t>
        </is>
      </c>
    </row>
    <row r="166" ht="45" customHeight="1" s="111">
      <c r="A166" s="121" t="inlineStr">
        <is>
          <t>K277</t>
        </is>
      </c>
      <c r="B166" s="121" t="inlineStr">
        <is>
          <t>038-滚雪球</t>
        </is>
      </c>
      <c r="C166" s="121" t="inlineStr">
        <is>
          <t>Nick</t>
        </is>
      </c>
      <c r="D166" s="140" t="inlineStr">
        <is>
          <t>干预</t>
        </is>
      </c>
      <c r="E166" s="119" t="inlineStr">
        <is>
          <t>BL vs INT</t>
        </is>
      </c>
      <c r="F166" s="119" t="inlineStr">
        <is>
          <t>0, 40, 0, 0, 0</t>
        </is>
      </c>
      <c r="G166" s="121">
        <f>IF(F166="","",LEN(F166)-LEN(SUBSTITUTE(F166,",",""))+1)</f>
        <v/>
      </c>
      <c r="H166" s="119" t="inlineStr">
        <is>
          <t>60, 100, 80, 100, 100</t>
        </is>
      </c>
      <c r="I166" s="121">
        <f>IF(H166="","",LEN(H166)-LEN(SUBSTITUTE(H166,",",""))+1)</f>
        <v/>
      </c>
      <c r="J166" s="140" t="inlineStr">
        <is>
          <t>升高改善</t>
        </is>
      </c>
      <c r="K166" s="141" t="n">
        <v>-0.316227766016838</v>
      </c>
      <c r="L166" s="141" t="n">
        <v>0.479500122186953</v>
      </c>
      <c r="M166" s="121">
        <f>IF(OR(K166="",L166=""),"",IF(AND(L166&lt;0.05,OR(AND(J166="升高改善",K166&gt;0),AND(J166="降低改善",K166&lt;0))),"校正","不校正"))</f>
        <v/>
      </c>
      <c r="N166" s="119" t="inlineStr">
        <is>
          <t>Figure2，PDF8/330，自上而下第1面板，实心圆</t>
        </is>
      </c>
    </row>
    <row r="167" ht="45" customHeight="1" s="111">
      <c r="A167" s="121" t="inlineStr">
        <is>
          <t>K278</t>
        </is>
      </c>
      <c r="B167" s="121" t="inlineStr">
        <is>
          <t>038-滚雪球</t>
        </is>
      </c>
      <c r="C167" s="121" t="inlineStr">
        <is>
          <t>Nick</t>
        </is>
      </c>
      <c r="D167" s="140" t="inlineStr">
        <is>
          <t>维持</t>
        </is>
      </c>
      <c r="E167" s="119" t="inlineStr">
        <is>
          <t>BL vs MT（训练情境）</t>
        </is>
      </c>
      <c r="F167" s="119" t="inlineStr">
        <is>
          <t>0, 40, 0, 0, 0</t>
        </is>
      </c>
      <c r="G167" s="121">
        <f>IF(F167="","",LEN(F167)-LEN(SUBSTITUTE(F167,",",""))+1)</f>
        <v/>
      </c>
      <c r="H167" s="119" t="inlineStr">
        <is>
          <t>100, 100, 100, 100, 100, 100, 100, 80</t>
        </is>
      </c>
      <c r="I167" s="121">
        <f>IF(H167="","",LEN(H167)-LEN(SUBSTITUTE(H167,",",""))+1)</f>
        <v/>
      </c>
      <c r="J167" s="140" t="inlineStr">
        <is>
          <t>升高改善</t>
        </is>
      </c>
      <c r="K167" s="141" t="n">
        <v>-0.316227766016838</v>
      </c>
      <c r="L167" s="141" t="n">
        <v>0.479500122186953</v>
      </c>
      <c r="M167" s="121">
        <f>IF(OR(K167="",L167=""),"",IF(AND(L167&lt;0.05,OR(AND(J167="升高改善",K167&gt;0),AND(J167="降低改善",K167&lt;0))),"校正","不校正"))</f>
        <v/>
      </c>
      <c r="N167" s="119" t="inlineStr">
        <is>
          <t>Figure2，PDF8/330，自上而下第1面板，实心圆</t>
        </is>
      </c>
    </row>
    <row r="168" ht="45" customHeight="1" s="111">
      <c r="A168" s="121" t="inlineStr">
        <is>
          <t>K279</t>
        </is>
      </c>
      <c r="B168" s="121" t="inlineStr">
        <is>
          <t>038-滚雪球</t>
        </is>
      </c>
      <c r="C168" s="121" t="inlineStr">
        <is>
          <t>Nick</t>
        </is>
      </c>
      <c r="D168" s="140" t="inlineStr">
        <is>
          <t>泛化</t>
        </is>
      </c>
      <c r="E168" s="118" t="inlineStr">
        <is>
          <t>泛化 BL vs INT 期泛化探测（空心符号）</t>
        </is>
      </c>
      <c r="F168" s="119" t="inlineStr">
        <is>
          <t>0, 0, 0</t>
        </is>
      </c>
      <c r="G168" s="121">
        <f>IF(F168="","",LEN(F168)-LEN(SUBSTITUTE(F168,",",""))+1)</f>
        <v/>
      </c>
      <c r="H168" s="119" t="inlineStr">
        <is>
          <t>100, 100, 0, 0, 0</t>
        </is>
      </c>
      <c r="I168" s="121">
        <f>IF(H168="","",LEN(H168)-LEN(SUBSTITUTE(H168,",",""))+1)</f>
        <v/>
      </c>
      <c r="J168" s="140" t="inlineStr">
        <is>
          <t>升高改善</t>
        </is>
      </c>
      <c r="K168" s="141" t="n">
        <v>0</v>
      </c>
      <c r="L168" s="141" t="n">
        <v>1</v>
      </c>
      <c r="M168" s="121">
        <f>IF(OR(K168="",L168=""),"",IF(AND(L168&lt;0.05,OR(AND(J168="升高改善",K168&gt;0),AND(J168="降低改善",K168&lt;0))),"校正","不校正"))</f>
        <v/>
      </c>
      <c r="N168" s="118" t="inlineStr">
        <is>
          <t>Figure2，PDF8/330，自上而下第1面板，空心方形</t>
        </is>
      </c>
    </row>
    <row r="169" ht="45" customHeight="1" s="111">
      <c r="A169" s="121" t="inlineStr">
        <is>
          <t>K280</t>
        </is>
      </c>
      <c r="B169" s="121" t="inlineStr">
        <is>
          <t>038-滚雪球</t>
        </is>
      </c>
      <c r="C169" s="121" t="inlineStr">
        <is>
          <t>Nick</t>
        </is>
      </c>
      <c r="D169" s="140" t="inlineStr">
        <is>
          <t>干预</t>
        </is>
      </c>
      <c r="E169" s="119" t="inlineStr">
        <is>
          <t>BL vs INT</t>
        </is>
      </c>
      <c r="F169" s="119" t="inlineStr">
        <is>
          <t>0, 0, 0, 0, 0, 0, 0</t>
        </is>
      </c>
      <c r="G169" s="121">
        <f>IF(F169="","",LEN(F169)-LEN(SUBSTITUTE(F169,",",""))+1)</f>
        <v/>
      </c>
      <c r="H169" s="119" t="inlineStr">
        <is>
          <t>100, 100, 100, 100, 100</t>
        </is>
      </c>
      <c r="I169" s="121">
        <f>IF(H169="","",LEN(H169)-LEN(SUBSTITUTE(H169,",",""))+1)</f>
        <v/>
      </c>
      <c r="J169" s="140" t="inlineStr">
        <is>
          <t>升高改善</t>
        </is>
      </c>
      <c r="K169" s="141" t="n">
        <v>0</v>
      </c>
      <c r="L169" s="141" t="n">
        <v>1</v>
      </c>
      <c r="M169" s="121">
        <f>IF(OR(K169="",L169=""),"",IF(AND(L169&lt;0.05,OR(AND(J169="升高改善",K169&gt;0),AND(J169="降低改善",K169&lt;0))),"校正","不校正"))</f>
        <v/>
      </c>
      <c r="N169" s="119" t="inlineStr">
        <is>
          <t>Figure2，PDF8/330，自上而下第2面板，实心圆</t>
        </is>
      </c>
    </row>
    <row r="170" ht="45" customHeight="1" s="111">
      <c r="A170" s="121" t="inlineStr">
        <is>
          <t>K281</t>
        </is>
      </c>
      <c r="B170" s="121" t="inlineStr">
        <is>
          <t>038-滚雪球</t>
        </is>
      </c>
      <c r="C170" s="121" t="inlineStr">
        <is>
          <t>Nick</t>
        </is>
      </c>
      <c r="D170" s="140" t="inlineStr">
        <is>
          <t>维持</t>
        </is>
      </c>
      <c r="E170" s="119" t="inlineStr">
        <is>
          <t>BL vs MT（训练情境）</t>
        </is>
      </c>
      <c r="F170" s="119" t="inlineStr">
        <is>
          <t>0, 0, 0, 0, 0, 0, 0</t>
        </is>
      </c>
      <c r="G170" s="121">
        <f>IF(F170="","",LEN(F170)-LEN(SUBSTITUTE(F170,",",""))+1)</f>
        <v/>
      </c>
      <c r="H170" s="119" t="inlineStr">
        <is>
          <t>100, 100, 100, 100, 100, 0</t>
        </is>
      </c>
      <c r="I170" s="121">
        <f>IF(H170="","",LEN(H170)-LEN(SUBSTITUTE(H170,",",""))+1)</f>
        <v/>
      </c>
      <c r="J170" s="140" t="inlineStr">
        <is>
          <t>升高改善</t>
        </is>
      </c>
      <c r="K170" s="141" t="n">
        <v>0</v>
      </c>
      <c r="L170" s="141" t="n">
        <v>1</v>
      </c>
      <c r="M170" s="121">
        <f>IF(OR(K170="",L170=""),"",IF(AND(L170&lt;0.05,OR(AND(J170="升高改善",K170&gt;0),AND(J170="降低改善",K170&lt;0))),"校正","不校正"))</f>
        <v/>
      </c>
      <c r="N170" s="119" t="inlineStr">
        <is>
          <t>Figure2，PDF8/330，自上而下第2面板，实心圆</t>
        </is>
      </c>
    </row>
    <row r="171" ht="45" customHeight="1" s="111">
      <c r="A171" s="121" t="inlineStr">
        <is>
          <t>K282</t>
        </is>
      </c>
      <c r="B171" s="121" t="inlineStr">
        <is>
          <t>038-滚雪球</t>
        </is>
      </c>
      <c r="C171" s="121" t="inlineStr">
        <is>
          <t>Nick</t>
        </is>
      </c>
      <c r="D171" s="140" t="inlineStr">
        <is>
          <t>泛化</t>
        </is>
      </c>
      <c r="E171" s="118" t="inlineStr">
        <is>
          <t>泛化 BL vs INT 期泛化探测（空心符号）</t>
        </is>
      </c>
      <c r="F171" s="119" t="inlineStr">
        <is>
          <t>0, 0, 0</t>
        </is>
      </c>
      <c r="G171" s="121">
        <f>IF(F171="","",LEN(F171)-LEN(SUBSTITUTE(F171,",",""))+1)</f>
        <v/>
      </c>
      <c r="H171" s="119" t="inlineStr">
        <is>
          <t>100, 100, 100</t>
        </is>
      </c>
      <c r="I171" s="121">
        <f>IF(H171="","",LEN(H171)-LEN(SUBSTITUTE(H171,",",""))+1)</f>
        <v/>
      </c>
      <c r="J171" s="140" t="inlineStr">
        <is>
          <t>升高改善</t>
        </is>
      </c>
      <c r="K171" s="141" t="n">
        <v>0</v>
      </c>
      <c r="L171" s="141" t="n">
        <v>1</v>
      </c>
      <c r="M171" s="121">
        <f>IF(OR(K171="",L171=""),"",IF(AND(L171&lt;0.05,OR(AND(J171="升高改善",K171&gt;0),AND(J171="降低改善",K171&lt;0))),"校正","不校正"))</f>
        <v/>
      </c>
      <c r="N171" s="118" t="inlineStr">
        <is>
          <t>Figure2，PDF8/330，自上而下第2面板，空心方形</t>
        </is>
      </c>
    </row>
    <row r="172" ht="45" customHeight="1" s="111">
      <c r="A172" s="121" t="inlineStr">
        <is>
          <t>K283</t>
        </is>
      </c>
      <c r="B172" s="121" t="inlineStr">
        <is>
          <t>038-滚雪球</t>
        </is>
      </c>
      <c r="C172" s="121" t="inlineStr">
        <is>
          <t>Nick</t>
        </is>
      </c>
      <c r="D172" s="140" t="inlineStr">
        <is>
          <t>干预</t>
        </is>
      </c>
      <c r="E172" s="119" t="inlineStr">
        <is>
          <t>BL vs INT</t>
        </is>
      </c>
      <c r="F172" s="119" t="inlineStr">
        <is>
          <t>0, 0, 0, 0, 0, 0, 0, 0, 0, 0, 0</t>
        </is>
      </c>
      <c r="G172" s="121">
        <f>IF(F172="","",LEN(F172)-LEN(SUBSTITUTE(F172,",",""))+1)</f>
        <v/>
      </c>
      <c r="H172" s="119" t="inlineStr">
        <is>
          <t>100, 100, 100, 100, 100</t>
        </is>
      </c>
      <c r="I172" s="121">
        <f>IF(H172="","",LEN(H172)-LEN(SUBSTITUTE(H172,",",""))+1)</f>
        <v/>
      </c>
      <c r="J172" s="140" t="inlineStr">
        <is>
          <t>升高改善</t>
        </is>
      </c>
      <c r="K172" s="141" t="n">
        <v>0</v>
      </c>
      <c r="L172" s="141" t="n">
        <v>1</v>
      </c>
      <c r="M172" s="121">
        <f>IF(OR(K172="",L172=""),"",IF(AND(L172&lt;0.05,OR(AND(J172="升高改善",K172&gt;0),AND(J172="降低改善",K172&lt;0))),"校正","不校正"))</f>
        <v/>
      </c>
      <c r="N172" s="119" t="inlineStr">
        <is>
          <t>Figure2，PDF8/330，自上而下第3面板，实心圆</t>
        </is>
      </c>
    </row>
    <row r="173" ht="45" customHeight="1" s="111">
      <c r="A173" s="121" t="inlineStr">
        <is>
          <t>K284</t>
        </is>
      </c>
      <c r="B173" s="121" t="inlineStr">
        <is>
          <t>038-滚雪球</t>
        </is>
      </c>
      <c r="C173" s="121" t="inlineStr">
        <is>
          <t>Nick</t>
        </is>
      </c>
      <c r="D173" s="140" t="inlineStr">
        <is>
          <t>泛化</t>
        </is>
      </c>
      <c r="E173" s="118" t="inlineStr">
        <is>
          <t>泛化 BL vs INT 期泛化探测（空心符号）</t>
        </is>
      </c>
      <c r="F173" s="119" t="inlineStr">
        <is>
          <t>0, 25, 25, 0, 0, 0</t>
        </is>
      </c>
      <c r="G173" s="121">
        <f>IF(F173="","",LEN(F173)-LEN(SUBSTITUTE(F173,",",""))+1)</f>
        <v/>
      </c>
      <c r="H173" s="119" t="inlineStr">
        <is>
          <t>100, 100, 100</t>
        </is>
      </c>
      <c r="I173" s="121">
        <f>IF(H173="","",LEN(H173)-LEN(SUBSTITUTE(H173,",",""))+1)</f>
        <v/>
      </c>
      <c r="J173" s="140" t="inlineStr">
        <is>
          <t>升高改善</t>
        </is>
      </c>
      <c r="K173" s="141" t="n">
        <v>-0.365148371670111</v>
      </c>
      <c r="L173" s="141" t="n">
        <v>0.354539479773501</v>
      </c>
      <c r="M173" s="121">
        <f>IF(OR(K173="",L173=""),"",IF(AND(L173&lt;0.05,OR(AND(J173="升高改善",K173&gt;0),AND(J173="降低改善",K173&lt;0))),"校正","不校正"))</f>
        <v/>
      </c>
      <c r="N173" s="118" t="inlineStr">
        <is>
          <t>Figure2，PDF8/330，自上而下第3面板，空心方形</t>
        </is>
      </c>
    </row>
    <row r="174" ht="45" customHeight="1" s="111">
      <c r="A174" s="125" t="inlineStr">
        <is>
          <t>K285</t>
        </is>
      </c>
      <c r="B174" s="125" t="inlineStr">
        <is>
          <t>039-二次</t>
        </is>
      </c>
      <c r="C174" s="125" t="inlineStr">
        <is>
          <t>J.</t>
        </is>
      </c>
      <c r="D174" s="146" t="inlineStr">
        <is>
          <t>干预</t>
        </is>
      </c>
      <c r="E174" s="134" t="inlineStr">
        <is>
          <t>Baseline A vs Video 1–3 合并段（Video 4 不用）</t>
        </is>
      </c>
      <c r="F174" s="134" t="inlineStr">
        <is>
          <t>300, 300, 300, 300, 300, 300</t>
        </is>
      </c>
      <c r="G174" s="125">
        <f>IF(F174="","",LEN(F174)-LEN(SUBSTITUTE(F174,",",""))+1)</f>
        <v/>
      </c>
      <c r="H174" s="134" t="inlineStr">
        <is>
          <t>300, 28, 13, 11, 3, 5, 30, 5, 5, 5</t>
        </is>
      </c>
      <c r="I174" s="125">
        <f>IF(H174="","",LEN(H174)-LEN(SUBSTITUTE(H174,",",""))+1)</f>
        <v/>
      </c>
      <c r="J174" s="146" t="inlineStr">
        <is>
          <t>降低改善</t>
        </is>
      </c>
      <c r="K174" s="147" t="n">
        <v>0</v>
      </c>
      <c r="L174" s="147" t="n">
        <v>1</v>
      </c>
      <c r="M174" s="125">
        <f>IF(OR(K174="",L174=""),"",IF(AND(L174&lt;0.05,OR(AND(J174="升高改善",K174&gt;0),AND(J174="降低改善",K174&lt;0))),"校正","不校正"))</f>
        <v/>
      </c>
      <c r="N174" s="134" t="inlineStr">
        <is>
          <t>Fig2，PDF7／印刷684，第1面板，空心圆 SI–Ball；参与者 J.；Baseline A 与所有 Video 1–3 段，按图中时间顺序池化</t>
        </is>
      </c>
    </row>
    <row r="175" ht="45" customHeight="1" s="111">
      <c r="A175" s="125" t="inlineStr">
        <is>
          <t>K286</t>
        </is>
      </c>
      <c r="B175" s="125" t="inlineStr">
        <is>
          <t>039-二次</t>
        </is>
      </c>
      <c r="C175" s="125" t="inlineStr">
        <is>
          <t>J.</t>
        </is>
      </c>
      <c r="D175" s="146" t="inlineStr">
        <is>
          <t>维持</t>
        </is>
      </c>
      <c r="E175" s="134" t="inlineStr">
        <is>
          <t>Baseline A vs 1 个月＋2 个月 Follow-up</t>
        </is>
      </c>
      <c r="F175" s="134" t="inlineStr">
        <is>
          <t>300, 300, 300, 300, 300, 300</t>
        </is>
      </c>
      <c r="G175" s="125">
        <f>IF(F175="","",LEN(F175)-LEN(SUBSTITUTE(F175,",",""))+1)</f>
        <v/>
      </c>
      <c r="H175" s="134" t="inlineStr">
        <is>
          <t>5, 7, 5, 19, 5, 10</t>
        </is>
      </c>
      <c r="I175" s="125">
        <f>IF(H175="","",LEN(H175)-LEN(SUBSTITUTE(H175,",",""))+1)</f>
        <v/>
      </c>
      <c r="J175" s="146" t="inlineStr">
        <is>
          <t>降低改善</t>
        </is>
      </c>
      <c r="K175" s="147" t="n">
        <v>0</v>
      </c>
      <c r="L175" s="147" t="n">
        <v>1</v>
      </c>
      <c r="M175" s="125">
        <f>IF(OR(K175="",L175=""),"",IF(AND(L175&lt;0.05,OR(AND(J175="升高改善",K175&gt;0),AND(J175="降低改善",K175&lt;0))),"校正","不校正"))</f>
        <v/>
      </c>
      <c r="N175" s="134" t="inlineStr">
        <is>
          <t>Fig2，PDF7／印刷684，第1面板，空心圆 SI–Ball；参与者 J.；Baseline A 与 1-month/2-month Follow-up，每月3点</t>
        </is>
      </c>
    </row>
    <row r="176" ht="45" customHeight="1" s="111">
      <c r="A176" s="125" t="inlineStr">
        <is>
          <t>K287</t>
        </is>
      </c>
      <c r="B176" s="125" t="inlineStr">
        <is>
          <t>039-二次</t>
        </is>
      </c>
      <c r="C176" s="125" t="inlineStr">
        <is>
          <t>J.</t>
        </is>
      </c>
      <c r="D176" s="146" t="inlineStr">
        <is>
          <t>干预</t>
        </is>
      </c>
      <c r="E176" s="134" t="inlineStr">
        <is>
          <t>Baseline A vs Video 1–3 合并段（Video 4 不用）</t>
        </is>
      </c>
      <c r="F176" s="148" t="inlineStr">
        <is>
          <t>300, 300, 300, 300, 300, 300, 300, 300, 300, 300, 300</t>
        </is>
      </c>
      <c r="G176" s="149">
        <f>IF(F176="","",LEN(F176)-LEN(SUBSTITUTE(F176,",",""))+1)</f>
        <v/>
      </c>
      <c r="H176" s="148" t="inlineStr">
        <is>
          <t>0, 0, 0, 0, 0</t>
        </is>
      </c>
      <c r="I176" s="149">
        <f>IF(H176="","",LEN(H176)-LEN(SUBSTITUTE(H176,",",""))+1)</f>
        <v/>
      </c>
      <c r="J176" s="150" t="inlineStr">
        <is>
          <t>降低改善</t>
        </is>
      </c>
      <c r="K176" s="151" t="n">
        <v>0</v>
      </c>
      <c r="L176" s="151" t="n">
        <v>1</v>
      </c>
      <c r="M176" s="149">
        <f>IF(OR(K176="",L176=""),"",IF(AND(L176&lt;0.05,OR(AND(J176="升高改善",K176&gt;0),AND(J176="降低改善",K176&lt;0))),"校正","不校正"))</f>
        <v/>
      </c>
      <c r="N176" s="134" t="inlineStr">
        <is>
          <t>Fig2，PDF7／印刷684，第1面板，实心三角 SI–Table；参与者 J.；Baseline A 与所有 Video 1–3 段，按图中时间顺序池化</t>
        </is>
      </c>
    </row>
    <row r="177" ht="45" customHeight="1" s="111">
      <c r="A177" s="125" t="inlineStr">
        <is>
          <t>K288</t>
        </is>
      </c>
      <c r="B177" s="125" t="inlineStr">
        <is>
          <t>039-二次</t>
        </is>
      </c>
      <c r="C177" s="125" t="inlineStr">
        <is>
          <t>J.</t>
        </is>
      </c>
      <c r="D177" s="146" t="inlineStr">
        <is>
          <t>维持</t>
        </is>
      </c>
      <c r="E177" s="134" t="inlineStr">
        <is>
          <t>Baseline A vs 1 个月＋2 个月 Follow-up</t>
        </is>
      </c>
      <c r="F177" s="148" t="inlineStr">
        <is>
          <t>300, 300, 300, 300, 300, 300, 300, 300, 300, 300, 300</t>
        </is>
      </c>
      <c r="G177" s="149">
        <f>IF(F177="","",LEN(F177)-LEN(SUBSTITUTE(F177,",",""))+1)</f>
        <v/>
      </c>
      <c r="H177" s="148" t="inlineStr">
        <is>
          <t>0, 0, 0, 0, 26, 0</t>
        </is>
      </c>
      <c r="I177" s="149">
        <f>IF(H177="","",LEN(H177)-LEN(SUBSTITUTE(H177,",",""))+1)</f>
        <v/>
      </c>
      <c r="J177" s="150" t="inlineStr">
        <is>
          <t>降低改善</t>
        </is>
      </c>
      <c r="K177" s="151" t="n">
        <v>0</v>
      </c>
      <c r="L177" s="151" t="n">
        <v>1</v>
      </c>
      <c r="M177" s="149">
        <f>IF(OR(K177="",L177=""),"",IF(AND(L177&lt;0.05,OR(AND(J177="升高改善",K177&gt;0),AND(J177="降低改善",K177&lt;0))),"校正","不校正"))</f>
        <v/>
      </c>
      <c r="N177" s="134" t="inlineStr">
        <is>
          <t>Fig2，PDF7／印刷684，第1面板，实心三角 SI–Table；参与者 J.；Baseline A 与 1-month/2-month Follow-up，每月3点</t>
        </is>
      </c>
    </row>
    <row r="178" ht="45" customHeight="1" s="111">
      <c r="A178" s="125" t="inlineStr">
        <is>
          <t>K289</t>
        </is>
      </c>
      <c r="B178" s="125" t="inlineStr">
        <is>
          <t>039-二次</t>
        </is>
      </c>
      <c r="C178" s="125" t="inlineStr">
        <is>
          <t>J.</t>
        </is>
      </c>
      <c r="D178" s="146" t="inlineStr">
        <is>
          <t>干预</t>
        </is>
      </c>
      <c r="E178" s="134" t="inlineStr">
        <is>
          <t>Baseline A vs Video 1–3 合并段（Video 4 不用）</t>
        </is>
      </c>
      <c r="F178" s="148" t="inlineStr">
        <is>
          <t>300, 300, 300, 300, 300, 300, 300, 300, 300, 300, 300</t>
        </is>
      </c>
      <c r="G178" s="149">
        <f>IF(F178="","",LEN(F178)-LEN(SUBSTITUTE(F178,",",""))+1)</f>
        <v/>
      </c>
      <c r="H178" s="148" t="inlineStr">
        <is>
          <t>2, 2, 2, 2, 2</t>
        </is>
      </c>
      <c r="I178" s="149">
        <f>IF(H178="","",LEN(H178)-LEN(SUBSTITUTE(H178,",",""))+1)</f>
        <v/>
      </c>
      <c r="J178" s="150" t="inlineStr">
        <is>
          <t>降低改善</t>
        </is>
      </c>
      <c r="K178" s="151" t="n">
        <v>0</v>
      </c>
      <c r="L178" s="151" t="n">
        <v>1</v>
      </c>
      <c r="M178" s="149">
        <f>IF(OR(K178="",L178=""),"",IF(AND(L178&lt;0.05,OR(AND(J178="升高改善",K178&gt;0),AND(J178="降低改善",K178&lt;0))),"校正","不校正"))</f>
        <v/>
      </c>
      <c r="N178" s="134" t="inlineStr">
        <is>
          <t>Fig2，PDF7／印刷684，第1面板，实心圆 SI–Rags；参与者 J.；Baseline A 与所有 Video 1–3 段，按图中时间顺序池化</t>
        </is>
      </c>
    </row>
    <row r="179" ht="45" customHeight="1" s="111">
      <c r="A179" s="125" t="inlineStr">
        <is>
          <t>K290</t>
        </is>
      </c>
      <c r="B179" s="125" t="inlineStr">
        <is>
          <t>039-二次</t>
        </is>
      </c>
      <c r="C179" s="125" t="inlineStr">
        <is>
          <t>J.</t>
        </is>
      </c>
      <c r="D179" s="146" t="inlineStr">
        <is>
          <t>维持</t>
        </is>
      </c>
      <c r="E179" s="134" t="inlineStr">
        <is>
          <t>Baseline A vs 1 个月＋2 个月 Follow-up</t>
        </is>
      </c>
      <c r="F179" s="148" t="inlineStr">
        <is>
          <t>300, 300, 300, 300, 300, 300, 300, 300, 300, 300, 300</t>
        </is>
      </c>
      <c r="G179" s="149">
        <f>IF(F179="","",LEN(F179)-LEN(SUBSTITUTE(F179,",",""))+1)</f>
        <v/>
      </c>
      <c r="H179" s="148" t="inlineStr">
        <is>
          <t>2, 2, 2, 2, 2, 2</t>
        </is>
      </c>
      <c r="I179" s="149">
        <f>IF(H179="","",LEN(H179)-LEN(SUBSTITUTE(H179,",",""))+1)</f>
        <v/>
      </c>
      <c r="J179" s="150" t="inlineStr">
        <is>
          <t>降低改善</t>
        </is>
      </c>
      <c r="K179" s="151" t="n">
        <v>0</v>
      </c>
      <c r="L179" s="151" t="n">
        <v>1</v>
      </c>
      <c r="M179" s="149">
        <f>IF(OR(K179="",L179=""),"",IF(AND(L179&lt;0.05,OR(AND(J179="升高改善",K179&gt;0),AND(J179="降低改善",K179&lt;0))),"校正","不校正"))</f>
        <v/>
      </c>
      <c r="N179" s="134" t="inlineStr">
        <is>
          <t>Fig2，PDF7／印刷684，第1面板，实心圆 SI–Rags；参与者 J.；Baseline A 与 1-month/2-month Follow-up，每月3点</t>
        </is>
      </c>
    </row>
    <row r="180" ht="45" customHeight="1" s="111">
      <c r="A180" s="121" t="inlineStr">
        <is>
          <t>K291</t>
        </is>
      </c>
      <c r="B180" s="121" t="inlineStr">
        <is>
          <t>039-二次</t>
        </is>
      </c>
      <c r="C180" s="121" t="inlineStr">
        <is>
          <t>J.</t>
        </is>
      </c>
      <c r="D180" s="140" t="inlineStr">
        <is>
          <t>干预</t>
        </is>
      </c>
      <c r="E180" s="119" t="inlineStr">
        <is>
          <t>Baseline A vs Video 1–3 合并段（Video 4 不用）</t>
        </is>
      </c>
      <c r="F180" s="119" t="inlineStr">
        <is>
          <t>0, 0, 0, 0, 0, 0</t>
        </is>
      </c>
      <c r="G180" s="121">
        <f>IF(F180="","",LEN(F180)-LEN(SUBSTITUTE(F180,",",""))+1)</f>
        <v/>
      </c>
      <c r="H180" s="119" t="inlineStr">
        <is>
          <t>0, 205, 275, 297, 165, 143, 107, 37, 299, 136</t>
        </is>
      </c>
      <c r="I180" s="121">
        <f>IF(H180="","",LEN(H180)-LEN(SUBSTITUTE(H180,",",""))+1)</f>
        <v/>
      </c>
      <c r="J180" s="140" t="inlineStr">
        <is>
          <t>升高改善</t>
        </is>
      </c>
      <c r="K180" s="141" t="n">
        <v>0</v>
      </c>
      <c r="L180" s="141" t="n">
        <v>1</v>
      </c>
      <c r="M180" s="121">
        <f>IF(OR(K180="",L180=""),"",IF(AND(L180&lt;0.05,OR(AND(J180="升高改善",K180&gt;0),AND(J180="降低改善",K180&lt;0))),"校正","不校正"))</f>
        <v/>
      </c>
      <c r="N180" s="119" t="inlineStr">
        <is>
          <t>Fig3，PDF8／印刷685，第1面板，空心方形主系列；参与者 J.；Baseline A 与所有 Video 1–3 段，按图中时间顺序池化</t>
        </is>
      </c>
    </row>
    <row r="181" ht="45" customHeight="1" s="111">
      <c r="A181" s="121" t="inlineStr">
        <is>
          <t>K292</t>
        </is>
      </c>
      <c r="B181" s="121" t="inlineStr">
        <is>
          <t>039-二次</t>
        </is>
      </c>
      <c r="C181" s="121" t="inlineStr">
        <is>
          <t>J.</t>
        </is>
      </c>
      <c r="D181" s="140" t="inlineStr">
        <is>
          <t>维持</t>
        </is>
      </c>
      <c r="E181" s="119" t="inlineStr">
        <is>
          <t>Baseline A vs 1 个月＋2 个月 Follow-up</t>
        </is>
      </c>
      <c r="F181" s="119" t="inlineStr">
        <is>
          <t>0, 0, 0, 0, 0, 0</t>
        </is>
      </c>
      <c r="G181" s="121">
        <f>IF(F181="","",LEN(F181)-LEN(SUBSTITUTE(F181,",",""))+1)</f>
        <v/>
      </c>
      <c r="H181" s="119" t="inlineStr">
        <is>
          <t>71, 80, 102, 58, 136, 75</t>
        </is>
      </c>
      <c r="I181" s="121">
        <f>IF(H181="","",LEN(H181)-LEN(SUBSTITUTE(H181,",",""))+1)</f>
        <v/>
      </c>
      <c r="J181" s="140" t="inlineStr">
        <is>
          <t>升高改善</t>
        </is>
      </c>
      <c r="K181" s="141" t="n">
        <v>0</v>
      </c>
      <c r="L181" s="141" t="n">
        <v>1</v>
      </c>
      <c r="M181" s="121">
        <f>IF(OR(K181="",L181=""),"",IF(AND(L181&lt;0.05,OR(AND(J181="升高改善",K181&gt;0),AND(J181="降低改善",K181&lt;0))),"校正","不校正"))</f>
        <v/>
      </c>
      <c r="N181" s="119" t="inlineStr">
        <is>
          <t>Fig3，PDF8／印刷685，第1面板，空心方形主系列；参与者 J.；Baseline A 与 1-month/2-month Follow-up，每月3点</t>
        </is>
      </c>
    </row>
    <row r="182" ht="45" customHeight="1" s="111">
      <c r="A182" s="125" t="inlineStr">
        <is>
          <t>K293</t>
        </is>
      </c>
      <c r="B182" s="125" t="inlineStr">
        <is>
          <t>039-二次</t>
        </is>
      </c>
      <c r="C182" s="125" t="inlineStr">
        <is>
          <t>P.</t>
        </is>
      </c>
      <c r="D182" s="146" t="inlineStr">
        <is>
          <t>干预</t>
        </is>
      </c>
      <c r="E182" s="134" t="inlineStr">
        <is>
          <t>Baseline A vs Video 1–3 合并段（Video 4 不用）</t>
        </is>
      </c>
      <c r="F182" s="132" t="inlineStr">
        <is>
          <t>300, 300, 300, 300, 300, 300, 300, 300, 300, 300, 300</t>
        </is>
      </c>
      <c r="G182" s="123">
        <f>IF(F182="","",LEN(F182)-LEN(SUBSTITUTE(F182,",",""))+1)</f>
        <v/>
      </c>
      <c r="H182" s="132" t="inlineStr">
        <is>
          <t>300, 17, 5, 3, 12, 12, 47, 2, 25, 3, 3, 3, 8, 2, 5, 2, 5, 3, 3</t>
        </is>
      </c>
      <c r="I182" s="123">
        <f>IF(H182="","",LEN(H182)-LEN(SUBSTITUTE(H182,",",""))+1)</f>
        <v/>
      </c>
      <c r="J182" s="142" t="inlineStr">
        <is>
          <t>降低改善</t>
        </is>
      </c>
      <c r="K182" s="143" t="n">
        <v>0</v>
      </c>
      <c r="L182" s="143" t="n">
        <v>1</v>
      </c>
      <c r="M182" s="123">
        <f>IF(OR(K182="",L182=""),"",IF(AND(L182&lt;0.05,OR(AND(J182="升高改善",K182&gt;0),AND(J182="降低改善",K182&lt;0))),"校正","不校正"))</f>
        <v/>
      </c>
      <c r="N182" s="134" t="inlineStr">
        <is>
          <t>Fig2，PDF7／印刷684，第2面板，空心圆 SI–Ball；参与者 P.；Baseline A 与所有 Video 1–3 段，按图中时间顺序池化</t>
        </is>
      </c>
    </row>
    <row r="183" ht="45" customHeight="1" s="111">
      <c r="A183" s="125" t="inlineStr">
        <is>
          <t>K294</t>
        </is>
      </c>
      <c r="B183" s="125" t="inlineStr">
        <is>
          <t>039-二次</t>
        </is>
      </c>
      <c r="C183" s="125" t="inlineStr">
        <is>
          <t>P.</t>
        </is>
      </c>
      <c r="D183" s="146" t="inlineStr">
        <is>
          <t>维持</t>
        </is>
      </c>
      <c r="E183" s="134" t="inlineStr">
        <is>
          <t>Baseline A vs 1 个月＋2 个月 Follow-up</t>
        </is>
      </c>
      <c r="F183" s="134" t="inlineStr">
        <is>
          <t>300, 300, 300, 300, 300, 300, 300, 300, 300, 300, 300</t>
        </is>
      </c>
      <c r="G183" s="125">
        <f>IF(F183="","",LEN(F183)-LEN(SUBSTITUTE(F183,",",""))+1)</f>
        <v/>
      </c>
      <c r="H183" s="134" t="inlineStr">
        <is>
          <t>8, 3, 3, 3, 12, 8</t>
        </is>
      </c>
      <c r="I183" s="125">
        <f>IF(H183="","",LEN(H183)-LEN(SUBSTITUTE(H183,",",""))+1)</f>
        <v/>
      </c>
      <c r="J183" s="146" t="inlineStr">
        <is>
          <t>降低改善</t>
        </is>
      </c>
      <c r="K183" s="147" t="n">
        <v>0</v>
      </c>
      <c r="L183" s="147" t="n">
        <v>1</v>
      </c>
      <c r="M183" s="125">
        <f>IF(OR(K183="",L183=""),"",IF(AND(L183&lt;0.05,OR(AND(J183="升高改善",K183&gt;0),AND(J183="降低改善",K183&lt;0))),"校正","不校正"))</f>
        <v/>
      </c>
      <c r="N183" s="134" t="inlineStr">
        <is>
          <t>Fig2，PDF7／印刷684，第2面板，空心圆 SI–Ball；参与者 P.；Baseline A 与 1-month/2-month Follow-up，每月3点</t>
        </is>
      </c>
    </row>
    <row r="184" ht="45" customHeight="1" s="111">
      <c r="A184" s="125" t="inlineStr">
        <is>
          <t>K295</t>
        </is>
      </c>
      <c r="B184" s="125" t="inlineStr">
        <is>
          <t>039-二次</t>
        </is>
      </c>
      <c r="C184" s="125" t="inlineStr">
        <is>
          <t>P.</t>
        </is>
      </c>
      <c r="D184" s="146" t="inlineStr">
        <is>
          <t>干预</t>
        </is>
      </c>
      <c r="E184" s="134" t="inlineStr">
        <is>
          <t>Baseline A vs Video 1–3 合并段（Video 4 不用）</t>
        </is>
      </c>
      <c r="F184" s="132" t="inlineStr">
        <is>
          <t>300, 300, 300, 300, 300, 300, 300, 300, 300, 300, 300, 300, 300, 300, 300, 300</t>
        </is>
      </c>
      <c r="G184" s="123">
        <f>IF(F184="","",LEN(F184)-LEN(SUBSTITUTE(F184,",",""))+1)</f>
        <v/>
      </c>
      <c r="H184" s="132" t="inlineStr">
        <is>
          <t>300, 300, 300, 300, 300, 300, 300, 300, 0, 3, 22, 3, 0, 0</t>
        </is>
      </c>
      <c r="I184" s="123">
        <f>IF(H184="","",LEN(H184)-LEN(SUBSTITUTE(H184,",",""))+1)</f>
        <v/>
      </c>
      <c r="J184" s="142" t="inlineStr">
        <is>
          <t>降低改善</t>
        </is>
      </c>
      <c r="K184" s="143" t="n">
        <v>0</v>
      </c>
      <c r="L184" s="143" t="n">
        <v>1</v>
      </c>
      <c r="M184" s="123">
        <f>IF(OR(K184="",L184=""),"",IF(AND(L184&lt;0.05,OR(AND(J184="升高改善",K184&gt;0),AND(J184="降低改善",K184&lt;0))),"校正","不校正"))</f>
        <v/>
      </c>
      <c r="N184" s="134" t="inlineStr">
        <is>
          <t>Fig2，PDF7／印刷684，第2面板，实心三角 SI–Table；参与者 P.；Baseline A 与所有 Video 1–3 段，按图中时间顺序池化</t>
        </is>
      </c>
    </row>
    <row r="185" ht="45" customHeight="1" s="111">
      <c r="A185" s="125" t="inlineStr">
        <is>
          <t>K296</t>
        </is>
      </c>
      <c r="B185" s="125" t="inlineStr">
        <is>
          <t>039-二次</t>
        </is>
      </c>
      <c r="C185" s="125" t="inlineStr">
        <is>
          <t>P.</t>
        </is>
      </c>
      <c r="D185" s="146" t="inlineStr">
        <is>
          <t>维持</t>
        </is>
      </c>
      <c r="E185" s="134" t="inlineStr">
        <is>
          <t>Baseline A vs 1 个月＋2 个月 Follow-up</t>
        </is>
      </c>
      <c r="F185" s="148" t="inlineStr">
        <is>
          <t>300, 300, 300, 300, 300, 300, 300, 300, 300, 300, 300, 300, 300, 300, 300, 300</t>
        </is>
      </c>
      <c r="G185" s="149">
        <f>IF(F185="","",LEN(F185)-LEN(SUBSTITUTE(F185,",",""))+1)</f>
        <v/>
      </c>
      <c r="H185" s="148" t="inlineStr">
        <is>
          <t>0, 0, 0, 8, 3, 3</t>
        </is>
      </c>
      <c r="I185" s="149">
        <f>IF(H185="","",LEN(H185)-LEN(SUBSTITUTE(H185,",",""))+1)</f>
        <v/>
      </c>
      <c r="J185" s="150" t="inlineStr">
        <is>
          <t>降低改善</t>
        </is>
      </c>
      <c r="K185" s="151" t="n">
        <v>0</v>
      </c>
      <c r="L185" s="151" t="n">
        <v>1</v>
      </c>
      <c r="M185" s="149">
        <f>IF(OR(K185="",L185=""),"",IF(AND(L185&lt;0.05,OR(AND(J185="升高改善",K185&gt;0),AND(J185="降低改善",K185&lt;0))),"校正","不校正"))</f>
        <v/>
      </c>
      <c r="N185" s="134" t="inlineStr">
        <is>
          <t>Fig2，PDF7／印刷684，第2面板，实心三角 SI–Table；参与者 P.；Baseline A 与 1-month/2-month Follow-up，每月3点</t>
        </is>
      </c>
    </row>
    <row r="186" ht="45" customHeight="1" s="111">
      <c r="A186" s="125" t="inlineStr">
        <is>
          <t>K297</t>
        </is>
      </c>
      <c r="B186" s="125" t="inlineStr">
        <is>
          <t>039-二次</t>
        </is>
      </c>
      <c r="C186" s="125" t="inlineStr">
        <is>
          <t>P.</t>
        </is>
      </c>
      <c r="D186" s="146" t="inlineStr">
        <is>
          <t>干预</t>
        </is>
      </c>
      <c r="E186" s="134" t="inlineStr">
        <is>
          <t>Baseline A vs Video 1–3 合并段（Video 4 不用）</t>
        </is>
      </c>
      <c r="F186" s="132" t="inlineStr">
        <is>
          <t>300, 300, 300, 300, 300, 300, 300, 300, 300, 300, 300, 300, 300, 300, 300, 300</t>
        </is>
      </c>
      <c r="G186" s="123">
        <f>IF(F186="","",LEN(F186)-LEN(SUBSTITUTE(F186,",",""))+1)</f>
        <v/>
      </c>
      <c r="H186" s="132" t="inlineStr">
        <is>
          <t>300, 300, 300, 300, 300, 300, 300, 300, 300, 15, 85, 12, 0, 0</t>
        </is>
      </c>
      <c r="I186" s="123">
        <f>IF(H186="","",LEN(H186)-LEN(SUBSTITUTE(H186,",",""))+1)</f>
        <v/>
      </c>
      <c r="J186" s="142" t="inlineStr">
        <is>
          <t>降低改善</t>
        </is>
      </c>
      <c r="K186" s="143" t="n">
        <v>0</v>
      </c>
      <c r="L186" s="143" t="n">
        <v>1</v>
      </c>
      <c r="M186" s="123">
        <f>IF(OR(K186="",L186=""),"",IF(AND(L186&lt;0.05,OR(AND(J186="升高改善",K186&gt;0),AND(J186="降低改善",K186&lt;0))),"校正","不校正"))</f>
        <v/>
      </c>
      <c r="N186" s="134" t="inlineStr">
        <is>
          <t>Fig2，PDF7／印刷684，第2面板，实心圆 SI–Rags；参与者 P.；Baseline A 与所有 Video 1–3 段，按图中时间顺序池化</t>
        </is>
      </c>
    </row>
    <row r="187" ht="45" customHeight="1" s="111">
      <c r="A187" s="125" t="inlineStr">
        <is>
          <t>K298</t>
        </is>
      </c>
      <c r="B187" s="125" t="inlineStr">
        <is>
          <t>039-二次</t>
        </is>
      </c>
      <c r="C187" s="125" t="inlineStr">
        <is>
          <t>P.</t>
        </is>
      </c>
      <c r="D187" s="146" t="inlineStr">
        <is>
          <t>维持</t>
        </is>
      </c>
      <c r="E187" s="134" t="inlineStr">
        <is>
          <t>Baseline A vs 1 个月＋2 个月 Follow-up</t>
        </is>
      </c>
      <c r="F187" s="148" t="inlineStr">
        <is>
          <t>300, 300, 300, 300, 300, 300, 300, 300, 300, 300, 300, 300, 300, 300, 300, 300</t>
        </is>
      </c>
      <c r="G187" s="149">
        <f>IF(F187="","",LEN(F187)-LEN(SUBSTITUTE(F187,",",""))+1)</f>
        <v/>
      </c>
      <c r="H187" s="148" t="inlineStr">
        <is>
          <t>2, 5, 2, 0, 0, 0</t>
        </is>
      </c>
      <c r="I187" s="149">
        <f>IF(H187="","",LEN(H187)-LEN(SUBSTITUTE(H187,",",""))+1)</f>
        <v/>
      </c>
      <c r="J187" s="150" t="inlineStr">
        <is>
          <t>降低改善</t>
        </is>
      </c>
      <c r="K187" s="151" t="n">
        <v>0</v>
      </c>
      <c r="L187" s="151" t="n">
        <v>1</v>
      </c>
      <c r="M187" s="149">
        <f>IF(OR(K187="",L187=""),"",IF(AND(L187&lt;0.05,OR(AND(J187="升高改善",K187&gt;0),AND(J187="降低改善",K187&lt;0))),"校正","不校正"))</f>
        <v/>
      </c>
      <c r="N187" s="134" t="inlineStr">
        <is>
          <t>Fig2，PDF7／印刷684，第2面板，实心圆 SI–Rags；参与者 P.；Baseline A 与 1-month/2-month Follow-up，每月3点</t>
        </is>
      </c>
    </row>
    <row r="188" ht="45" customHeight="1" s="111">
      <c r="A188" s="121" t="inlineStr">
        <is>
          <t>K299</t>
        </is>
      </c>
      <c r="B188" s="121" t="inlineStr">
        <is>
          <t>039-二次</t>
        </is>
      </c>
      <c r="C188" s="121" t="inlineStr">
        <is>
          <t>P.</t>
        </is>
      </c>
      <c r="D188" s="140" t="inlineStr">
        <is>
          <t>干预</t>
        </is>
      </c>
      <c r="E188" s="119" t="inlineStr">
        <is>
          <t>Baseline A vs Video 1–3 合并段（Video 4 不用）</t>
        </is>
      </c>
      <c r="F188" s="132" t="inlineStr">
        <is>
          <t>0, 0, 0, 0, 0, 0, 0, 0, 0, 0, 0</t>
        </is>
      </c>
      <c r="G188" s="123">
        <f>IF(F188="","",LEN(F188)-LEN(SUBSTITUTE(F188,",",""))+1)</f>
        <v/>
      </c>
      <c r="H188" s="132" t="inlineStr">
        <is>
          <t>0, 64, 67, 93, 96, 105, 108, 82, 108, 96, 127, 88, 64, 79, 72, 67, 110, 69, 60</t>
        </is>
      </c>
      <c r="I188" s="123">
        <f>IF(H188="","",LEN(H188)-LEN(SUBSTITUTE(H188,",",""))+1)</f>
        <v/>
      </c>
      <c r="J188" s="142" t="inlineStr">
        <is>
          <t>升高改善</t>
        </is>
      </c>
      <c r="K188" s="143" t="n">
        <v>0</v>
      </c>
      <c r="L188" s="143" t="n">
        <v>1</v>
      </c>
      <c r="M188" s="123">
        <f>IF(OR(K188="",L188=""),"",IF(AND(L188&lt;0.05,OR(AND(J188="升高改善",K188&gt;0),AND(J188="降低改善",K188&lt;0))),"校正","不校正"))</f>
        <v/>
      </c>
      <c r="N188" s="119" t="inlineStr">
        <is>
          <t>Fig3，PDF8／印刷685，第2面板，空心方形主系列；参与者 P.；Baseline A 与所有 Video 1–3 段，按图中时间顺序池化</t>
        </is>
      </c>
    </row>
    <row r="189" ht="45" customHeight="1" s="111">
      <c r="A189" s="121" t="inlineStr">
        <is>
          <t>K300</t>
        </is>
      </c>
      <c r="B189" s="121" t="inlineStr">
        <is>
          <t>039-二次</t>
        </is>
      </c>
      <c r="C189" s="121" t="inlineStr">
        <is>
          <t>P.</t>
        </is>
      </c>
      <c r="D189" s="140" t="inlineStr">
        <is>
          <t>维持</t>
        </is>
      </c>
      <c r="E189" s="119" t="inlineStr">
        <is>
          <t>Baseline A vs 1 个月＋2 个月 Follow-up</t>
        </is>
      </c>
      <c r="F189" s="119" t="inlineStr">
        <is>
          <t>0, 0, 0, 0, 0, 0, 0, 0, 0, 0, 0</t>
        </is>
      </c>
      <c r="G189" s="121">
        <f>IF(F189="","",LEN(F189)-LEN(SUBSTITUTE(F189,",",""))+1)</f>
        <v/>
      </c>
      <c r="H189" s="119" t="inlineStr">
        <is>
          <t>60, 53, 65, 76, 72, 45</t>
        </is>
      </c>
      <c r="I189" s="121">
        <f>IF(H189="","",LEN(H189)-LEN(SUBSTITUTE(H189,",",""))+1)</f>
        <v/>
      </c>
      <c r="J189" s="140" t="inlineStr">
        <is>
          <t>升高改善</t>
        </is>
      </c>
      <c r="K189" s="141" t="n">
        <v>0</v>
      </c>
      <c r="L189" s="141" t="n">
        <v>1</v>
      </c>
      <c r="M189" s="121">
        <f>IF(OR(K189="",L189=""),"",IF(AND(L189&lt;0.05,OR(AND(J189="升高改善",K189&gt;0),AND(J189="降低改善",K189&lt;0))),"校正","不校正"))</f>
        <v/>
      </c>
      <c r="N189" s="119" t="inlineStr">
        <is>
          <t>Fig3，PDF8／印刷685，第2面板，空心方形主系列；参与者 P.；Baseline A 与 1-month/2-month Follow-up，每月3点</t>
        </is>
      </c>
    </row>
    <row r="190" ht="45" customHeight="1" s="111">
      <c r="A190" s="125" t="inlineStr">
        <is>
          <t>K301</t>
        </is>
      </c>
      <c r="B190" s="125" t="inlineStr">
        <is>
          <t>039-二次</t>
        </is>
      </c>
      <c r="C190" s="125" t="inlineStr">
        <is>
          <t>S.</t>
        </is>
      </c>
      <c r="D190" s="146" t="inlineStr">
        <is>
          <t>干预</t>
        </is>
      </c>
      <c r="E190" s="134" t="inlineStr">
        <is>
          <t>Baseline A vs Video 1–3 合并段（Video 4 不用）</t>
        </is>
      </c>
      <c r="F190" s="134" t="inlineStr">
        <is>
          <t>300, 300, 300, 300, 300, 300, 300, 300, 300, 300, 300, 300, 300, 300, 300, 300</t>
        </is>
      </c>
      <c r="G190" s="125">
        <f>IF(F190="","",LEN(F190)-LEN(SUBSTITUTE(F190,",",""))+1)</f>
        <v/>
      </c>
      <c r="H190" s="134" t="inlineStr">
        <is>
          <t>98, 300, 12, 7, 9, 300, 300, 24, 7, 4, 4, 6, 2, 74, 2, 2, 2, 2, 2, 6, 7, 2, 11, 2</t>
        </is>
      </c>
      <c r="I190" s="125">
        <f>IF(H190="","",LEN(H190)-LEN(SUBSTITUTE(H190,",",""))+1)</f>
        <v/>
      </c>
      <c r="J190" s="146" t="inlineStr">
        <is>
          <t>降低改善</t>
        </is>
      </c>
      <c r="K190" s="147" t="n">
        <v>0</v>
      </c>
      <c r="L190" s="147" t="n">
        <v>1</v>
      </c>
      <c r="M190" s="125">
        <f>IF(OR(K190="",L190=""),"",IF(AND(L190&lt;0.05,OR(AND(J190="升高改善",K190&gt;0),AND(J190="降低改善",K190&lt;0))),"校正","不校正"))</f>
        <v/>
      </c>
      <c r="N190" s="134" t="inlineStr">
        <is>
          <t>Fig2，PDF7／印刷684，第3面板，空心圆 SI–Ball；参与者 S.；Baseline A 与所有 Video 1–3 段，按图中时间顺序池化</t>
        </is>
      </c>
    </row>
    <row r="191" ht="45" customHeight="1" s="111">
      <c r="A191" s="125" t="inlineStr">
        <is>
          <t>K302</t>
        </is>
      </c>
      <c r="B191" s="125" t="inlineStr">
        <is>
          <t>039-二次</t>
        </is>
      </c>
      <c r="C191" s="125" t="inlineStr">
        <is>
          <t>S.</t>
        </is>
      </c>
      <c r="D191" s="146" t="inlineStr">
        <is>
          <t>维持</t>
        </is>
      </c>
      <c r="E191" s="134" t="inlineStr">
        <is>
          <t>Baseline A vs 1 个月＋2 个月 Follow-up</t>
        </is>
      </c>
      <c r="F191" s="134" t="inlineStr">
        <is>
          <t>300, 300, 300, 300, 300, 300, 300, 300, 300, 300, 300, 300, 300, 300, 300, 300</t>
        </is>
      </c>
      <c r="G191" s="125">
        <f>IF(F191="","",LEN(F191)-LEN(SUBSTITUTE(F191,",",""))+1)</f>
        <v/>
      </c>
      <c r="H191" s="134" t="inlineStr">
        <is>
          <t>1, 1, 1, 4, 2, 10</t>
        </is>
      </c>
      <c r="I191" s="125">
        <f>IF(H191="","",LEN(H191)-LEN(SUBSTITUTE(H191,",",""))+1)</f>
        <v/>
      </c>
      <c r="J191" s="146" t="inlineStr">
        <is>
          <t>降低改善</t>
        </is>
      </c>
      <c r="K191" s="147" t="n">
        <v>0</v>
      </c>
      <c r="L191" s="147" t="n">
        <v>1</v>
      </c>
      <c r="M191" s="125">
        <f>IF(OR(K191="",L191=""),"",IF(AND(L191&lt;0.05,OR(AND(J191="升高改善",K191&gt;0),AND(J191="降低改善",K191&lt;0))),"校正","不校正"))</f>
        <v/>
      </c>
      <c r="N191" s="134" t="inlineStr">
        <is>
          <t>Fig2，PDF7／印刷684，第3面板，空心圆 SI–Ball；参与者 S.；Baseline A 与 1-month/2-month Follow-up，每月3点</t>
        </is>
      </c>
    </row>
    <row r="192" ht="45" customHeight="1" s="111">
      <c r="A192" s="125" t="inlineStr">
        <is>
          <t>K303</t>
        </is>
      </c>
      <c r="B192" s="125" t="inlineStr">
        <is>
          <t>039-二次</t>
        </is>
      </c>
      <c r="C192" s="125" t="inlineStr">
        <is>
          <t>S.</t>
        </is>
      </c>
      <c r="D192" s="146" t="inlineStr">
        <is>
          <t>干预</t>
        </is>
      </c>
      <c r="E192" s="134" t="inlineStr">
        <is>
          <t>Baseline A vs Video 1–3 合并段（Video 4 不用）</t>
        </is>
      </c>
      <c r="F192" s="148" t="inlineStr">
        <is>
          <t>300, 300, 300, 300, 300, 300, 300, 300, 300, 300, 300, 300, 300, 300, 300, 300, 300, 300, 300, 300, 300</t>
        </is>
      </c>
      <c r="G192" s="149">
        <f>IF(F192="","",LEN(F192)-LEN(SUBSTITUTE(F192,",",""))+1)</f>
        <v/>
      </c>
      <c r="H192" s="148" t="inlineStr">
        <is>
          <t>300, 300, 300, 300, 300, 300, 300, 300, 300, 300, 300, 300, 29, 5, 12, 2, 5, 5, 7</t>
        </is>
      </c>
      <c r="I192" s="149">
        <f>IF(H192="","",LEN(H192)-LEN(SUBSTITUTE(H192,",",""))+1)</f>
        <v/>
      </c>
      <c r="J192" s="150" t="inlineStr">
        <is>
          <t>降低改善</t>
        </is>
      </c>
      <c r="K192" s="151" t="n">
        <v>0</v>
      </c>
      <c r="L192" s="151" t="n">
        <v>1</v>
      </c>
      <c r="M192" s="149">
        <f>IF(OR(K192="",L192=""),"",IF(AND(L192&lt;0.05,OR(AND(J192="升高改善",K192&gt;0),AND(J192="降低改善",K192&lt;0))),"校正","不校正"))</f>
        <v/>
      </c>
      <c r="N192" s="134" t="inlineStr">
        <is>
          <t>Fig2，PDF7／印刷684，第3面板，实心三角 SI–Table；参与者 S.；Baseline A 与所有 Video 1–3 段，按图中时间顺序池化</t>
        </is>
      </c>
    </row>
    <row r="193" ht="45" customHeight="1" s="111">
      <c r="A193" s="125" t="inlineStr">
        <is>
          <t>K304</t>
        </is>
      </c>
      <c r="B193" s="125" t="inlineStr">
        <is>
          <t>039-二次</t>
        </is>
      </c>
      <c r="C193" s="125" t="inlineStr">
        <is>
          <t>S.</t>
        </is>
      </c>
      <c r="D193" s="146" t="inlineStr">
        <is>
          <t>维持</t>
        </is>
      </c>
      <c r="E193" s="134" t="inlineStr">
        <is>
          <t>Baseline A vs 1 个月＋2 个月 Follow-up</t>
        </is>
      </c>
      <c r="F193" s="148" t="inlineStr">
        <is>
          <t>300, 300, 300, 300, 300, 300, 300, 300, 300, 300, 300, 300, 300, 300, 300, 300, 300, 300, 300, 300, 300</t>
        </is>
      </c>
      <c r="G193" s="149">
        <f>IF(F193="","",LEN(F193)-LEN(SUBSTITUTE(F193,",",""))+1)</f>
        <v/>
      </c>
      <c r="H193" s="148" t="inlineStr">
        <is>
          <t>0, 0, 0, 10, 30, 5</t>
        </is>
      </c>
      <c r="I193" s="149">
        <f>IF(H193="","",LEN(H193)-LEN(SUBSTITUTE(H193,",",""))+1)</f>
        <v/>
      </c>
      <c r="J193" s="150" t="inlineStr">
        <is>
          <t>降低改善</t>
        </is>
      </c>
      <c r="K193" s="151" t="n">
        <v>0</v>
      </c>
      <c r="L193" s="151" t="n">
        <v>1</v>
      </c>
      <c r="M193" s="149">
        <f>IF(OR(K193="",L193=""),"",IF(AND(L193&lt;0.05,OR(AND(J193="升高改善",K193&gt;0),AND(J193="降低改善",K193&lt;0))),"校正","不校正"))</f>
        <v/>
      </c>
      <c r="N193" s="134" t="inlineStr">
        <is>
          <t>Fig2，PDF7／印刷684，第3面板，实心三角 SI–Table；参与者 S.；Baseline A 与 1-month/2-month Follow-up，每月3点</t>
        </is>
      </c>
    </row>
    <row r="194" ht="45" customHeight="1" s="111">
      <c r="A194" s="125" t="inlineStr">
        <is>
          <t>K305</t>
        </is>
      </c>
      <c r="B194" s="125" t="inlineStr">
        <is>
          <t>039-二次</t>
        </is>
      </c>
      <c r="C194" s="125" t="inlineStr">
        <is>
          <t>S.</t>
        </is>
      </c>
      <c r="D194" s="146" t="inlineStr">
        <is>
          <t>干预</t>
        </is>
      </c>
      <c r="E194" s="134" t="inlineStr">
        <is>
          <t>Baseline A vs Video 1–3 合并段（Video 4 不用）</t>
        </is>
      </c>
      <c r="F194" s="132" t="inlineStr">
        <is>
          <t>300, 300, 300, 300, 300, 300, 300, 300, 300, 300, 300, 300, 300, 300, 300, 300, 300, 300, 300, 300, 300</t>
        </is>
      </c>
      <c r="G194" s="123">
        <f>IF(F194="","",LEN(F194)-LEN(SUBSTITUTE(F194,",",""))+1)</f>
        <v/>
      </c>
      <c r="H194" s="132" t="inlineStr">
        <is>
          <t>300, 300, 300, 300, 300, 300, 55, 300, 300, 300, 300, 300, 300, 300, 300, 300, 14, 14, 5</t>
        </is>
      </c>
      <c r="I194" s="123">
        <f>IF(H194="","",LEN(H194)-LEN(SUBSTITUTE(H194,",",""))+1)</f>
        <v/>
      </c>
      <c r="J194" s="142" t="inlineStr">
        <is>
          <t>降低改善</t>
        </is>
      </c>
      <c r="K194" s="143" t="n">
        <v>0</v>
      </c>
      <c r="L194" s="143" t="n">
        <v>1</v>
      </c>
      <c r="M194" s="123">
        <f>IF(OR(K194="",L194=""),"",IF(AND(L194&lt;0.05,OR(AND(J194="升高改善",K194&gt;0),AND(J194="降低改善",K194&lt;0))),"校正","不校正"))</f>
        <v/>
      </c>
      <c r="N194" s="134" t="inlineStr">
        <is>
          <t>Fig2，PDF7／印刷684，第3面板，实心圆 SI–Rags；参与者 S.；Baseline A 与所有 Video 1–3 段，按图中时间顺序池化</t>
        </is>
      </c>
    </row>
    <row r="195" ht="45" customHeight="1" s="111">
      <c r="A195" s="125" t="inlineStr">
        <is>
          <t>K306</t>
        </is>
      </c>
      <c r="B195" s="125" t="inlineStr">
        <is>
          <t>039-二次</t>
        </is>
      </c>
      <c r="C195" s="125" t="inlineStr">
        <is>
          <t>S.</t>
        </is>
      </c>
      <c r="D195" s="146" t="inlineStr">
        <is>
          <t>维持</t>
        </is>
      </c>
      <c r="E195" s="134" t="inlineStr">
        <is>
          <t>Baseline A vs 1 个月＋2 个月 Follow-up</t>
        </is>
      </c>
      <c r="F195" s="148" t="inlineStr">
        <is>
          <t>300, 300, 300, 300, 300, 300, 300, 300, 300, 300, 300, 300, 300, 300, 300, 300, 300, 300, 300, 300, 300</t>
        </is>
      </c>
      <c r="G195" s="149">
        <f>IF(F195="","",LEN(F195)-LEN(SUBSTITUTE(F195,",",""))+1)</f>
        <v/>
      </c>
      <c r="H195" s="148" t="inlineStr">
        <is>
          <t>12, 5, 12, 6, 24, 0</t>
        </is>
      </c>
      <c r="I195" s="149">
        <f>IF(H195="","",LEN(H195)-LEN(SUBSTITUTE(H195,",",""))+1)</f>
        <v/>
      </c>
      <c r="J195" s="150" t="inlineStr">
        <is>
          <t>降低改善</t>
        </is>
      </c>
      <c r="K195" s="151" t="n">
        <v>0</v>
      </c>
      <c r="L195" s="151" t="n">
        <v>1</v>
      </c>
      <c r="M195" s="149">
        <f>IF(OR(K195="",L195=""),"",IF(AND(L195&lt;0.05,OR(AND(J195="升高改善",K195&gt;0),AND(J195="降低改善",K195&lt;0))),"校正","不校正"))</f>
        <v/>
      </c>
      <c r="N195" s="134" t="inlineStr">
        <is>
          <t>Fig2，PDF7／印刷684，第3面板，实心圆 SI–Rags；参与者 S.；Baseline A 与 1-month/2-month Follow-up，每月3点</t>
        </is>
      </c>
    </row>
    <row r="196" ht="45" customHeight="1" s="111">
      <c r="A196" s="121" t="inlineStr">
        <is>
          <t>K307</t>
        </is>
      </c>
      <c r="B196" s="121" t="inlineStr">
        <is>
          <t>039-二次</t>
        </is>
      </c>
      <c r="C196" s="121" t="inlineStr">
        <is>
          <t>S.</t>
        </is>
      </c>
      <c r="D196" s="140" t="inlineStr">
        <is>
          <t>干预</t>
        </is>
      </c>
      <c r="E196" s="119" t="inlineStr">
        <is>
          <t>Baseline A vs Video 1–3 合并段（Video 4 不用）</t>
        </is>
      </c>
      <c r="F196" s="119" t="inlineStr">
        <is>
          <t>0, 0, 0, 0, 0, 0, 0, 0, 0, 0, 0, 0, 0, 0, 0, 0</t>
        </is>
      </c>
      <c r="G196" s="121">
        <f>IF(F196="","",LEN(F196)-LEN(SUBSTITUTE(F196,",",""))+1)</f>
        <v/>
      </c>
      <c r="H196" s="119" t="inlineStr">
        <is>
          <t>175, 0, 148, 32, 34, 0, 0, 68, 66, 150, 56, 59, 66, 81, 66, 86, 39, 108, 89, 68, 36, 46, 68, 58</t>
        </is>
      </c>
      <c r="I196" s="121">
        <f>IF(H196="","",LEN(H196)-LEN(SUBSTITUTE(H196,",",""))+1)</f>
        <v/>
      </c>
      <c r="J196" s="140" t="inlineStr">
        <is>
          <t>升高改善</t>
        </is>
      </c>
      <c r="K196" s="141" t="n">
        <v>0</v>
      </c>
      <c r="L196" s="141" t="n">
        <v>1</v>
      </c>
      <c r="M196" s="121">
        <f>IF(OR(K196="",L196=""),"",IF(AND(L196&lt;0.05,OR(AND(J196="升高改善",K196&gt;0),AND(J196="降低改善",K196&lt;0))),"校正","不校正"))</f>
        <v/>
      </c>
      <c r="N196" s="119" t="inlineStr">
        <is>
          <t>Fig3，PDF8／印刷685，第3面板，空心方形主系列；参与者 S.；Baseline A 与所有 Video 1–3 段，按图中时间顺序池化</t>
        </is>
      </c>
    </row>
    <row r="197" ht="45" customHeight="1" s="111">
      <c r="A197" s="121" t="inlineStr">
        <is>
          <t>K308</t>
        </is>
      </c>
      <c r="B197" s="121" t="inlineStr">
        <is>
          <t>039-二次</t>
        </is>
      </c>
      <c r="C197" s="121" t="inlineStr">
        <is>
          <t>S.</t>
        </is>
      </c>
      <c r="D197" s="140" t="inlineStr">
        <is>
          <t>维持</t>
        </is>
      </c>
      <c r="E197" s="119" t="inlineStr">
        <is>
          <t>Baseline A vs 1 个月＋2 个月 Follow-up</t>
        </is>
      </c>
      <c r="F197" s="119" t="inlineStr">
        <is>
          <t>0, 0, 0, 0, 0, 0, 0, 0, 0, 0, 0, 0, 0, 0, 0, 0</t>
        </is>
      </c>
      <c r="G197" s="121">
        <f>IF(F197="","",LEN(F197)-LEN(SUBSTITUTE(F197,",",""))+1)</f>
        <v/>
      </c>
      <c r="H197" s="119" t="inlineStr">
        <is>
          <t>49, 50, 54, 123, 60, 129</t>
        </is>
      </c>
      <c r="I197" s="121">
        <f>IF(H197="","",LEN(H197)-LEN(SUBSTITUTE(H197,",",""))+1)</f>
        <v/>
      </c>
      <c r="J197" s="140" t="inlineStr">
        <is>
          <t>升高改善</t>
        </is>
      </c>
      <c r="K197" s="141" t="n">
        <v>0</v>
      </c>
      <c r="L197" s="141" t="n">
        <v>1</v>
      </c>
      <c r="M197" s="121">
        <f>IF(OR(K197="",L197=""),"",IF(AND(L197&lt;0.05,OR(AND(J197="升高改善",K197&gt;0),AND(J197="降低改善",K197&lt;0))),"校正","不校正"))</f>
        <v/>
      </c>
      <c r="N197" s="119" t="inlineStr">
        <is>
          <t>Fig3，PDF8／印刷685，第3面板，空心方形主系列；参与者 S.；Baseline A 与 1-month/2-month Follow-up，每月3点</t>
        </is>
      </c>
    </row>
    <row r="198" ht="45" customHeight="1" s="111">
      <c r="A198" s="125" t="inlineStr">
        <is>
          <t>K341</t>
        </is>
      </c>
      <c r="B198" s="125" t="inlineStr">
        <is>
          <t>043-二次</t>
        </is>
      </c>
      <c r="C198" s="125" t="inlineStr">
        <is>
          <t>Daniel</t>
        </is>
      </c>
      <c r="D198" s="146" t="inlineStr">
        <is>
          <t>干预</t>
        </is>
      </c>
      <c r="E198" s="134" t="inlineStr">
        <is>
          <t>A vs B1/B2/C 视频示范期合并</t>
        </is>
      </c>
      <c r="F198" s="136" t="inlineStr">
        <is>
          <t>300, 300, 300, 300, 300, 300</t>
        </is>
      </c>
      <c r="G198" s="127">
        <f>IF(F198="","",LEN(F198)-LEN(SUBSTITUTE(F198,",",""))+1)</f>
        <v/>
      </c>
      <c r="H198" s="136" t="inlineStr">
        <is>
          <t>6, 4, 7, 6, 11, 7</t>
        </is>
      </c>
      <c r="I198" s="127">
        <f>IF(H198="","",LEN(H198)-LEN(SUBSTITUTE(H198,",",""))+1)</f>
        <v/>
      </c>
      <c r="J198" s="144" t="inlineStr">
        <is>
          <t>降低改善</t>
        </is>
      </c>
      <c r="K198" s="145" t="n">
        <v>0</v>
      </c>
      <c r="L198" s="145" t="n">
        <v>1</v>
      </c>
      <c r="M198" s="127">
        <f>IF(OR(K198="",L198=""),"",IF(AND(L198&lt;0.05,OR(AND(J198="升高改善",K198&gt;0),AND(J198="降低改善",K198&lt;0))),"校正","不校正"))</f>
        <v/>
      </c>
      <c r="N198" s="134" t="inlineStr">
        <is>
          <t>Figure1，PDF3/页95，第1面板Daniel；B1-C1图例系列</t>
        </is>
      </c>
    </row>
    <row r="199" ht="45" customHeight="1" s="111">
      <c r="A199" s="125" t="inlineStr">
        <is>
          <t>K342</t>
        </is>
      </c>
      <c r="B199" s="125" t="inlineStr">
        <is>
          <t>043-二次</t>
        </is>
      </c>
      <c r="C199" s="125" t="inlineStr">
        <is>
          <t>Daniel</t>
        </is>
      </c>
      <c r="D199" s="146" t="inlineStr">
        <is>
          <t>维持</t>
        </is>
      </c>
      <c r="E199" s="134" t="inlineStr">
        <is>
          <t>A vs 1 个月＋3 个月 Follow-up</t>
        </is>
      </c>
      <c r="F199" s="136" t="inlineStr">
        <is>
          <t>300, 300, 300, 300, 300, 300</t>
        </is>
      </c>
      <c r="G199" s="127">
        <f>IF(F199="","",LEN(F199)-LEN(SUBSTITUTE(F199,",",""))+1)</f>
        <v/>
      </c>
      <c r="H199" s="136" t="inlineStr">
        <is>
          <t>9, 8, 7, 5</t>
        </is>
      </c>
      <c r="I199" s="127">
        <f>IF(H199="","",LEN(H199)-LEN(SUBSTITUTE(H199,",",""))+1)</f>
        <v/>
      </c>
      <c r="J199" s="144" t="inlineStr">
        <is>
          <t>降低改善</t>
        </is>
      </c>
      <c r="K199" s="145" t="n">
        <v>0</v>
      </c>
      <c r="L199" s="145" t="n">
        <v>1</v>
      </c>
      <c r="M199" s="127">
        <f>IF(OR(K199="",L199=""),"",IF(AND(L199&lt;0.05,OR(AND(J199="升高改善",K199&gt;0),AND(J199="降低改善",K199&lt;0))),"校正","不校正"))</f>
        <v/>
      </c>
      <c r="N199" s="134" t="inlineStr">
        <is>
          <t>Figure1，PDF3/页95，第1面板Daniel；B1-C1图例系列</t>
        </is>
      </c>
    </row>
    <row r="200" ht="45" customHeight="1" s="111">
      <c r="A200" s="121" t="inlineStr">
        <is>
          <t>K343</t>
        </is>
      </c>
      <c r="B200" s="121" t="inlineStr">
        <is>
          <t>043-二次</t>
        </is>
      </c>
      <c r="C200" s="121" t="inlineStr">
        <is>
          <t>Daniel</t>
        </is>
      </c>
      <c r="D200" s="140" t="inlineStr">
        <is>
          <t>干预</t>
        </is>
      </c>
      <c r="E200" s="119" t="inlineStr">
        <is>
          <t>A vs B1/B2/C 视频示范期合并</t>
        </is>
      </c>
      <c r="F200" s="136" t="inlineStr">
        <is>
          <t>0, 0, 0, 0, 0, 0</t>
        </is>
      </c>
      <c r="G200" s="127">
        <f>IF(F200="","",LEN(F200)-LEN(SUBSTITUTE(F200,",",""))+1)</f>
        <v/>
      </c>
      <c r="H200" s="136" t="inlineStr">
        <is>
          <t>58, 38, 23, 68, 33, 38</t>
        </is>
      </c>
      <c r="I200" s="127">
        <f>IF(H200="","",LEN(H200)-LEN(SUBSTITUTE(H200,",",""))+1)</f>
        <v/>
      </c>
      <c r="J200" s="144" t="inlineStr">
        <is>
          <t>升高改善</t>
        </is>
      </c>
      <c r="K200" s="145" t="n">
        <v>0</v>
      </c>
      <c r="L200" s="145" t="n">
        <v>1</v>
      </c>
      <c r="M200" s="127">
        <f>IF(OR(K200="",L200=""),"",IF(AND(L200&lt;0.05,OR(AND(J200="升高改善",K200&gt;0),AND(J200="降低改善",K200&lt;0))),"校正","不校正"))</f>
        <v/>
      </c>
      <c r="N200" s="119" t="inlineStr">
        <is>
          <t>Figure1，PDF3/页95，第1面板Daniel；B2-C3图例系列</t>
        </is>
      </c>
    </row>
    <row r="201" ht="45" customHeight="1" s="111">
      <c r="A201" s="121" t="inlineStr">
        <is>
          <t>K344</t>
        </is>
      </c>
      <c r="B201" s="121" t="inlineStr">
        <is>
          <t>043-二次</t>
        </is>
      </c>
      <c r="C201" s="121" t="inlineStr">
        <is>
          <t>Daniel</t>
        </is>
      </c>
      <c r="D201" s="140" t="inlineStr">
        <is>
          <t>维持</t>
        </is>
      </c>
      <c r="E201" s="119" t="inlineStr">
        <is>
          <t>A vs 1 个月＋3 个月 Follow-up</t>
        </is>
      </c>
      <c r="F201" s="136" t="inlineStr">
        <is>
          <t>0, 0, 0, 0, 0, 0</t>
        </is>
      </c>
      <c r="G201" s="127">
        <f>IF(F201="","",LEN(F201)-LEN(SUBSTITUTE(F201,",",""))+1)</f>
        <v/>
      </c>
      <c r="H201" s="136" t="inlineStr">
        <is>
          <t>22, 44, 300, 165</t>
        </is>
      </c>
      <c r="I201" s="127">
        <f>IF(H201="","",LEN(H201)-LEN(SUBSTITUTE(H201,",",""))+1)</f>
        <v/>
      </c>
      <c r="J201" s="144" t="inlineStr">
        <is>
          <t>升高改善</t>
        </is>
      </c>
      <c r="K201" s="145" t="n">
        <v>0</v>
      </c>
      <c r="L201" s="145" t="n">
        <v>1</v>
      </c>
      <c r="M201" s="127">
        <f>IF(OR(K201="",L201=""),"",IF(AND(L201&lt;0.05,OR(AND(J201="升高改善",K201&gt;0),AND(J201="降低改善",K201&lt;0))),"校正","不校正"))</f>
        <v/>
      </c>
      <c r="N201" s="119" t="inlineStr">
        <is>
          <t>Figure1，PDF3/页95，第1面板Daniel；B2-C3图例系列</t>
        </is>
      </c>
    </row>
    <row r="202" ht="45" customHeight="1" s="111">
      <c r="A202" s="125" t="inlineStr">
        <is>
          <t>K345</t>
        </is>
      </c>
      <c r="B202" s="125" t="inlineStr">
        <is>
          <t>043-二次</t>
        </is>
      </c>
      <c r="C202" s="125" t="inlineStr">
        <is>
          <t>Christopher</t>
        </is>
      </c>
      <c r="D202" s="146" t="inlineStr">
        <is>
          <t>干预</t>
        </is>
      </c>
      <c r="E202" s="134" t="inlineStr">
        <is>
          <t>A vs B1/B2/C 视频示范期合并</t>
        </is>
      </c>
      <c r="F202" s="136" t="inlineStr">
        <is>
          <t>300, 300, 300, 300, 300, 300, 300, 300, 300</t>
        </is>
      </c>
      <c r="G202" s="127">
        <f>IF(F202="","",LEN(F202)-LEN(SUBSTITUTE(F202,",",""))+1)</f>
        <v/>
      </c>
      <c r="H202" s="136" t="inlineStr">
        <is>
          <t>300, 300, 300, 5, 300, 6, 6, 5, 5, 5, 4, 7</t>
        </is>
      </c>
      <c r="I202" s="127">
        <f>IF(H202="","",LEN(H202)-LEN(SUBSTITUTE(H202,",",""))+1)</f>
        <v/>
      </c>
      <c r="J202" s="144" t="inlineStr">
        <is>
          <t>降低改善</t>
        </is>
      </c>
      <c r="K202" s="145" t="n">
        <v>0</v>
      </c>
      <c r="L202" s="145" t="n">
        <v>1</v>
      </c>
      <c r="M202" s="127">
        <f>IF(OR(K202="",L202=""),"",IF(AND(L202&lt;0.05,OR(AND(J202="升高改善",K202&gt;0),AND(J202="降低改善",K202&lt;0))),"校正","不校正"))</f>
        <v/>
      </c>
      <c r="N202" s="134" t="inlineStr">
        <is>
          <t>Figure1，PDF3/页95，第2面板Christopher；B1-C1图例系列</t>
        </is>
      </c>
    </row>
    <row r="203" ht="45" customHeight="1" s="111">
      <c r="A203" s="125" t="inlineStr">
        <is>
          <t>K346</t>
        </is>
      </c>
      <c r="B203" s="125" t="inlineStr">
        <is>
          <t>043-二次</t>
        </is>
      </c>
      <c r="C203" s="125" t="inlineStr">
        <is>
          <t>Christopher</t>
        </is>
      </c>
      <c r="D203" s="146" t="inlineStr">
        <is>
          <t>维持</t>
        </is>
      </c>
      <c r="E203" s="134" t="inlineStr">
        <is>
          <t>A vs 1 个月＋3 个月 Follow-up</t>
        </is>
      </c>
      <c r="F203" s="136" t="inlineStr">
        <is>
          <t>300, 300, 300, 300, 300, 300, 300, 300, 300</t>
        </is>
      </c>
      <c r="G203" s="127">
        <f>IF(F203="","",LEN(F203)-LEN(SUBSTITUTE(F203,",",""))+1)</f>
        <v/>
      </c>
      <c r="H203" s="136" t="inlineStr">
        <is>
          <t>8, 9, 6, 7</t>
        </is>
      </c>
      <c r="I203" s="127">
        <f>IF(H203="","",LEN(H203)-LEN(SUBSTITUTE(H203,",",""))+1)</f>
        <v/>
      </c>
      <c r="J203" s="144" t="inlineStr">
        <is>
          <t>降低改善</t>
        </is>
      </c>
      <c r="K203" s="145" t="n">
        <v>0</v>
      </c>
      <c r="L203" s="145" t="n">
        <v>1</v>
      </c>
      <c r="M203" s="127">
        <f>IF(OR(K203="",L203=""),"",IF(AND(L203&lt;0.05,OR(AND(J203="升高改善",K203&gt;0),AND(J203="降低改善",K203&lt;0))),"校正","不校正"))</f>
        <v/>
      </c>
      <c r="N203" s="134" t="inlineStr">
        <is>
          <t>Figure1，PDF3/页95，第2面板Christopher；B1-C1图例系列</t>
        </is>
      </c>
    </row>
    <row r="204" ht="45" customHeight="1" s="111">
      <c r="A204" s="121" t="inlineStr">
        <is>
          <t>K347</t>
        </is>
      </c>
      <c r="B204" s="121" t="inlineStr">
        <is>
          <t>043-二次</t>
        </is>
      </c>
      <c r="C204" s="121" t="inlineStr">
        <is>
          <t>Christopher</t>
        </is>
      </c>
      <c r="D204" s="140" t="inlineStr">
        <is>
          <t>干预</t>
        </is>
      </c>
      <c r="E204" s="119" t="inlineStr">
        <is>
          <t>A vs B1/B2/C 视频示范期合并</t>
        </is>
      </c>
      <c r="F204" s="136" t="inlineStr">
        <is>
          <t>0, 0, 0, 0, 0, 0, 0, 0, 0</t>
        </is>
      </c>
      <c r="G204" s="127">
        <f>IF(F204="","",LEN(F204)-LEN(SUBSTITUTE(F204,",",""))+1)</f>
        <v/>
      </c>
      <c r="H204" s="136" t="inlineStr">
        <is>
          <t>0, 0, 0, 90, 0, 99, 45, 45, 52, 179, 163, 162</t>
        </is>
      </c>
      <c r="I204" s="127">
        <f>IF(H204="","",LEN(H204)-LEN(SUBSTITUTE(H204,",",""))+1)</f>
        <v/>
      </c>
      <c r="J204" s="144" t="inlineStr">
        <is>
          <t>升高改善</t>
        </is>
      </c>
      <c r="K204" s="145" t="n">
        <v>0</v>
      </c>
      <c r="L204" s="145" t="n">
        <v>1</v>
      </c>
      <c r="M204" s="127">
        <f>IF(OR(K204="",L204=""),"",IF(AND(L204&lt;0.05,OR(AND(J204="升高改善",K204&gt;0),AND(J204="降低改善",K204&lt;0))),"校正","不校正"))</f>
        <v/>
      </c>
      <c r="N204" s="119" t="inlineStr">
        <is>
          <t>Figure1，PDF3/页95，第2面板Christopher；B2-C3图例系列</t>
        </is>
      </c>
    </row>
    <row r="205" ht="45" customHeight="1" s="111">
      <c r="A205" s="121" t="inlineStr">
        <is>
          <t>K348</t>
        </is>
      </c>
      <c r="B205" s="121" t="inlineStr">
        <is>
          <t>043-二次</t>
        </is>
      </c>
      <c r="C205" s="121" t="inlineStr">
        <is>
          <t>Christopher</t>
        </is>
      </c>
      <c r="D205" s="140" t="inlineStr">
        <is>
          <t>维持</t>
        </is>
      </c>
      <c r="E205" s="119" t="inlineStr">
        <is>
          <t>A vs 1 个月＋3 个月 Follow-up</t>
        </is>
      </c>
      <c r="F205" s="136" t="inlineStr">
        <is>
          <t>0, 0, 0, 0, 0, 0, 0, 0, 0</t>
        </is>
      </c>
      <c r="G205" s="127">
        <f>IF(F205="","",LEN(F205)-LEN(SUBSTITUTE(F205,",",""))+1)</f>
        <v/>
      </c>
      <c r="H205" s="136" t="inlineStr">
        <is>
          <t>31, 65, 84, 121</t>
        </is>
      </c>
      <c r="I205" s="127">
        <f>IF(H205="","",LEN(H205)-LEN(SUBSTITUTE(H205,",",""))+1)</f>
        <v/>
      </c>
      <c r="J205" s="144" t="inlineStr">
        <is>
          <t>升高改善</t>
        </is>
      </c>
      <c r="K205" s="145" t="n">
        <v>0</v>
      </c>
      <c r="L205" s="145" t="n">
        <v>1</v>
      </c>
      <c r="M205" s="127">
        <f>IF(OR(K205="",L205=""),"",IF(AND(L205&lt;0.05,OR(AND(J205="升高改善",K205&gt;0),AND(J205="降低改善",K205&lt;0))),"校正","不校正"))</f>
        <v/>
      </c>
      <c r="N205" s="119" t="inlineStr">
        <is>
          <t>Figure1，PDF3/页95，第2面板Christopher；B2-C3图例系列</t>
        </is>
      </c>
    </row>
    <row r="206" ht="45" customHeight="1" s="111">
      <c r="A206" s="125" t="inlineStr">
        <is>
          <t>K349</t>
        </is>
      </c>
      <c r="B206" s="125" t="inlineStr">
        <is>
          <t>043-二次</t>
        </is>
      </c>
      <c r="C206" s="125" t="inlineStr">
        <is>
          <t>Andrew</t>
        </is>
      </c>
      <c r="D206" s="146" t="inlineStr">
        <is>
          <t>干预</t>
        </is>
      </c>
      <c r="E206" s="134" t="inlineStr">
        <is>
          <t>A vs B1/B2/C 视频示范期合并</t>
        </is>
      </c>
      <c r="F206" s="136" t="inlineStr">
        <is>
          <t>300, 300, 300, 300, 300, 300, 300, 300, 300, 300, 300, 300, 300, 300, 300, 300, 300</t>
        </is>
      </c>
      <c r="G206" s="127">
        <f>IF(F206="","",LEN(F206)-LEN(SUBSTITUTE(F206,",",""))+1)</f>
        <v/>
      </c>
      <c r="H206" s="136" t="inlineStr">
        <is>
          <t>300, 300, 300, 300, 8, 7, 7, 5, 4, 4, 4</t>
        </is>
      </c>
      <c r="I206" s="127">
        <f>IF(H206="","",LEN(H206)-LEN(SUBSTITUTE(H206,",",""))+1)</f>
        <v/>
      </c>
      <c r="J206" s="144" t="inlineStr">
        <is>
          <t>降低改善</t>
        </is>
      </c>
      <c r="K206" s="145" t="n">
        <v>0</v>
      </c>
      <c r="L206" s="145" t="n">
        <v>1</v>
      </c>
      <c r="M206" s="127">
        <f>IF(OR(K206="",L206=""),"",IF(AND(L206&lt;0.05,OR(AND(J206="升高改善",K206&gt;0),AND(J206="降低改善",K206&lt;0))),"校正","不校正"))</f>
        <v/>
      </c>
      <c r="N206" s="134" t="inlineStr">
        <is>
          <t>Figure1，PDF3/页95，第3面板Andrew；B1-C1图例系列</t>
        </is>
      </c>
    </row>
    <row r="207" ht="45" customHeight="1" s="111">
      <c r="A207" s="125" t="inlineStr">
        <is>
          <t>K350</t>
        </is>
      </c>
      <c r="B207" s="125" t="inlineStr">
        <is>
          <t>043-二次</t>
        </is>
      </c>
      <c r="C207" s="125" t="inlineStr">
        <is>
          <t>Andrew</t>
        </is>
      </c>
      <c r="D207" s="146" t="inlineStr">
        <is>
          <t>维持</t>
        </is>
      </c>
      <c r="E207" s="134" t="inlineStr">
        <is>
          <t>A vs 1 个月＋3 个月 Follow-up</t>
        </is>
      </c>
      <c r="F207" s="136" t="inlineStr">
        <is>
          <t>300, 300, 300, 300, 300, 300, 300, 300, 300, 300, 300, 300, 300, 300, 300, 300, 300</t>
        </is>
      </c>
      <c r="G207" s="127">
        <f>IF(F207="","",LEN(F207)-LEN(SUBSTITUTE(F207,",",""))+1)</f>
        <v/>
      </c>
      <c r="H207" s="136" t="inlineStr">
        <is>
          <t>7, 6, 7, 5</t>
        </is>
      </c>
      <c r="I207" s="127">
        <f>IF(H207="","",LEN(H207)-LEN(SUBSTITUTE(H207,",",""))+1)</f>
        <v/>
      </c>
      <c r="J207" s="144" t="inlineStr">
        <is>
          <t>降低改善</t>
        </is>
      </c>
      <c r="K207" s="145" t="n">
        <v>0</v>
      </c>
      <c r="L207" s="145" t="n">
        <v>1</v>
      </c>
      <c r="M207" s="127">
        <f>IF(OR(K207="",L207=""),"",IF(AND(L207&lt;0.05,OR(AND(J207="升高改善",K207&gt;0),AND(J207="降低改善",K207&lt;0))),"校正","不校正"))</f>
        <v/>
      </c>
      <c r="N207" s="134" t="inlineStr">
        <is>
          <t>Figure1，PDF3/页95，第3面板Andrew；B1-C1图例系列</t>
        </is>
      </c>
    </row>
    <row r="208" ht="45" customHeight="1" s="111">
      <c r="A208" s="121" t="inlineStr">
        <is>
          <t>K351</t>
        </is>
      </c>
      <c r="B208" s="121" t="inlineStr">
        <is>
          <t>043-二次</t>
        </is>
      </c>
      <c r="C208" s="121" t="inlineStr">
        <is>
          <t>Andrew</t>
        </is>
      </c>
      <c r="D208" s="140" t="inlineStr">
        <is>
          <t>干预</t>
        </is>
      </c>
      <c r="E208" s="119" t="inlineStr">
        <is>
          <t>A vs B1/B2/C 视频示范期合并</t>
        </is>
      </c>
      <c r="F208" s="136" t="inlineStr">
        <is>
          <t>0, 0, 0, 0, 0, 0, 0, 0, 0, 0, 0, 0, 0, 0, 0, 0, 0</t>
        </is>
      </c>
      <c r="G208" s="127">
        <f>IF(F208="","",LEN(F208)-LEN(SUBSTITUTE(F208,",",""))+1)</f>
        <v/>
      </c>
      <c r="H208" s="136" t="inlineStr">
        <is>
          <t>0, 0, 0, 0, 51, 88, 64, 106, 212, 198, 126</t>
        </is>
      </c>
      <c r="I208" s="127">
        <f>IF(H208="","",LEN(H208)-LEN(SUBSTITUTE(H208,",",""))+1)</f>
        <v/>
      </c>
      <c r="J208" s="144" t="inlineStr">
        <is>
          <t>升高改善</t>
        </is>
      </c>
      <c r="K208" s="145" t="n">
        <v>0</v>
      </c>
      <c r="L208" s="145" t="n">
        <v>1</v>
      </c>
      <c r="M208" s="127">
        <f>IF(OR(K208="",L208=""),"",IF(AND(L208&lt;0.05,OR(AND(J208="升高改善",K208&gt;0),AND(J208="降低改善",K208&lt;0))),"校正","不校正"))</f>
        <v/>
      </c>
      <c r="N208" s="119" t="inlineStr">
        <is>
          <t>Figure1，PDF3/页95，第3面板Andrew；B2-C3图例系列</t>
        </is>
      </c>
    </row>
    <row r="209" ht="45" customHeight="1" s="111">
      <c r="A209" s="121" t="inlineStr">
        <is>
          <t>K352</t>
        </is>
      </c>
      <c r="B209" s="121" t="inlineStr">
        <is>
          <t>043-二次</t>
        </is>
      </c>
      <c r="C209" s="121" t="inlineStr">
        <is>
          <t>Andrew</t>
        </is>
      </c>
      <c r="D209" s="140" t="inlineStr">
        <is>
          <t>维持</t>
        </is>
      </c>
      <c r="E209" s="119" t="inlineStr">
        <is>
          <t>A vs 1 个月＋3 个月 Follow-up</t>
        </is>
      </c>
      <c r="F209" s="136" t="inlineStr">
        <is>
          <t>0, 0, 0, 0, 0, 0, 0, 0, 0, 0, 0, 0, 0, 0, 0, 0, 0</t>
        </is>
      </c>
      <c r="G209" s="127">
        <f>IF(F209="","",LEN(F209)-LEN(SUBSTITUTE(F209,",",""))+1)</f>
        <v/>
      </c>
      <c r="H209" s="136" t="inlineStr">
        <is>
          <t>61, 156, 103, 160</t>
        </is>
      </c>
      <c r="I209" s="127">
        <f>IF(H209="","",LEN(H209)-LEN(SUBSTITUTE(H209,",",""))+1)</f>
        <v/>
      </c>
      <c r="J209" s="144" t="inlineStr">
        <is>
          <t>升高改善</t>
        </is>
      </c>
      <c r="K209" s="145" t="n">
        <v>0</v>
      </c>
      <c r="L209" s="145" t="n">
        <v>1</v>
      </c>
      <c r="M209" s="127">
        <f>IF(OR(K209="",L209=""),"",IF(AND(L209&lt;0.05,OR(AND(J209="升高改善",K209&gt;0),AND(J209="降低改善",K209&lt;0))),"校正","不校正"))</f>
        <v/>
      </c>
      <c r="N209" s="119" t="inlineStr">
        <is>
          <t>Figure1，PDF3/页95，第3面板Andrew；B2-C3图例系列</t>
        </is>
      </c>
    </row>
    <row r="210" ht="45" customHeight="1" s="111">
      <c r="A210" s="125" t="inlineStr">
        <is>
          <t>K353</t>
        </is>
      </c>
      <c r="B210" s="125" t="inlineStr">
        <is>
          <t>044-二次</t>
        </is>
      </c>
      <c r="C210" s="125" t="inlineStr">
        <is>
          <t>Kirsty</t>
        </is>
      </c>
      <c r="D210" s="146" t="inlineStr">
        <is>
          <t>干预</t>
        </is>
      </c>
      <c r="E210" s="152" t="inlineStr">
        <is>
          <t>条件 A 基线 vs 条件 B（视频示范）</t>
        </is>
      </c>
      <c r="F210" s="136" t="inlineStr">
        <is>
          <t>300, 300, 300, 300, 300</t>
        </is>
      </c>
      <c r="G210" s="127">
        <f>IF(F210="","",LEN(F210)-LEN(SUBSTITUTE(F210,",",""))+1)</f>
        <v/>
      </c>
      <c r="H210" s="136" t="inlineStr">
        <is>
          <t>4, 5, 3</t>
        </is>
      </c>
      <c r="I210" s="127">
        <f>IF(H210="","",LEN(H210)-LEN(SUBSTITUTE(H210,",",""))+1)</f>
        <v/>
      </c>
      <c r="J210" s="144" t="inlineStr">
        <is>
          <t>降低改善</t>
        </is>
      </c>
      <c r="K210" s="145" t="n">
        <v>0</v>
      </c>
      <c r="L210" s="145" t="n">
        <v>1</v>
      </c>
      <c r="M210" s="127">
        <f>IF(OR(K210="",L210=""),"",IF(AND(L210&lt;0.05,OR(AND(J210="升高改善",K210&gt;0),AND(J210="降低改善",K210&lt;0))),"校正","不校正"))</f>
        <v/>
      </c>
      <c r="N210" s="152" t="inlineStr">
        <is>
          <t>图1，PDF第9页/手稿第9页，Kirsty面板，左纵轴黑圆</t>
        </is>
      </c>
    </row>
    <row r="211" ht="45" customHeight="1" s="111">
      <c r="A211" s="125" t="inlineStr">
        <is>
          <t>K354</t>
        </is>
      </c>
      <c r="B211" s="125" t="inlineStr">
        <is>
          <t>044-二次</t>
        </is>
      </c>
      <c r="C211" s="125" t="inlineStr">
        <is>
          <t>Kirsty</t>
        </is>
      </c>
      <c r="D211" s="146" t="inlineStr">
        <is>
          <t>维持</t>
        </is>
      </c>
      <c r="E211" s="152" t="inlineStr">
        <is>
          <t>条件 A 基线 vs 1 个月＋3 个月 Follow-up</t>
        </is>
      </c>
      <c r="F211" s="136" t="inlineStr">
        <is>
          <t>300, 300, 300, 300, 300</t>
        </is>
      </c>
      <c r="G211" s="127">
        <f>IF(F211="","",LEN(F211)-LEN(SUBSTITUTE(F211,",",""))+1)</f>
        <v/>
      </c>
      <c r="H211" s="136" t="inlineStr">
        <is>
          <t>6, 5, 4, 6, 6, 5, 6, 7, 8, 6</t>
        </is>
      </c>
      <c r="I211" s="127">
        <f>IF(H211="","",LEN(H211)-LEN(SUBSTITUTE(H211,",",""))+1)</f>
        <v/>
      </c>
      <c r="J211" s="144" t="inlineStr">
        <is>
          <t>降低改善</t>
        </is>
      </c>
      <c r="K211" s="145" t="n">
        <v>0</v>
      </c>
      <c r="L211" s="145" t="n">
        <v>1</v>
      </c>
      <c r="M211" s="127">
        <f>IF(OR(K211="",L211=""),"",IF(AND(L211&lt;0.05,OR(AND(J211="升高改善",K211&gt;0),AND(J211="降低改善",K211&lt;0))),"校正","不校正"))</f>
        <v/>
      </c>
      <c r="N211" s="152" t="inlineStr">
        <is>
          <t>图1，PDF第9页/手稿第9页，Kirsty面板，左纵轴黑圆</t>
        </is>
      </c>
    </row>
    <row r="212" ht="45" customHeight="1" s="111">
      <c r="A212" s="125" t="inlineStr">
        <is>
          <t>K355</t>
        </is>
      </c>
      <c r="B212" s="125" t="inlineStr">
        <is>
          <t>044-二次</t>
        </is>
      </c>
      <c r="C212" s="125" t="inlineStr">
        <is>
          <t>Kirsty</t>
        </is>
      </c>
      <c r="D212" s="146" t="inlineStr">
        <is>
          <t>泛化</t>
        </is>
      </c>
      <c r="E212" s="152" t="inlineStr">
        <is>
          <t>条件 A 基线 vs 条件 C–F（球、手鼓、蹦床、火车；换玩具、不看视频）合并</t>
        </is>
      </c>
      <c r="F212" s="136" t="inlineStr">
        <is>
          <t>300, 300, 300, 300, 300</t>
        </is>
      </c>
      <c r="G212" s="127">
        <f>IF(F212="","",LEN(F212)-LEN(SUBSTITUTE(F212,",",""))+1)</f>
        <v/>
      </c>
      <c r="H212" s="136" t="inlineStr">
        <is>
          <t>21, 4, 3, 6, 300, 300, 174, 4, 9, 6, 300, 19, 6, 7, 4, 5, 4, 4</t>
        </is>
      </c>
      <c r="I212" s="127">
        <f>IF(H212="","",LEN(H212)-LEN(SUBSTITUTE(H212,",",""))+1)</f>
        <v/>
      </c>
      <c r="J212" s="144" t="inlineStr">
        <is>
          <t>降低改善</t>
        </is>
      </c>
      <c r="K212" s="145" t="n">
        <v>0</v>
      </c>
      <c r="L212" s="145" t="n">
        <v>1</v>
      </c>
      <c r="M212" s="127">
        <f>IF(OR(K212="",L212=""),"",IF(AND(L212&lt;0.05,OR(AND(J212="升高改善",K212&gt;0),AND(J212="降低改善",K212&lt;0))),"校正","不校正"))</f>
        <v/>
      </c>
      <c r="N212" s="152" t="inlineStr">
        <is>
          <t>图1，PDF第9页/手稿第9页，Kirsty面板，左纵轴黑圆</t>
        </is>
      </c>
    </row>
    <row r="213" ht="45" customHeight="1" s="111">
      <c r="A213" s="121" t="inlineStr">
        <is>
          <t>K359</t>
        </is>
      </c>
      <c r="B213" s="121" t="inlineStr">
        <is>
          <t>044-二次</t>
        </is>
      </c>
      <c r="C213" s="121" t="inlineStr">
        <is>
          <t>Kirsty</t>
        </is>
      </c>
      <c r="D213" s="140" t="inlineStr">
        <is>
          <t>干预</t>
        </is>
      </c>
      <c r="E213" s="118" t="inlineStr">
        <is>
          <t>条件 A 基线 vs 条件 B（视频示范）</t>
        </is>
      </c>
      <c r="F213" s="136" t="inlineStr">
        <is>
          <t>0, 0, 0, 0, 0</t>
        </is>
      </c>
      <c r="G213" s="127">
        <f>IF(F213="","",LEN(F213)-LEN(SUBSTITUTE(F213,",",""))+1)</f>
        <v/>
      </c>
      <c r="H213" s="136" t="inlineStr">
        <is>
          <t>293, 291, 296</t>
        </is>
      </c>
      <c r="I213" s="127">
        <f>IF(H213="","",LEN(H213)-LEN(SUBSTITUTE(H213,",",""))+1)</f>
        <v/>
      </c>
      <c r="J213" s="144" t="inlineStr">
        <is>
          <t>升高改善</t>
        </is>
      </c>
      <c r="K213" s="145" t="n">
        <v>0</v>
      </c>
      <c r="L213" s="145" t="n">
        <v>1</v>
      </c>
      <c r="M213" s="127">
        <f>IF(OR(K213="",L213=""),"",IF(AND(L213&lt;0.05,OR(AND(J213="升高改善",K213&gt;0),AND(J213="降低改善",K213&lt;0))),"校正","不校正"))</f>
        <v/>
      </c>
      <c r="N213" s="118" t="inlineStr">
        <is>
          <t>图1，PDF第9页/手稿第9页，Kirsty面板，右纵轴空方</t>
        </is>
      </c>
    </row>
    <row r="214" ht="45" customHeight="1" s="111">
      <c r="A214" s="121" t="inlineStr">
        <is>
          <t>K360</t>
        </is>
      </c>
      <c r="B214" s="121" t="inlineStr">
        <is>
          <t>044-二次</t>
        </is>
      </c>
      <c r="C214" s="121" t="inlineStr">
        <is>
          <t>Kirsty</t>
        </is>
      </c>
      <c r="D214" s="140" t="inlineStr">
        <is>
          <t>维持</t>
        </is>
      </c>
      <c r="E214" s="118" t="inlineStr">
        <is>
          <t>条件 A 基线 vs 1 个月＋3 个月 Follow-up</t>
        </is>
      </c>
      <c r="F214" s="136" t="inlineStr">
        <is>
          <t>0, 0, 0, 0, 0</t>
        </is>
      </c>
      <c r="G214" s="127">
        <f>IF(F214="","",LEN(F214)-LEN(SUBSTITUTE(F214,",",""))+1)</f>
        <v/>
      </c>
      <c r="H214" s="136" t="inlineStr">
        <is>
          <t>291, 292, 293, 271, 285, 296, 291, 291, 287, 291</t>
        </is>
      </c>
      <c r="I214" s="127">
        <f>IF(H214="","",LEN(H214)-LEN(SUBSTITUTE(H214,",",""))+1)</f>
        <v/>
      </c>
      <c r="J214" s="144" t="inlineStr">
        <is>
          <t>升高改善</t>
        </is>
      </c>
      <c r="K214" s="145" t="n">
        <v>0</v>
      </c>
      <c r="L214" s="145" t="n">
        <v>1</v>
      </c>
      <c r="M214" s="127">
        <f>IF(OR(K214="",L214=""),"",IF(AND(L214&lt;0.05,OR(AND(J214="升高改善",K214&gt;0),AND(J214="降低改善",K214&lt;0))),"校正","不校正"))</f>
        <v/>
      </c>
      <c r="N214" s="118" t="inlineStr">
        <is>
          <t>图1，PDF第9页/手稿第9页，Kirsty面板，右纵轴空方</t>
        </is>
      </c>
    </row>
    <row r="215" ht="45" customHeight="1" s="111">
      <c r="A215" s="121" t="inlineStr">
        <is>
          <t>K361</t>
        </is>
      </c>
      <c r="B215" s="121" t="inlineStr">
        <is>
          <t>044-二次</t>
        </is>
      </c>
      <c r="C215" s="121" t="inlineStr">
        <is>
          <t>Kirsty</t>
        </is>
      </c>
      <c r="D215" s="140" t="inlineStr">
        <is>
          <t>泛化</t>
        </is>
      </c>
      <c r="E215" s="118" t="inlineStr">
        <is>
          <t>条件 A 基线 vs 条件 C–F（球、手鼓、蹦床、火车；换玩具、不看视频）合并</t>
        </is>
      </c>
      <c r="F215" s="136" t="inlineStr">
        <is>
          <t>0, 0, 0, 0, 0</t>
        </is>
      </c>
      <c r="G215" s="127">
        <f>IF(F215="","",LEN(F215)-LEN(SUBSTITUTE(F215,",",""))+1)</f>
        <v/>
      </c>
      <c r="H215" s="136" t="inlineStr">
        <is>
          <t>246, 291, 292, 291, 0, 0, 97, 293, 287, 287, 0, 260, 293, 287, 292, 291, 291, 291</t>
        </is>
      </c>
      <c r="I215" s="127">
        <f>IF(H215="","",LEN(H215)-LEN(SUBSTITUTE(H215,",",""))+1)</f>
        <v/>
      </c>
      <c r="J215" s="144" t="inlineStr">
        <is>
          <t>升高改善</t>
        </is>
      </c>
      <c r="K215" s="145" t="n">
        <v>0</v>
      </c>
      <c r="L215" s="145" t="n">
        <v>1</v>
      </c>
      <c r="M215" s="127">
        <f>IF(OR(K215="",L215=""),"",IF(AND(L215&lt;0.05,OR(AND(J215="升高改善",K215&gt;0),AND(J215="降低改善",K215&lt;0))),"校正","不校正"))</f>
        <v/>
      </c>
      <c r="N215" s="118" t="inlineStr">
        <is>
          <t>图1，PDF第9页/手稿第9页，Kirsty面板，右纵轴空方</t>
        </is>
      </c>
    </row>
    <row r="216" ht="45" customHeight="1" s="111">
      <c r="A216" s="125" t="inlineStr">
        <is>
          <t>K365</t>
        </is>
      </c>
      <c r="B216" s="125" t="inlineStr">
        <is>
          <t>044-二次</t>
        </is>
      </c>
      <c r="C216" s="125" t="inlineStr">
        <is>
          <t>Niko</t>
        </is>
      </c>
      <c r="D216" s="146" t="inlineStr">
        <is>
          <t>干预</t>
        </is>
      </c>
      <c r="E216" s="152" t="inlineStr">
        <is>
          <t>条件 A 基线 vs 条件 B（视频示范）</t>
        </is>
      </c>
      <c r="F216" s="136" t="inlineStr">
        <is>
          <t>300, 300, 300, 300, 300, 300, 300, 300</t>
        </is>
      </c>
      <c r="G216" s="127">
        <f>IF(F216="","",LEN(F216)-LEN(SUBSTITUTE(F216,",",""))+1)</f>
        <v/>
      </c>
      <c r="H216" s="136" t="inlineStr">
        <is>
          <t>7, 8, 7</t>
        </is>
      </c>
      <c r="I216" s="127">
        <f>IF(H216="","",LEN(H216)-LEN(SUBSTITUTE(H216,",",""))+1)</f>
        <v/>
      </c>
      <c r="J216" s="144" t="inlineStr">
        <is>
          <t>降低改善</t>
        </is>
      </c>
      <c r="K216" s="145" t="n">
        <v>0</v>
      </c>
      <c r="L216" s="145" t="n">
        <v>1</v>
      </c>
      <c r="M216" s="127">
        <f>IF(OR(K216="",L216=""),"",IF(AND(L216&lt;0.05,OR(AND(J216="升高改善",K216&gt;0),AND(J216="降低改善",K216&lt;0))),"校正","不校正"))</f>
        <v/>
      </c>
      <c r="N216" s="152" t="inlineStr">
        <is>
          <t>图1，PDF第9页/手稿第9页，Niko面板，左纵轴黑圆</t>
        </is>
      </c>
    </row>
    <row r="217" ht="45" customHeight="1" s="111">
      <c r="A217" s="125" t="inlineStr">
        <is>
          <t>K366</t>
        </is>
      </c>
      <c r="B217" s="125" t="inlineStr">
        <is>
          <t>044-二次</t>
        </is>
      </c>
      <c r="C217" s="125" t="inlineStr">
        <is>
          <t>Niko</t>
        </is>
      </c>
      <c r="D217" s="146" t="inlineStr">
        <is>
          <t>维持</t>
        </is>
      </c>
      <c r="E217" s="152" t="inlineStr">
        <is>
          <t>条件 A 基线 vs 1 个月＋3 个月 Follow-up</t>
        </is>
      </c>
      <c r="F217" s="136" t="inlineStr">
        <is>
          <t>300, 300, 300, 300, 300, 300, 300, 300</t>
        </is>
      </c>
      <c r="G217" s="127">
        <f>IF(F217="","",LEN(F217)-LEN(SUBSTITUTE(F217,",",""))+1)</f>
        <v/>
      </c>
      <c r="H217" s="136" t="inlineStr">
        <is>
          <t>7, 9, 7, 6, 5, 5, 5, 6, 2, 4</t>
        </is>
      </c>
      <c r="I217" s="127">
        <f>IF(H217="","",LEN(H217)-LEN(SUBSTITUTE(H217,",",""))+1)</f>
        <v/>
      </c>
      <c r="J217" s="144" t="inlineStr">
        <is>
          <t>降低改善</t>
        </is>
      </c>
      <c r="K217" s="145" t="n">
        <v>0</v>
      </c>
      <c r="L217" s="145" t="n">
        <v>1</v>
      </c>
      <c r="M217" s="127">
        <f>IF(OR(K217="",L217=""),"",IF(AND(L217&lt;0.05,OR(AND(J217="升高改善",K217&gt;0),AND(J217="降低改善",K217&lt;0))),"校正","不校正"))</f>
        <v/>
      </c>
      <c r="N217" s="152" t="inlineStr">
        <is>
          <t>图1，PDF第9页/手稿第9页，Niko面板，左纵轴黑圆</t>
        </is>
      </c>
    </row>
    <row r="218" ht="45" customHeight="1" s="111">
      <c r="A218" s="125" t="inlineStr">
        <is>
          <t>K367</t>
        </is>
      </c>
      <c r="B218" s="125" t="inlineStr">
        <is>
          <t>044-二次</t>
        </is>
      </c>
      <c r="C218" s="125" t="inlineStr">
        <is>
          <t>Niko</t>
        </is>
      </c>
      <c r="D218" s="146" t="inlineStr">
        <is>
          <t>泛化</t>
        </is>
      </c>
      <c r="E218" s="152" t="inlineStr">
        <is>
          <t>条件 A 基线 vs 条件 C–F（球、手鼓、蹦床、火车；换玩具、不看视频）合并</t>
        </is>
      </c>
      <c r="F218" s="136" t="inlineStr">
        <is>
          <t>300, 300, 300, 300, 300, 300, 300, 300</t>
        </is>
      </c>
      <c r="G218" s="127">
        <f>IF(F218="","",LEN(F218)-LEN(SUBSTITUTE(F218,",",""))+1)</f>
        <v/>
      </c>
      <c r="H218" s="136" t="inlineStr">
        <is>
          <t>9, 7, 7, 7, 9, 8, 9, 10, 8, 7, 9, 8</t>
        </is>
      </c>
      <c r="I218" s="127">
        <f>IF(H218="","",LEN(H218)-LEN(SUBSTITUTE(H218,",",""))+1)</f>
        <v/>
      </c>
      <c r="J218" s="144" t="inlineStr">
        <is>
          <t>降低改善</t>
        </is>
      </c>
      <c r="K218" s="145" t="n">
        <v>0</v>
      </c>
      <c r="L218" s="145" t="n">
        <v>1</v>
      </c>
      <c r="M218" s="127">
        <f>IF(OR(K218="",L218=""),"",IF(AND(L218&lt;0.05,OR(AND(J218="升高改善",K218&gt;0),AND(J218="降低改善",K218&lt;0))),"校正","不校正"))</f>
        <v/>
      </c>
      <c r="N218" s="152" t="inlineStr">
        <is>
          <t>图1，PDF第9页/手稿第9页，Niko面板，左纵轴黑圆</t>
        </is>
      </c>
    </row>
    <row r="219" ht="45" customHeight="1" s="111">
      <c r="A219" s="121" t="inlineStr">
        <is>
          <t>K371</t>
        </is>
      </c>
      <c r="B219" s="121" t="inlineStr">
        <is>
          <t>044-二次</t>
        </is>
      </c>
      <c r="C219" s="121" t="inlineStr">
        <is>
          <t>Niko</t>
        </is>
      </c>
      <c r="D219" s="140" t="inlineStr">
        <is>
          <t>干预</t>
        </is>
      </c>
      <c r="E219" s="118" t="inlineStr">
        <is>
          <t>条件 A 基线 vs 条件 B（视频示范）</t>
        </is>
      </c>
      <c r="F219" s="136" t="inlineStr">
        <is>
          <t>0, 0, 0, 0, 0, 0, 0, 0</t>
        </is>
      </c>
      <c r="G219" s="127">
        <f>IF(F219="","",LEN(F219)-LEN(SUBSTITUTE(F219,",",""))+1)</f>
        <v/>
      </c>
      <c r="H219" s="136" t="inlineStr">
        <is>
          <t>291, 289, 291</t>
        </is>
      </c>
      <c r="I219" s="127">
        <f>IF(H219="","",LEN(H219)-LEN(SUBSTITUTE(H219,",",""))+1)</f>
        <v/>
      </c>
      <c r="J219" s="144" t="inlineStr">
        <is>
          <t>升高改善</t>
        </is>
      </c>
      <c r="K219" s="145" t="n">
        <v>0</v>
      </c>
      <c r="L219" s="145" t="n">
        <v>1</v>
      </c>
      <c r="M219" s="127">
        <f>IF(OR(K219="",L219=""),"",IF(AND(L219&lt;0.05,OR(AND(J219="升高改善",K219&gt;0),AND(J219="降低改善",K219&lt;0))),"校正","不校正"))</f>
        <v/>
      </c>
      <c r="N219" s="118" t="inlineStr">
        <is>
          <t>图1，PDF第9页/手稿第9页，Niko面板，右纵轴空方</t>
        </is>
      </c>
    </row>
    <row r="220" ht="45" customHeight="1" s="111">
      <c r="A220" s="121" t="inlineStr">
        <is>
          <t>K372</t>
        </is>
      </c>
      <c r="B220" s="121" t="inlineStr">
        <is>
          <t>044-二次</t>
        </is>
      </c>
      <c r="C220" s="121" t="inlineStr">
        <is>
          <t>Niko</t>
        </is>
      </c>
      <c r="D220" s="140" t="inlineStr">
        <is>
          <t>维持</t>
        </is>
      </c>
      <c r="E220" s="118" t="inlineStr">
        <is>
          <t>条件 A 基线 vs 1 个月＋3 个月 Follow-up</t>
        </is>
      </c>
      <c r="F220" s="136" t="inlineStr">
        <is>
          <t>0, 0, 0, 0, 0, 0, 0, 0</t>
        </is>
      </c>
      <c r="G220" s="127">
        <f>IF(F220="","",LEN(F220)-LEN(SUBSTITUTE(F220,",",""))+1)</f>
        <v/>
      </c>
      <c r="H220" s="136" t="inlineStr">
        <is>
          <t>289, 285, 289, 291, 291, 290, 295, 289, 295, 290</t>
        </is>
      </c>
      <c r="I220" s="127">
        <f>IF(H220="","",LEN(H220)-LEN(SUBSTITUTE(H220,",",""))+1)</f>
        <v/>
      </c>
      <c r="J220" s="144" t="inlineStr">
        <is>
          <t>升高改善</t>
        </is>
      </c>
      <c r="K220" s="145" t="n">
        <v>0</v>
      </c>
      <c r="L220" s="145" t="n">
        <v>1</v>
      </c>
      <c r="M220" s="127">
        <f>IF(OR(K220="",L220=""),"",IF(AND(L220&lt;0.05,OR(AND(J220="升高改善",K220&gt;0),AND(J220="降低改善",K220&lt;0))),"校正","不校正"))</f>
        <v/>
      </c>
      <c r="N220" s="118" t="inlineStr">
        <is>
          <t>图1，PDF第9页/手稿第9页，Niko面板，右纵轴空方</t>
        </is>
      </c>
    </row>
    <row r="221" ht="45" customHeight="1" s="111">
      <c r="A221" s="121" t="inlineStr">
        <is>
          <t>K373</t>
        </is>
      </c>
      <c r="B221" s="121" t="inlineStr">
        <is>
          <t>044-二次</t>
        </is>
      </c>
      <c r="C221" s="121" t="inlineStr">
        <is>
          <t>Niko</t>
        </is>
      </c>
      <c r="D221" s="140" t="inlineStr">
        <is>
          <t>泛化</t>
        </is>
      </c>
      <c r="E221" s="118" t="inlineStr">
        <is>
          <t>条件 A 基线 vs 条件 C–F（球、手鼓、蹦床、火车；换玩具、不看视频）合并</t>
        </is>
      </c>
      <c r="F221" s="136" t="inlineStr">
        <is>
          <t>0, 0, 0, 0, 0, 0, 0, 0</t>
        </is>
      </c>
      <c r="G221" s="127">
        <f>IF(F221="","",LEN(F221)-LEN(SUBSTITUTE(F221,",",""))+1)</f>
        <v/>
      </c>
      <c r="H221" s="136" t="inlineStr">
        <is>
          <t>285, 290, 290, 291, 289, 289, 291, 289, 291, 291, 289, 291</t>
        </is>
      </c>
      <c r="I221" s="127">
        <f>IF(H221="","",LEN(H221)-LEN(SUBSTITUTE(H221,",",""))+1)</f>
        <v/>
      </c>
      <c r="J221" s="144" t="inlineStr">
        <is>
          <t>升高改善</t>
        </is>
      </c>
      <c r="K221" s="145" t="n">
        <v>0</v>
      </c>
      <c r="L221" s="145" t="n">
        <v>1</v>
      </c>
      <c r="M221" s="127">
        <f>IF(OR(K221="",L221=""),"",IF(AND(L221&lt;0.05,OR(AND(J221="升高改善",K221&gt;0),AND(J221="降低改善",K221&lt;0))),"校正","不校正"))</f>
        <v/>
      </c>
      <c r="N221" s="118" t="inlineStr">
        <is>
          <t>图1，PDF第9页/手稿第9页，Niko面板，右纵轴空方</t>
        </is>
      </c>
    </row>
    <row r="222" ht="45" customHeight="1" s="111">
      <c r="A222" s="125" t="inlineStr">
        <is>
          <t>K377</t>
        </is>
      </c>
      <c r="B222" s="125" t="inlineStr">
        <is>
          <t>044-二次</t>
        </is>
      </c>
      <c r="C222" s="125" t="inlineStr">
        <is>
          <t>Jamie</t>
        </is>
      </c>
      <c r="D222" s="146" t="inlineStr">
        <is>
          <t>干预</t>
        </is>
      </c>
      <c r="E222" s="152" t="inlineStr">
        <is>
          <t>条件 A 基线 vs 条件 B（视频示范）</t>
        </is>
      </c>
      <c r="F222" s="136" t="inlineStr">
        <is>
          <t>300, 300, 300, 300, 300, 300, 300, 300, 300, 300, 300</t>
        </is>
      </c>
      <c r="G222" s="127">
        <f>IF(F222="","",LEN(F222)-LEN(SUBSTITUTE(F222,",",""))+1)</f>
        <v/>
      </c>
      <c r="H222" s="136" t="inlineStr">
        <is>
          <t>2, 0, 3</t>
        </is>
      </c>
      <c r="I222" s="127">
        <f>IF(H222="","",LEN(H222)-LEN(SUBSTITUTE(H222,",",""))+1)</f>
        <v/>
      </c>
      <c r="J222" s="144" t="inlineStr">
        <is>
          <t>降低改善</t>
        </is>
      </c>
      <c r="K222" s="145" t="n">
        <v>0</v>
      </c>
      <c r="L222" s="145" t="n">
        <v>1</v>
      </c>
      <c r="M222" s="127">
        <f>IF(OR(K222="",L222=""),"",IF(AND(L222&lt;0.05,OR(AND(J222="升高改善",K222&gt;0),AND(J222="降低改善",K222&lt;0))),"校正","不校正"))</f>
        <v/>
      </c>
      <c r="N222" s="152" t="inlineStr">
        <is>
          <t>图1，PDF第9页/手稿第9页，Jamie面板，左纵轴黑圆</t>
        </is>
      </c>
    </row>
    <row r="223" ht="45" customHeight="1" s="111">
      <c r="A223" s="125" t="inlineStr">
        <is>
          <t>K378</t>
        </is>
      </c>
      <c r="B223" s="125" t="inlineStr">
        <is>
          <t>044-二次</t>
        </is>
      </c>
      <c r="C223" s="125" t="inlineStr">
        <is>
          <t>Jamie</t>
        </is>
      </c>
      <c r="D223" s="146" t="inlineStr">
        <is>
          <t>维持</t>
        </is>
      </c>
      <c r="E223" s="152" t="inlineStr">
        <is>
          <t>条件 A 基线 vs 1 个月＋3 个月 Follow-up</t>
        </is>
      </c>
      <c r="F223" s="136" t="inlineStr">
        <is>
          <t>300, 300, 300, 300, 300, 300, 300, 300, 300, 300, 300</t>
        </is>
      </c>
      <c r="G223" s="127">
        <f>IF(F223="","",LEN(F223)-LEN(SUBSTITUTE(F223,",",""))+1)</f>
        <v/>
      </c>
      <c r="H223" s="136" t="inlineStr">
        <is>
          <t>2, 4, 3, 3, 0, 3, 3, 4, 3, 3</t>
        </is>
      </c>
      <c r="I223" s="127">
        <f>IF(H223="","",LEN(H223)-LEN(SUBSTITUTE(H223,",",""))+1)</f>
        <v/>
      </c>
      <c r="J223" s="144" t="inlineStr">
        <is>
          <t>降低改善</t>
        </is>
      </c>
      <c r="K223" s="145" t="n">
        <v>0</v>
      </c>
      <c r="L223" s="145" t="n">
        <v>1</v>
      </c>
      <c r="M223" s="127">
        <f>IF(OR(K223="",L223=""),"",IF(AND(L223&lt;0.05,OR(AND(J223="升高改善",K223&gt;0),AND(J223="降低改善",K223&lt;0))),"校正","不校正"))</f>
        <v/>
      </c>
      <c r="N223" s="152" t="inlineStr">
        <is>
          <t>图1，PDF第9页/手稿第9页，Jamie面板，左纵轴黑圆</t>
        </is>
      </c>
    </row>
    <row r="224" ht="45" customHeight="1" s="111">
      <c r="A224" s="125" t="inlineStr">
        <is>
          <t>K380</t>
        </is>
      </c>
      <c r="B224" s="125" t="inlineStr">
        <is>
          <t>044-二次</t>
        </is>
      </c>
      <c r="C224" s="125" t="inlineStr">
        <is>
          <t>Jamie</t>
        </is>
      </c>
      <c r="D224" s="146" t="inlineStr">
        <is>
          <t>泛化</t>
        </is>
      </c>
      <c r="E224" s="152" t="inlineStr">
        <is>
          <t>条件 A 基线 vs 条件 D–F（换玩具、不看视频）合并；Jamie条件C无法与视频示范期分开，未取</t>
        </is>
      </c>
      <c r="F224" s="136" t="inlineStr">
        <is>
          <t>300, 300, 300, 300, 300, 300, 300, 300, 300, 300, 300</t>
        </is>
      </c>
      <c r="G224" s="127">
        <f>IF(F224="","",LEN(F224)-LEN(SUBSTITUTE(F224,",",""))+1)</f>
        <v/>
      </c>
      <c r="H224" s="136" t="inlineStr">
        <is>
          <t>4, 0, 0, 0, 3, 6, 0, 4, 6</t>
        </is>
      </c>
      <c r="I224" s="127">
        <f>IF(H224="","",LEN(H224)-LEN(SUBSTITUTE(H224,",",""))+1)</f>
        <v/>
      </c>
      <c r="J224" s="144" t="inlineStr">
        <is>
          <t>降低改善</t>
        </is>
      </c>
      <c r="K224" s="145" t="n">
        <v>0</v>
      </c>
      <c r="L224" s="145" t="n">
        <v>1</v>
      </c>
      <c r="M224" s="127">
        <f>IF(OR(K224="",L224=""),"",IF(AND(L224&lt;0.05,OR(AND(J224="升高改善",K224&gt;0),AND(J224="降低改善",K224&lt;0))),"校正","不校正"))</f>
        <v/>
      </c>
      <c r="N224" s="152" t="inlineStr">
        <is>
          <t>图1，PDF第9页/手稿第9页，Jamie面板，左纵轴黑圆</t>
        </is>
      </c>
    </row>
    <row r="225" ht="45" customHeight="1" s="111">
      <c r="A225" s="121" t="inlineStr">
        <is>
          <t>K383</t>
        </is>
      </c>
      <c r="B225" s="121" t="inlineStr">
        <is>
          <t>044-二次</t>
        </is>
      </c>
      <c r="C225" s="121" t="inlineStr">
        <is>
          <t>Jamie</t>
        </is>
      </c>
      <c r="D225" s="140" t="inlineStr">
        <is>
          <t>干预</t>
        </is>
      </c>
      <c r="E225" s="118" t="inlineStr">
        <is>
          <t>条件 A 基线 vs 条件 B（视频示范）</t>
        </is>
      </c>
      <c r="F225" s="136" t="inlineStr">
        <is>
          <t>0, 0, 0, 0, 0, 0, 0, 0, 0, 0, 0</t>
        </is>
      </c>
      <c r="G225" s="127">
        <f>IF(F225="","",LEN(F225)-LEN(SUBSTITUTE(F225,",",""))+1)</f>
        <v/>
      </c>
      <c r="H225" s="136" t="inlineStr">
        <is>
          <t>290, 292, 285</t>
        </is>
      </c>
      <c r="I225" s="127">
        <f>IF(H225="","",LEN(H225)-LEN(SUBSTITUTE(H225,",",""))+1)</f>
        <v/>
      </c>
      <c r="J225" s="144" t="inlineStr">
        <is>
          <t>升高改善</t>
        </is>
      </c>
      <c r="K225" s="145" t="n">
        <v>0</v>
      </c>
      <c r="L225" s="145" t="n">
        <v>1</v>
      </c>
      <c r="M225" s="127">
        <f>IF(OR(K225="",L225=""),"",IF(AND(L225&lt;0.05,OR(AND(J225="升高改善",K225&gt;0),AND(J225="降低改善",K225&lt;0))),"校正","不校正"))</f>
        <v/>
      </c>
      <c r="N225" s="118" t="inlineStr">
        <is>
          <t>图1，PDF第9页/手稿第9页，Jamie面板，右纵轴空方</t>
        </is>
      </c>
    </row>
    <row r="226" ht="45" customHeight="1" s="111">
      <c r="A226" s="121" t="inlineStr">
        <is>
          <t>K384</t>
        </is>
      </c>
      <c r="B226" s="121" t="inlineStr">
        <is>
          <t>044-二次</t>
        </is>
      </c>
      <c r="C226" s="121" t="inlineStr">
        <is>
          <t>Jamie</t>
        </is>
      </c>
      <c r="D226" s="140" t="inlineStr">
        <is>
          <t>维持</t>
        </is>
      </c>
      <c r="E226" s="118" t="inlineStr">
        <is>
          <t>条件 A 基线 vs 1 个月＋3 个月 Follow-up</t>
        </is>
      </c>
      <c r="F226" s="136" t="inlineStr">
        <is>
          <t>0, 0, 0, 0, 0, 0, 0, 0, 0, 0, 0</t>
        </is>
      </c>
      <c r="G226" s="127">
        <f>IF(F226="","",LEN(F226)-LEN(SUBSTITUTE(F226,",",""))+1)</f>
        <v/>
      </c>
      <c r="H226" s="136" t="inlineStr">
        <is>
          <t>291, 287, 292, 242, 292, 292, 292, 290, 281, 292</t>
        </is>
      </c>
      <c r="I226" s="127">
        <f>IF(H226="","",LEN(H226)-LEN(SUBSTITUTE(H226,",",""))+1)</f>
        <v/>
      </c>
      <c r="J226" s="144" t="inlineStr">
        <is>
          <t>升高改善</t>
        </is>
      </c>
      <c r="K226" s="145" t="n">
        <v>0</v>
      </c>
      <c r="L226" s="145" t="n">
        <v>1</v>
      </c>
      <c r="M226" s="127">
        <f>IF(OR(K226="",L226=""),"",IF(AND(L226&lt;0.05,OR(AND(J226="升高改善",K226&gt;0),AND(J226="降低改善",K226&lt;0))),"校正","不校正"))</f>
        <v/>
      </c>
      <c r="N226" s="118" t="inlineStr">
        <is>
          <t>图1，PDF第9页/手稿第9页，Jamie面板，右纵轴空方</t>
        </is>
      </c>
    </row>
    <row r="227" ht="45" customHeight="1" s="111">
      <c r="A227" s="121" t="inlineStr">
        <is>
          <t>K386</t>
        </is>
      </c>
      <c r="B227" s="121" t="inlineStr">
        <is>
          <t>044-二次</t>
        </is>
      </c>
      <c r="C227" s="121" t="inlineStr">
        <is>
          <t>Jamie</t>
        </is>
      </c>
      <c r="D227" s="140" t="inlineStr">
        <is>
          <t>泛化</t>
        </is>
      </c>
      <c r="E227" s="118" t="inlineStr">
        <is>
          <t>条件 A 基线 vs 条件 D–F（换玩具、不看视频）合并；Jamie条件C无法与视频示范期分开，未取</t>
        </is>
      </c>
      <c r="F227" s="136" t="inlineStr">
        <is>
          <t>0, 0, 0, 0, 0, 0, 0, 0, 0, 0, 0</t>
        </is>
      </c>
      <c r="G227" s="127">
        <f>IF(F227="","",LEN(F227)-LEN(SUBSTITUTE(F227,",",""))+1)</f>
        <v/>
      </c>
      <c r="H227" s="136" t="inlineStr">
        <is>
          <t>284, 286, 292, 255, 250, 241, 292, 290, 290</t>
        </is>
      </c>
      <c r="I227" s="127">
        <f>IF(H227="","",LEN(H227)-LEN(SUBSTITUTE(H227,",",""))+1)</f>
        <v/>
      </c>
      <c r="J227" s="144" t="inlineStr">
        <is>
          <t>升高改善</t>
        </is>
      </c>
      <c r="K227" s="145" t="n">
        <v>0</v>
      </c>
      <c r="L227" s="145" t="n">
        <v>1</v>
      </c>
      <c r="M227" s="127">
        <f>IF(OR(K227="",L227=""),"",IF(AND(L227&lt;0.05,OR(AND(J227="升高改善",K227&gt;0),AND(J227="降低改善",K227&lt;0))),"校正","不校正"))</f>
        <v/>
      </c>
      <c r="N227" s="118" t="inlineStr">
        <is>
          <t>图1，PDF第9页/手稿第9页，Jamie面板，右纵轴空方</t>
        </is>
      </c>
    </row>
    <row r="228" ht="45" customHeight="1" s="111">
      <c r="A228" s="121" t="inlineStr">
        <is>
          <t>K395</t>
        </is>
      </c>
      <c r="B228" s="121" t="inlineStr">
        <is>
          <t>048-二次</t>
        </is>
      </c>
      <c r="C228" s="121" t="inlineStr">
        <is>
          <t>Jack</t>
        </is>
      </c>
      <c r="D228" s="140" t="inlineStr">
        <is>
          <t>干预</t>
        </is>
      </c>
      <c r="E228" s="119" t="inlineStr">
        <is>
          <t>Baseline vs VM Intervention 期每日无视频探测</t>
        </is>
      </c>
      <c r="F228" s="119" t="inlineStr">
        <is>
          <t>0, 0, 0</t>
        </is>
      </c>
      <c r="G228" s="121">
        <f>IF(F228="","",LEN(F228)-LEN(SUBSTITUTE(F228,",",""))+1)</f>
        <v/>
      </c>
      <c r="H228" s="119" t="inlineStr">
        <is>
          <t>0, 20, 0, 0, 60, 100, 100, 100, 100, 100, 100, 100, 100, 80, 100, 60, 100, 100</t>
        </is>
      </c>
      <c r="I228" s="121">
        <f>IF(H228="","",LEN(H228)-LEN(SUBSTITUTE(H228,",",""))+1)</f>
        <v/>
      </c>
      <c r="J228" s="140" t="inlineStr">
        <is>
          <t>升高改善</t>
        </is>
      </c>
      <c r="K228" s="141" t="n">
        <v>0</v>
      </c>
      <c r="L228" s="141" t="n">
        <v>1</v>
      </c>
      <c r="M228" s="121">
        <f>IF(OR(K228="",L228=""),"",IF(AND(L228&lt;0.05,OR(AND(J228="升高改善",K228&gt;0),AND(J228="降低改善",K228&lt;0))),"校正","不校正"))</f>
        <v/>
      </c>
      <c r="N228" s="118" t="inlineStr">
        <is>
          <t>图1，PDF第7页/期刊第259页，Airplanes面板，黑圆</t>
        </is>
      </c>
    </row>
    <row r="229" ht="45" customHeight="1" s="111">
      <c r="A229" s="121" t="inlineStr">
        <is>
          <t>K396</t>
        </is>
      </c>
      <c r="B229" s="121" t="inlineStr">
        <is>
          <t>048-二次</t>
        </is>
      </c>
      <c r="C229" s="121" t="inlineStr">
        <is>
          <t>Jack</t>
        </is>
      </c>
      <c r="D229" s="140" t="inlineStr">
        <is>
          <t>干预</t>
        </is>
      </c>
      <c r="E229" s="119" t="inlineStr">
        <is>
          <t>Baseline vs VM Intervention 期每日无视频探测</t>
        </is>
      </c>
      <c r="F229" s="136" t="inlineStr">
        <is>
          <t>0, 0, 0, 0, 0, 0, 0, 0, 0</t>
        </is>
      </c>
      <c r="G229" s="127">
        <f>IF(F229="","",LEN(F229)-LEN(SUBSTITUTE(F229,",",""))+1)</f>
        <v/>
      </c>
      <c r="H229" s="136" t="inlineStr">
        <is>
          <t>15, 30, 65, 30, 65, 65, 65, 80, 100, 45, 65, 80, 80</t>
        </is>
      </c>
      <c r="I229" s="127">
        <f>IF(H229="","",LEN(H229)-LEN(SUBSTITUTE(H229,",",""))+1)</f>
        <v/>
      </c>
      <c r="J229" s="144" t="inlineStr">
        <is>
          <t>升高改善</t>
        </is>
      </c>
      <c r="K229" s="145" t="n">
        <v>0</v>
      </c>
      <c r="L229" s="145" t="n">
        <v>1</v>
      </c>
      <c r="M229" s="127">
        <f>IF(OR(K229="",L229=""),"",IF(AND(L229&lt;0.05,OR(AND(J229="升高改善",K229&gt;0),AND(J229="降低改善",K229&lt;0))),"校正","不校正"))</f>
        <v/>
      </c>
      <c r="N229" s="118" t="inlineStr">
        <is>
          <t>图1，PDF第7页/期刊第259页，Picnic面板，黑圆</t>
        </is>
      </c>
    </row>
    <row r="230" ht="45" customHeight="1" s="111">
      <c r="A230" s="121" t="inlineStr">
        <is>
          <t>K397</t>
        </is>
      </c>
      <c r="B230" s="121" t="inlineStr">
        <is>
          <t>048-二次</t>
        </is>
      </c>
      <c r="C230" s="121" t="inlineStr">
        <is>
          <t>Jack</t>
        </is>
      </c>
      <c r="D230" s="140" t="inlineStr">
        <is>
          <t>干预</t>
        </is>
      </c>
      <c r="E230" s="119" t="inlineStr">
        <is>
          <t>Baseline vs VM Intervention 期每日无视频探测</t>
        </is>
      </c>
      <c r="F230" s="119" t="inlineStr">
        <is>
          <t>0, 0, 0, 0, 0, 0, 0, 0, 0, 0, 0, 0, 0, 0, 0</t>
        </is>
      </c>
      <c r="G230" s="121">
        <f>IF(F230="","",LEN(F230)-LEN(SUBSTITUTE(F230,",",""))+1)</f>
        <v/>
      </c>
      <c r="H230" s="119" t="inlineStr">
        <is>
          <t>0, 0, 80, 100, 100</t>
        </is>
      </c>
      <c r="I230" s="121">
        <f>IF(H230="","",LEN(H230)-LEN(SUBSTITUTE(H230,",",""))+1)</f>
        <v/>
      </c>
      <c r="J230" s="140" t="inlineStr">
        <is>
          <t>升高改善</t>
        </is>
      </c>
      <c r="K230" s="141" t="n">
        <v>0</v>
      </c>
      <c r="L230" s="141" t="n">
        <v>1</v>
      </c>
      <c r="M230" s="121">
        <f>IF(OR(K230="",L230=""),"",IF(AND(L230&lt;0.05,OR(AND(J230="升高改善",K230&gt;0),AND(J230="降低改善",K230&lt;0))),"校正","不校正"))</f>
        <v/>
      </c>
      <c r="N230" s="118" t="inlineStr">
        <is>
          <t>图1，PDF第7页/期刊第259页，Dinosaur Cars面板，黑圆</t>
        </is>
      </c>
    </row>
    <row r="231" ht="45" customHeight="1" s="111">
      <c r="A231" s="121" t="inlineStr">
        <is>
          <t>K398</t>
        </is>
      </c>
      <c r="B231" s="121" t="inlineStr">
        <is>
          <t>048-二次</t>
        </is>
      </c>
      <c r="C231" s="121" t="inlineStr">
        <is>
          <t>Manuel</t>
        </is>
      </c>
      <c r="D231" s="140" t="inlineStr">
        <is>
          <t>干预</t>
        </is>
      </c>
      <c r="E231" s="119" t="inlineStr">
        <is>
          <t>Baseline vs VM 后的保留探测（Retention Probes）</t>
        </is>
      </c>
      <c r="F231" s="119" t="inlineStr">
        <is>
          <t>0, 0, 0</t>
        </is>
      </c>
      <c r="G231" s="121">
        <f>IF(F231="","",LEN(F231)-LEN(SUBSTITUTE(F231,",",""))+1)</f>
        <v/>
      </c>
      <c r="H231" s="119" t="inlineStr">
        <is>
          <t>8, 3, 11, 6, 6, 7, 11, 7, 12, 12</t>
        </is>
      </c>
      <c r="I231" s="121">
        <f>IF(H231="","",LEN(H231)-LEN(SUBSTITUTE(H231,",",""))+1)</f>
        <v/>
      </c>
      <c r="J231" s="140" t="inlineStr">
        <is>
          <t>升高改善</t>
        </is>
      </c>
      <c r="K231" s="141" t="n">
        <v>0</v>
      </c>
      <c r="L231" s="141" t="n">
        <v>1</v>
      </c>
      <c r="M231" s="121">
        <f>IF(OR(K231="",L231=""),"",IF(AND(L231&lt;0.05,OR(AND(J231="升高改善",K231&gt;0),AND(J231="降低改善",K231&lt;0))),"校正","不校正"))</f>
        <v/>
      </c>
      <c r="N231" s="118" t="inlineStr">
        <is>
          <t>图2，PDF第10页/期刊第262页，Batman Colorforms面板，黑圆</t>
        </is>
      </c>
    </row>
    <row r="232" ht="45" customHeight="1" s="111">
      <c r="A232" s="121" t="inlineStr">
        <is>
          <t>K399</t>
        </is>
      </c>
      <c r="B232" s="121" t="inlineStr">
        <is>
          <t>048-二次</t>
        </is>
      </c>
      <c r="C232" s="121" t="inlineStr">
        <is>
          <t>Manuel</t>
        </is>
      </c>
      <c r="D232" s="140" t="inlineStr">
        <is>
          <t>干预</t>
        </is>
      </c>
      <c r="E232" s="119" t="inlineStr">
        <is>
          <t>Baseline vs VM 后的保留探测（Retention Probes）</t>
        </is>
      </c>
      <c r="F232" s="119" t="inlineStr">
        <is>
          <t>7, 3, 2, 0, 2, 1</t>
        </is>
      </c>
      <c r="G232" s="121">
        <f>IF(F232="","",LEN(F232)-LEN(SUBSTITUTE(F232,",",""))+1)</f>
        <v/>
      </c>
      <c r="H232" s="119" t="inlineStr">
        <is>
          <t>14, 4, 14, 7, 8</t>
        </is>
      </c>
      <c r="I232" s="121">
        <f>IF(H232="","",LEN(H232)-LEN(SUBSTITUTE(H232,",",""))+1)</f>
        <v/>
      </c>
      <c r="J232" s="140" t="inlineStr">
        <is>
          <t>升高改善</t>
        </is>
      </c>
      <c r="K232" s="141" t="n">
        <v>-0.690065559342354</v>
      </c>
      <c r="L232" s="141" t="n">
        <v>0.0557826087068441</v>
      </c>
      <c r="M232" s="121">
        <f>IF(OR(K232="",L232=""),"",IF(AND(L232&lt;0.05,OR(AND(J232="升高改善",K232&gt;0),AND(J232="降低改善",K232&lt;0))),"校正","不校正"))</f>
        <v/>
      </c>
      <c r="N232" s="118" t="inlineStr">
        <is>
          <t>图2，PDF第10页/期刊第262页，Cars and Loops Track面板，黑圆</t>
        </is>
      </c>
    </row>
    <row r="233" ht="45" customHeight="1" s="111">
      <c r="A233" s="121" t="inlineStr">
        <is>
          <t>K400</t>
        </is>
      </c>
      <c r="B233" s="121" t="inlineStr">
        <is>
          <t>048-二次</t>
        </is>
      </c>
      <c r="C233" s="121" t="inlineStr">
        <is>
          <t>Manuel</t>
        </is>
      </c>
      <c r="D233" s="140" t="inlineStr">
        <is>
          <t>干预</t>
        </is>
      </c>
      <c r="E233" s="119" t="inlineStr">
        <is>
          <t>Baseline vs VM 后的保留探测（Retention Probes）</t>
        </is>
      </c>
      <c r="F233" s="119" t="inlineStr">
        <is>
          <t>0, 0, 1, 0, 0, 1, 2, 1</t>
        </is>
      </c>
      <c r="G233" s="121">
        <f>IF(F233="","",LEN(F233)-LEN(SUBSTITUTE(F233,",",""))+1)</f>
        <v/>
      </c>
      <c r="H233" s="119" t="inlineStr">
        <is>
          <t>11, 7, 8</t>
        </is>
      </c>
      <c r="I233" s="121">
        <f>IF(H233="","",LEN(H233)-LEN(SUBSTITUTE(H233,",",""))+1)</f>
        <v/>
      </c>
      <c r="J233" s="140" t="inlineStr">
        <is>
          <t>升高改善</t>
        </is>
      </c>
      <c r="K233" s="141" t="n">
        <v>0.563621480190678</v>
      </c>
      <c r="L233" s="141" t="n">
        <v>0.0741498977382223</v>
      </c>
      <c r="M233" s="121">
        <f>IF(OR(K233="",L233=""),"",IF(AND(L233&lt;0.05,OR(AND(J233="升高改善",K233&gt;0),AND(J233="降低改善",K233&lt;0))),"校正","不校正"))</f>
        <v/>
      </c>
      <c r="N233" s="118" t="inlineStr">
        <is>
          <t>图2，PDF第10页/期刊第262页，Marines面板，黑圆</t>
        </is>
      </c>
    </row>
    <row r="234" ht="45" customHeight="1" s="111">
      <c r="A234" s="121" t="inlineStr">
        <is>
          <t>K401</t>
        </is>
      </c>
      <c r="B234" s="121" t="inlineStr">
        <is>
          <t>051-二次</t>
        </is>
      </c>
      <c r="C234" s="121" t="inlineStr">
        <is>
          <t>Bob</t>
        </is>
      </c>
      <c r="D234" s="140" t="inlineStr">
        <is>
          <t>干预</t>
        </is>
      </c>
      <c r="E234" s="118" t="inlineStr">
        <is>
          <t>两轮合并：Stage 1 Baseline vs VSM ＋ Stage 2 Baseline vs VSM</t>
        </is>
      </c>
      <c r="F234" s="132" t="inlineStr">
        <is>
          <t>0, 0, 0, 0, 0, 0, 0, 0, 1, 0, 0, 0, 1, 0, 0, 0, 0, 0, 0, 0, 0, 0, 0, 0, 0, 0, 0, 0, 0, 0, 1, 0, 0, 0, 0, 1, 0, 0, 0, 0, 0, 0, 0, 0, 0, 0, 0, 0, 0, 0, 0, 0</t>
        </is>
      </c>
      <c r="G234" s="123">
        <f>IF(F234="","",LEN(F234)-LEN(SUBSTITUTE(F234,",",""))+1)</f>
        <v/>
      </c>
      <c r="H234" s="132" t="inlineStr">
        <is>
          <t>0, 2, 0, 0, 0, 0, 0, 1, 0, 0, 0, 0, 0</t>
        </is>
      </c>
      <c r="I234" s="123">
        <f>IF(H234="","",LEN(H234)-LEN(SUBSTITUTE(H234,",",""))+1)</f>
        <v/>
      </c>
      <c r="J234" s="142" t="inlineStr">
        <is>
          <t>升高改善</t>
        </is>
      </c>
      <c r="K234" s="143" t="n">
        <v>-0.06738396167188671</v>
      </c>
      <c r="L234" s="143" t="n">
        <v>0.559366723001915</v>
      </c>
      <c r="M234" s="123">
        <f>IF(OR(K234="",L234=""),"",IF(AND(L234&lt;0.05,OR(AND(J234="升高改善",K234&gt;0),AND(J234="降低改善",K234&lt;0))),"校正","不校正"))</f>
        <v/>
      </c>
      <c r="N234" s="118" t="inlineStr">
        <is>
          <t>PDF7/印刷108页；Bob
Figure1：第1面板；Figure2：第2面板；符号见原图图例</t>
        </is>
      </c>
    </row>
    <row r="235" ht="45" customHeight="1" s="111">
      <c r="A235" s="121" t="inlineStr">
        <is>
          <t>K402</t>
        </is>
      </c>
      <c r="B235" s="121" t="inlineStr">
        <is>
          <t>051-二次</t>
        </is>
      </c>
      <c r="C235" s="121" t="inlineStr">
        <is>
          <t>Bob</t>
        </is>
      </c>
      <c r="D235" s="140" t="inlineStr">
        <is>
          <t>维持</t>
        </is>
      </c>
      <c r="E235" s="118" t="inlineStr">
        <is>
          <t>两轮合并：Stage 1 Baseline vs Maintenance ＋ Stage 2 Baseline vs Maintenance</t>
        </is>
      </c>
      <c r="F235" s="119" t="inlineStr">
        <is>
          <t>0, 0, 0, 0, 0, 0, 0, 0, 1, 0, 0, 0, 1, 0, 0, 0, 0, 0, 0, 0, 0, 0, 0, 0, 0, 0, 0, 0, 0, 0, 1, 0, 0, 0, 0, 1, 0, 0, 0, 0, 0, 0, 0, 0, 0, 0, 0, 0, 0, 0, 0, 0</t>
        </is>
      </c>
      <c r="G235" s="121">
        <f>IF(F235="","",LEN(F235)-LEN(SUBSTITUTE(F235,",",""))+1)</f>
        <v/>
      </c>
      <c r="H235" s="119" t="inlineStr">
        <is>
          <t>0, 0, 0, 0, 0, 0, 0, 0, 0, 0, 0, 0, 0, 0, 0, 0, 0, 0, 0, 0, 0, 0, 0, 0, 0</t>
        </is>
      </c>
      <c r="I235" s="121">
        <f>IF(H235="","",LEN(H235)-LEN(SUBSTITUTE(H235,",",""))+1)</f>
        <v/>
      </c>
      <c r="J235" s="140" t="inlineStr">
        <is>
          <t>升高改善</t>
        </is>
      </c>
      <c r="K235" s="141" t="n">
        <v>-0.06738396167188671</v>
      </c>
      <c r="L235" s="141" t="n">
        <v>0.559366723001915</v>
      </c>
      <c r="M235" s="121">
        <f>IF(OR(K235="",L235=""),"",IF(AND(L235&lt;0.05,OR(AND(J235="升高改善",K235&gt;0),AND(J235="降低改善",K235&lt;0))),"校正","不校正"))</f>
        <v/>
      </c>
      <c r="N235" s="118" t="inlineStr">
        <is>
          <t>PDF7/印刷108页；Bob
Figure1：第1面板；Figure2：第2面板；符号见原图图例</t>
        </is>
      </c>
    </row>
    <row r="236" ht="45" customHeight="1" s="111">
      <c r="A236" s="121" t="inlineStr">
        <is>
          <t>K403</t>
        </is>
      </c>
      <c r="B236" s="121" t="inlineStr">
        <is>
          <t>051-二次</t>
        </is>
      </c>
      <c r="C236" s="121" t="inlineStr">
        <is>
          <t>Tevon</t>
        </is>
      </c>
      <c r="D236" s="140" t="inlineStr">
        <is>
          <t>干预</t>
        </is>
      </c>
      <c r="E236" s="118" t="inlineStr">
        <is>
          <t>两轮合并：Stage 1 Baseline vs VSM ＋ Stage 2 Baseline vs VSM</t>
        </is>
      </c>
      <c r="F236" s="119" t="inlineStr">
        <is>
          <t>2, 0, 0, 3, 1, 0, 1, 0, 2, 2, 1, 0, 0, 3, 0, 1, 0, 2, 0, 1, 2, 0, 1, 1, 0, 1, 0, 0, 2, 3, 1, 2, 0, 0, 1, 1, 0, 2, 2, 1, 3, 1, 1, 0, 0, 0, 1, 0, 5, 6, 0, 5, 2, 4, 0, 3, 1, 0, 4, 4, 0, 5, 1, 4, 1</t>
        </is>
      </c>
      <c r="G236" s="121">
        <f>IF(F236="","",LEN(F236)-LEN(SUBSTITUTE(F236,",",""))+1)</f>
        <v/>
      </c>
      <c r="H236" s="119" t="inlineStr">
        <is>
          <t>0, 4, 3, 5, 3, 3, 2, 1, 3, 1, 4, 3</t>
        </is>
      </c>
      <c r="I236" s="121">
        <f>IF(H236="","",LEN(H236)-LEN(SUBSTITUTE(H236,",",""))+1)</f>
        <v/>
      </c>
      <c r="J236" s="140" t="inlineStr">
        <is>
          <t>升高改善</t>
        </is>
      </c>
      <c r="K236" s="141" t="n">
        <v>0.173376576430084</v>
      </c>
      <c r="L236" s="141" t="n">
        <v>0.0630810149759511</v>
      </c>
      <c r="M236" s="121">
        <f>IF(OR(K236="",L236=""),"",IF(AND(L236&lt;0.05,OR(AND(J236="升高改善",K236&gt;0),AND(J236="降低改善",K236&lt;0))),"校正","不校正"))</f>
        <v/>
      </c>
      <c r="N236" s="118" t="inlineStr">
        <is>
          <t>PDF7/印刷108页；Tevon
Figure1：第2面板；Figure2：第3面板；符号见原图图例</t>
        </is>
      </c>
    </row>
    <row r="237" ht="45" customHeight="1" s="111">
      <c r="A237" s="121" t="inlineStr">
        <is>
          <t>K404</t>
        </is>
      </c>
      <c r="B237" s="121" t="inlineStr">
        <is>
          <t>051-二次</t>
        </is>
      </c>
      <c r="C237" s="121" t="inlineStr">
        <is>
          <t>Tevon</t>
        </is>
      </c>
      <c r="D237" s="140" t="inlineStr">
        <is>
          <t>维持</t>
        </is>
      </c>
      <c r="E237" s="118" t="inlineStr">
        <is>
          <t>两轮合并：Stage 1 Baseline vs Maintenance ＋ Stage 2 Baseline vs Maintenance</t>
        </is>
      </c>
      <c r="F237" s="132" t="inlineStr">
        <is>
          <t>2, 0, 0, 3, 1, 0, 1, 0, 2, 2, 1, 0, 0, 3, 0, 1, 0, 2, 0, 1, 2, 0, 1, 1, 0, 1, 0, 0, 2, 3, 1, 2, 0, 0, 1, 1, 0, 2, 2, 1, 3, 1, 1, 0, 0, 0, 1, 0, 5, 6, 0, 5, 2, 4, 0, 3, 1, 0, 4, 4, 0, 5, 1, 4, 1</t>
        </is>
      </c>
      <c r="G237" s="123">
        <f>IF(F237="","",LEN(F237)-LEN(SUBSTITUTE(F237,",",""))+1)</f>
        <v/>
      </c>
      <c r="H237" s="132" t="inlineStr">
        <is>
          <t>2, 3, 2, 3, 4, 3, 2, 4, 5, 4, 1, 3, 2, 1, 5, 2</t>
        </is>
      </c>
      <c r="I237" s="123">
        <f>IF(H237="","",LEN(H237)-LEN(SUBSTITUTE(H237,",",""))+1)</f>
        <v/>
      </c>
      <c r="J237" s="142" t="inlineStr">
        <is>
          <t>升高改善</t>
        </is>
      </c>
      <c r="K237" s="143" t="n">
        <v>0.173376576430084</v>
      </c>
      <c r="L237" s="143" t="n">
        <v>0.0630810149759511</v>
      </c>
      <c r="M237" s="123">
        <f>IF(OR(K237="",L237=""),"",IF(AND(L237&lt;0.05,OR(AND(J237="升高改善",K237&gt;0),AND(J237="降低改善",K237&lt;0))),"校正","不校正"))</f>
        <v/>
      </c>
      <c r="N237" s="118" t="inlineStr">
        <is>
          <t>PDF7/印刷108页；Tevon
Figure1：第2面板；Figure2：第3面板；符号见原图图例</t>
        </is>
      </c>
    </row>
    <row r="238" ht="45" customHeight="1" s="111">
      <c r="A238" s="121" t="inlineStr">
        <is>
          <t>K405</t>
        </is>
      </c>
      <c r="B238" s="121" t="inlineStr">
        <is>
          <t>051-二次</t>
        </is>
      </c>
      <c r="C238" s="121" t="inlineStr">
        <is>
          <t>Josh</t>
        </is>
      </c>
      <c r="D238" s="140" t="inlineStr">
        <is>
          <t>干预</t>
        </is>
      </c>
      <c r="E238" s="118" t="inlineStr">
        <is>
          <t>两轮合并：Stage 1 Baseline vs VSM ＋ Stage 2 Baseline vs VSM</t>
        </is>
      </c>
      <c r="F238" s="132" t="inlineStr">
        <is>
          <t>1, 1, 0, 0, 0, 0, 0, 1, 1, 0, 0, 0, 0, 0, 0, 0, 0, 0, 0, 1, 2, 1, 1, 0, 0, 0, 0, 0, 0, 0, 0, 0, 0, 0, 0, 0, 0, 0, 0, 0, 0, 0, 0, 0, 1, 0, 0, 0, 1, 1, 0, 0, 0, 0, 1, 0, 0, 0, 1, 0, 0, 0</t>
        </is>
      </c>
      <c r="G238" s="123">
        <f>IF(F238="","",LEN(F238)-LEN(SUBSTITUTE(F238,",",""))+1)</f>
        <v/>
      </c>
      <c r="H238" s="132" t="inlineStr">
        <is>
          <t>0, 0, 0, 0, 0, 0, 0, 0, 0, 0, 0, 0, 1</t>
        </is>
      </c>
      <c r="I238" s="123">
        <f>IF(H238="","",LEN(H238)-LEN(SUBSTITUTE(H238,",",""))+1)</f>
        <v/>
      </c>
      <c r="J238" s="142" t="inlineStr">
        <is>
          <t>升高改善</t>
        </is>
      </c>
      <c r="K238" s="143" t="n">
        <v>-0.0839488663410258</v>
      </c>
      <c r="L238" s="143" t="n">
        <v>0.422315714216397</v>
      </c>
      <c r="M238" s="123">
        <f>IF(OR(K238="",L238=""),"",IF(AND(L238&lt;0.05,OR(AND(J238="升高改善",K238&gt;0),AND(J238="降低改善",K238&lt;0))),"校正","不校正"))</f>
        <v/>
      </c>
      <c r="N238" s="118" t="inlineStr">
        <is>
          <t>PDF7/印刷108页；Josh
Figure1：第3面板；Figure2：第1面板；符号见原图图例</t>
        </is>
      </c>
    </row>
    <row r="239" ht="45" customHeight="1" s="111">
      <c r="A239" s="121" t="inlineStr">
        <is>
          <t>K406</t>
        </is>
      </c>
      <c r="B239" s="121" t="inlineStr">
        <is>
          <t>051-二次</t>
        </is>
      </c>
      <c r="C239" s="121" t="inlineStr">
        <is>
          <t>Josh</t>
        </is>
      </c>
      <c r="D239" s="140" t="inlineStr">
        <is>
          <t>维持</t>
        </is>
      </c>
      <c r="E239" s="118" t="inlineStr">
        <is>
          <t>两轮合并：Stage 1 Baseline vs Maintenance ＋ Stage 2 Baseline vs Maintenance</t>
        </is>
      </c>
      <c r="F239" s="119" t="inlineStr">
        <is>
          <t>1, 1, 0, 0, 0, 0, 0, 1, 1, 0, 0, 0, 0, 0, 0, 0, 0, 0, 0, 1, 2, 1, 1, 0, 0, 0, 0, 0, 0, 0, 0, 0, 0, 0, 0, 0, 0, 0, 0, 0, 0, 0, 0, 0, 1, 0, 0, 0, 1, 1, 0, 0, 0, 0, 1, 0, 0, 0, 1, 0, 0, 0</t>
        </is>
      </c>
      <c r="G239" s="121">
        <f>IF(F239="","",LEN(F239)-LEN(SUBSTITUTE(F239,",",""))+1)</f>
        <v/>
      </c>
      <c r="H239" s="119" t="inlineStr">
        <is>
          <t>0, 0, 0, 0, 0, 0, 0, 1, 0, 0, 0, 0, 0, 0, 0, 0, 0</t>
        </is>
      </c>
      <c r="I239" s="121">
        <f>IF(H239="","",LEN(H239)-LEN(SUBSTITUTE(H239,",",""))+1)</f>
        <v/>
      </c>
      <c r="J239" s="140" t="inlineStr">
        <is>
          <t>升高改善</t>
        </is>
      </c>
      <c r="K239" s="141" t="n">
        <v>-0.0839488663410258</v>
      </c>
      <c r="L239" s="141" t="n">
        <v>0.422315714216397</v>
      </c>
      <c r="M239" s="121">
        <f>IF(OR(K239="",L239=""),"",IF(AND(L239&lt;0.05,OR(AND(J239="升高改善",K239&gt;0),AND(J239="降低改善",K239&lt;0))),"校正","不校正"))</f>
        <v/>
      </c>
      <c r="N239" s="118" t="inlineStr">
        <is>
          <t>PDF7/印刷108页；Josh
Figure1：第3面板；Figure2：第1面板；符号见原图图例</t>
        </is>
      </c>
    </row>
    <row r="240" ht="45" customHeight="1" s="111">
      <c r="A240" s="121" t="inlineStr">
        <is>
          <t>K407</t>
        </is>
      </c>
      <c r="B240" s="121" t="inlineStr">
        <is>
          <t>051-滚雪球</t>
        </is>
      </c>
      <c r="C240" s="121" t="inlineStr">
        <is>
          <t>Ned</t>
        </is>
      </c>
      <c r="D240" s="140" t="inlineStr">
        <is>
          <t>干预</t>
        </is>
      </c>
      <c r="E240" s="119" t="inlineStr">
        <is>
          <t>Baseline vs Intervention（L1–L5 合并）</t>
        </is>
      </c>
      <c r="F240" s="119" t="inlineStr">
        <is>
          <t>1, 0, 0, 0, 0, 0</t>
        </is>
      </c>
      <c r="G240" s="121">
        <f>IF(F240="","",LEN(F240)-LEN(SUBSTITUTE(F240,",",""))+1)</f>
        <v/>
      </c>
      <c r="H240" s="119" t="inlineStr">
        <is>
          <t>8, 10, 10, 10, 10, 10</t>
        </is>
      </c>
      <c r="I240" s="121">
        <f>IF(H240="","",LEN(H240)-LEN(SUBSTITUTE(H240,",",""))+1)</f>
        <v/>
      </c>
      <c r="J240" s="140" t="inlineStr">
        <is>
          <t>升高改善</t>
        </is>
      </c>
      <c r="K240" s="141" t="n">
        <v>-0.577350269189626</v>
      </c>
      <c r="L240" s="141" t="n">
        <v>0.14323490752467</v>
      </c>
      <c r="M240" s="121">
        <f>IF(OR(K240="",L240=""),"",IF(AND(L240&lt;0.05,OR(AND(J240="升高改善",K240&gt;0),AND(J240="降低改善",K240&lt;0))),"校正","不校正"))</f>
        <v/>
      </c>
      <c r="N240" s="119" t="inlineStr">
        <is>
          <t>Figure1，PDF12（无正式印刷页码），自上而下第1面板，实心圆，左轴</t>
        </is>
      </c>
    </row>
    <row r="241" ht="45" customHeight="1" s="111">
      <c r="A241" s="121" t="inlineStr">
        <is>
          <t>K408</t>
        </is>
      </c>
      <c r="B241" s="121" t="inlineStr">
        <is>
          <t>051-滚雪球</t>
        </is>
      </c>
      <c r="C241" s="121" t="inlineStr">
        <is>
          <t>Ned</t>
        </is>
      </c>
      <c r="D241" s="140" t="inlineStr">
        <is>
          <t>维持</t>
        </is>
      </c>
      <c r="E241" s="119" t="inlineStr">
        <is>
          <t>Baseline vs Maintenance</t>
        </is>
      </c>
      <c r="F241" s="119" t="inlineStr">
        <is>
          <t>1, 0, 0, 0, 0, 0</t>
        </is>
      </c>
      <c r="G241" s="121">
        <f>IF(F241="","",LEN(F241)-LEN(SUBSTITUTE(F241,",",""))+1)</f>
        <v/>
      </c>
      <c r="H241" s="119" t="inlineStr">
        <is>
          <t>10, 10, 10, 9, 9, 8, 9, 9, 9, 9, 8, 7, 10, 10, 8, 9, 9, 9</t>
        </is>
      </c>
      <c r="I241" s="121">
        <f>IF(H241="","",LEN(H241)-LEN(SUBSTITUTE(H241,",",""))+1)</f>
        <v/>
      </c>
      <c r="J241" s="140" t="inlineStr">
        <is>
          <t>升高改善</t>
        </is>
      </c>
      <c r="K241" s="141" t="n">
        <v>-0.577350269189626</v>
      </c>
      <c r="L241" s="141" t="n">
        <v>0.14323490752467</v>
      </c>
      <c r="M241" s="121">
        <f>IF(OR(K241="",L241=""),"",IF(AND(L241&lt;0.05,OR(AND(J241="升高改善",K241&gt;0),AND(J241="降低改善",K241&lt;0))),"校正","不校正"))</f>
        <v/>
      </c>
      <c r="N241" s="119" t="inlineStr">
        <is>
          <t>Figure1，PDF12（无正式印刷页码），自上而下第1面板，实心圆，左轴</t>
        </is>
      </c>
    </row>
    <row r="242" ht="45" customHeight="1" s="111">
      <c r="A242" s="121" t="inlineStr">
        <is>
          <t>K409</t>
        </is>
      </c>
      <c r="B242" s="121" t="inlineStr">
        <is>
          <t>051-滚雪球</t>
        </is>
      </c>
      <c r="C242" s="121" t="inlineStr">
        <is>
          <t>Ned</t>
        </is>
      </c>
      <c r="D242" s="140" t="inlineStr">
        <is>
          <t>干预</t>
        </is>
      </c>
      <c r="E242" s="119" t="inlineStr">
        <is>
          <t>Baseline vs Intervention（L1–L5 合并）</t>
        </is>
      </c>
      <c r="F242" s="119" t="inlineStr">
        <is>
          <t>0, 0, 0, 0, 0, 0, 0, 0, 0, 0, 0, 0</t>
        </is>
      </c>
      <c r="G242" s="121">
        <f>IF(F242="","",LEN(F242)-LEN(SUBSTITUTE(F242,",",""))+1)</f>
        <v/>
      </c>
      <c r="H242" s="119" t="inlineStr">
        <is>
          <t>10, 10, 10, 9, 8, 9</t>
        </is>
      </c>
      <c r="I242" s="121">
        <f>IF(H242="","",LEN(H242)-LEN(SUBSTITUTE(H242,",",""))+1)</f>
        <v/>
      </c>
      <c r="J242" s="140" t="inlineStr">
        <is>
          <t>升高改善</t>
        </is>
      </c>
      <c r="K242" s="141" t="n">
        <v>0</v>
      </c>
      <c r="L242" s="141" t="n">
        <v>1</v>
      </c>
      <c r="M242" s="121">
        <f>IF(OR(K242="",L242=""),"",IF(AND(L242&lt;0.05,OR(AND(J242="升高改善",K242&gt;0),AND(J242="降低改善",K242&lt;0))),"校正","不校正"))</f>
        <v/>
      </c>
      <c r="N242" s="119" t="inlineStr">
        <is>
          <t>Figure1，PDF12（无正式印刷页码），自上而下第2面板，实心圆，左轴</t>
        </is>
      </c>
    </row>
    <row r="243" ht="45" customHeight="1" s="111">
      <c r="A243" s="121" t="inlineStr">
        <is>
          <t>K410</t>
        </is>
      </c>
      <c r="B243" s="121" t="inlineStr">
        <is>
          <t>051-滚雪球</t>
        </is>
      </c>
      <c r="C243" s="121" t="inlineStr">
        <is>
          <t>Ned</t>
        </is>
      </c>
      <c r="D243" s="140" t="inlineStr">
        <is>
          <t>维持</t>
        </is>
      </c>
      <c r="E243" s="119" t="inlineStr">
        <is>
          <t>Baseline vs Maintenance</t>
        </is>
      </c>
      <c r="F243" s="119" t="inlineStr">
        <is>
          <t>0, 0, 0, 0, 0, 0, 0, 0, 0, 0, 0, 0</t>
        </is>
      </c>
      <c r="G243" s="121">
        <f>IF(F243="","",LEN(F243)-LEN(SUBSTITUTE(F243,",",""))+1)</f>
        <v/>
      </c>
      <c r="H243" s="119" t="inlineStr">
        <is>
          <t>8, 8, 6, 10, 7, 7, 6, 9, 8, 9, 7, 5</t>
        </is>
      </c>
      <c r="I243" s="121">
        <f>IF(H243="","",LEN(H243)-LEN(SUBSTITUTE(H243,",",""))+1)</f>
        <v/>
      </c>
      <c r="J243" s="140" t="inlineStr">
        <is>
          <t>升高改善</t>
        </is>
      </c>
      <c r="K243" s="141" t="n">
        <v>0</v>
      </c>
      <c r="L243" s="141" t="n">
        <v>1</v>
      </c>
      <c r="M243" s="121">
        <f>IF(OR(K243="",L243=""),"",IF(AND(L243&lt;0.05,OR(AND(J243="升高改善",K243&gt;0),AND(J243="降低改善",K243&lt;0))),"校正","不校正"))</f>
        <v/>
      </c>
      <c r="N243" s="119" t="inlineStr">
        <is>
          <t>Figure1，PDF12（无正式印刷页码），自上而下第2面板，实心圆，左轴</t>
        </is>
      </c>
    </row>
    <row r="244" ht="45" customHeight="1" s="111">
      <c r="A244" s="121" t="inlineStr">
        <is>
          <t>K411</t>
        </is>
      </c>
      <c r="B244" s="121" t="inlineStr">
        <is>
          <t>051-滚雪球</t>
        </is>
      </c>
      <c r="C244" s="121" t="inlineStr">
        <is>
          <t>Ned</t>
        </is>
      </c>
      <c r="D244" s="140" t="inlineStr">
        <is>
          <t>干预</t>
        </is>
      </c>
      <c r="E244" s="119" t="inlineStr">
        <is>
          <t>Baseline vs Intervention（L1–L5 合并）</t>
        </is>
      </c>
      <c r="F244" s="119" t="inlineStr">
        <is>
          <t>9, 9, 7, 6, 6, 7, 4, 7, 6, 6, 8, 5, 9, 8, 7, 5, 7, 7</t>
        </is>
      </c>
      <c r="G244" s="121">
        <f>IF(F244="","",LEN(F244)-LEN(SUBSTITUTE(F244,",",""))+1)</f>
        <v/>
      </c>
      <c r="H244" s="119" t="inlineStr">
        <is>
          <t>10, 9, 10, 10, 9, 8, 10, 10</t>
        </is>
      </c>
      <c r="I244" s="121">
        <f>IF(H244="","",LEN(H244)-LEN(SUBSTITUTE(H244,",",""))+1)</f>
        <v/>
      </c>
      <c r="J244" s="140" t="inlineStr">
        <is>
          <t>升高改善</t>
        </is>
      </c>
      <c r="K244" s="141" t="n">
        <v>-0.107607782820648</v>
      </c>
      <c r="L244" s="141" t="n">
        <v>0.557608762738836</v>
      </c>
      <c r="M244" s="121">
        <f>IF(OR(K244="",L244=""),"",IF(AND(L244&lt;0.05,OR(AND(J244="升高改善",K244&gt;0),AND(J244="降低改善",K244&lt;0))),"校正","不校正"))</f>
        <v/>
      </c>
      <c r="N244" s="119" t="inlineStr">
        <is>
          <t>Figure1，PDF12（无正式印刷页码），自上而下第3面板，实心圆，左轴</t>
        </is>
      </c>
    </row>
    <row r="245" ht="45" customHeight="1" s="111">
      <c r="A245" s="121" t="inlineStr">
        <is>
          <t>K412</t>
        </is>
      </c>
      <c r="B245" s="121" t="inlineStr">
        <is>
          <t>051-滚雪球</t>
        </is>
      </c>
      <c r="C245" s="121" t="inlineStr">
        <is>
          <t>Ned</t>
        </is>
      </c>
      <c r="D245" s="140" t="inlineStr">
        <is>
          <t>维持</t>
        </is>
      </c>
      <c r="E245" s="119" t="inlineStr">
        <is>
          <t>Baseline vs Maintenance</t>
        </is>
      </c>
      <c r="F245" s="119" t="inlineStr">
        <is>
          <t>9, 9, 7, 6, 6, 7, 4, 7, 6, 6, 8, 5, 9, 8, 7, 5, 7, 7</t>
        </is>
      </c>
      <c r="G245" s="121">
        <f>IF(F245="","",LEN(F245)-LEN(SUBSTITUTE(F245,",",""))+1)</f>
        <v/>
      </c>
      <c r="H245" s="119" t="inlineStr">
        <is>
          <t>9, 9, 9, 8</t>
        </is>
      </c>
      <c r="I245" s="121">
        <f>IF(H245="","",LEN(H245)-LEN(SUBSTITUTE(H245,",",""))+1)</f>
        <v/>
      </c>
      <c r="J245" s="140" t="inlineStr">
        <is>
          <t>升高改善</t>
        </is>
      </c>
      <c r="K245" s="141" t="n">
        <v>-0.107607782820648</v>
      </c>
      <c r="L245" s="141" t="n">
        <v>0.557608762738836</v>
      </c>
      <c r="M245" s="121">
        <f>IF(OR(K245="",L245=""),"",IF(AND(L245&lt;0.05,OR(AND(J245="升高改善",K245&gt;0),AND(J245="降低改善",K245&lt;0))),"校正","不校正"))</f>
        <v/>
      </c>
      <c r="N245" s="119" t="inlineStr">
        <is>
          <t>Figure1，PDF12（无正式印刷页码），自上而下第3面板，实心圆，左轴</t>
        </is>
      </c>
    </row>
    <row r="246" ht="45" customHeight="1" s="111">
      <c r="A246" s="121" t="inlineStr">
        <is>
          <t>K413</t>
        </is>
      </c>
      <c r="B246" s="121" t="inlineStr">
        <is>
          <t>051-滚雪球</t>
        </is>
      </c>
      <c r="C246" s="121" t="inlineStr">
        <is>
          <t>Suzy</t>
        </is>
      </c>
      <c r="D246" s="140" t="inlineStr">
        <is>
          <t>干预</t>
        </is>
      </c>
      <c r="E246" s="119" t="inlineStr">
        <is>
          <t>Baseline vs Intervention（L1–L5 合并）</t>
        </is>
      </c>
      <c r="F246" s="119" t="inlineStr">
        <is>
          <t>2, 3, 2, 3, 3, 2, 3, 1, 1</t>
        </is>
      </c>
      <c r="G246" s="121">
        <f>IF(F246="","",LEN(F246)-LEN(SUBSTITUTE(F246,",",""))+1)</f>
        <v/>
      </c>
      <c r="H246" s="119" t="inlineStr">
        <is>
          <t>10, 10, 9, 10, 10, 10, 10, 9, 10</t>
        </is>
      </c>
      <c r="I246" s="121">
        <f>IF(H246="","",LEN(H246)-LEN(SUBSTITUTE(H246,",",""))+1)</f>
        <v/>
      </c>
      <c r="J246" s="140" t="inlineStr">
        <is>
          <t>升高改善</t>
        </is>
      </c>
      <c r="K246" s="141" t="n">
        <v>-0.326860225230307</v>
      </c>
      <c r="L246" s="141" t="n">
        <v>0.259544222403874</v>
      </c>
      <c r="M246" s="121">
        <f>IF(OR(K246="",L246=""),"",IF(AND(L246&lt;0.05,OR(AND(J246="升高改善",K246&gt;0),AND(J246="降低改善",K246&lt;0))),"校正","不校正"))</f>
        <v/>
      </c>
      <c r="N246" s="119" t="inlineStr">
        <is>
          <t>Figure2，PDF13（无正式印刷页码），自上而下第1面板，实心圆，左轴</t>
        </is>
      </c>
    </row>
    <row r="247" ht="45" customHeight="1" s="111">
      <c r="A247" s="121" t="inlineStr">
        <is>
          <t>K414</t>
        </is>
      </c>
      <c r="B247" s="121" t="inlineStr">
        <is>
          <t>051-滚雪球</t>
        </is>
      </c>
      <c r="C247" s="121" t="inlineStr">
        <is>
          <t>Suzy</t>
        </is>
      </c>
      <c r="D247" s="140" t="inlineStr">
        <is>
          <t>维持</t>
        </is>
      </c>
      <c r="E247" s="119" t="inlineStr">
        <is>
          <t>Baseline vs Maintenance</t>
        </is>
      </c>
      <c r="F247" s="119" t="inlineStr">
        <is>
          <t>2, 3, 2, 3, 3, 2, 3, 1, 1</t>
        </is>
      </c>
      <c r="G247" s="121">
        <f>IF(F247="","",LEN(F247)-LEN(SUBSTITUTE(F247,",",""))+1)</f>
        <v/>
      </c>
      <c r="H247" s="119" t="inlineStr">
        <is>
          <t>10, 10, 10, 10, 10, 10, 10, 9, 10, 10</t>
        </is>
      </c>
      <c r="I247" s="121">
        <f>IF(H247="","",LEN(H247)-LEN(SUBSTITUTE(H247,",",""))+1)</f>
        <v/>
      </c>
      <c r="J247" s="140" t="inlineStr">
        <is>
          <t>升高改善</t>
        </is>
      </c>
      <c r="K247" s="141" t="n">
        <v>-0.326860225230307</v>
      </c>
      <c r="L247" s="141" t="n">
        <v>0.259544222403874</v>
      </c>
      <c r="M247" s="121">
        <f>IF(OR(K247="",L247=""),"",IF(AND(L247&lt;0.05,OR(AND(J247="升高改善",K247&gt;0),AND(J247="降低改善",K247&lt;0))),"校正","不校正"))</f>
        <v/>
      </c>
      <c r="N247" s="119" t="inlineStr">
        <is>
          <t>Figure2，PDF13（无正式印刷页码），自上而下第1面板，实心圆，左轴</t>
        </is>
      </c>
    </row>
    <row r="248" ht="45" customHeight="1" s="111">
      <c r="A248" s="121" t="inlineStr">
        <is>
          <t>K415</t>
        </is>
      </c>
      <c r="B248" s="121" t="inlineStr">
        <is>
          <t>051-滚雪球</t>
        </is>
      </c>
      <c r="C248" s="121" t="inlineStr">
        <is>
          <t>Suzy</t>
        </is>
      </c>
      <c r="D248" s="140" t="inlineStr">
        <is>
          <t>干预</t>
        </is>
      </c>
      <c r="E248" s="119" t="inlineStr">
        <is>
          <t>Baseline vs Intervention（L1–L5 合并）</t>
        </is>
      </c>
      <c r="F248" s="119" t="inlineStr">
        <is>
          <t>4, 2, 3, 4, 5, 2, 4, 1, 0, 5, 0, 4, 7, 4, 2, 2, 3, 2</t>
        </is>
      </c>
      <c r="G248" s="121">
        <f>IF(F248="","",LEN(F248)-LEN(SUBSTITUTE(F248,",",""))+1)</f>
        <v/>
      </c>
      <c r="H248" s="119" t="inlineStr">
        <is>
          <t>9, 8, 7, 8, 8</t>
        </is>
      </c>
      <c r="I248" s="121">
        <f>IF(H248="","",LEN(H248)-LEN(SUBSTITUTE(H248,",",""))+1)</f>
        <v/>
      </c>
      <c r="J248" s="140" t="inlineStr">
        <is>
          <t>升高改善</t>
        </is>
      </c>
      <c r="K248" s="141" t="n">
        <v>-0.0992683136226873</v>
      </c>
      <c r="L248" s="141" t="n">
        <v>0.585977583156447</v>
      </c>
      <c r="M248" s="121">
        <f>IF(OR(K248="",L248=""),"",IF(AND(L248&lt;0.05,OR(AND(J248="升高改善",K248&gt;0),AND(J248="降低改善",K248&lt;0))),"校正","不校正"))</f>
        <v/>
      </c>
      <c r="N248" s="119" t="inlineStr">
        <is>
          <t>Figure2，PDF13（无正式印刷页码），自上而下第2面板，实心圆，左轴</t>
        </is>
      </c>
    </row>
    <row r="249" ht="45" customHeight="1" s="111">
      <c r="A249" s="121" t="inlineStr">
        <is>
          <t>K416</t>
        </is>
      </c>
      <c r="B249" s="121" t="inlineStr">
        <is>
          <t>051-滚雪球</t>
        </is>
      </c>
      <c r="C249" s="121" t="inlineStr">
        <is>
          <t>Suzy</t>
        </is>
      </c>
      <c r="D249" s="140" t="inlineStr">
        <is>
          <t>维持</t>
        </is>
      </c>
      <c r="E249" s="119" t="inlineStr">
        <is>
          <t>Baseline vs Maintenance</t>
        </is>
      </c>
      <c r="F249" s="119" t="inlineStr">
        <is>
          <t>4, 2, 3, 4, 5, 2, 4, 1, 0, 5, 0, 4, 7, 4, 2, 2, 3, 2</t>
        </is>
      </c>
      <c r="G249" s="121">
        <f>IF(F249="","",LEN(F249)-LEN(SUBSTITUTE(F249,",",""))+1)</f>
        <v/>
      </c>
      <c r="H249" s="119" t="inlineStr">
        <is>
          <t>8, 8, 8, 9, 8</t>
        </is>
      </c>
      <c r="I249" s="121">
        <f>IF(H249="","",LEN(H249)-LEN(SUBSTITUTE(H249,",",""))+1)</f>
        <v/>
      </c>
      <c r="J249" s="140" t="inlineStr">
        <is>
          <t>升高改善</t>
        </is>
      </c>
      <c r="K249" s="141" t="n">
        <v>-0.0992683136226873</v>
      </c>
      <c r="L249" s="141" t="n">
        <v>0.585977583156447</v>
      </c>
      <c r="M249" s="121">
        <f>IF(OR(K249="",L249=""),"",IF(AND(L249&lt;0.05,OR(AND(J249="升高改善",K249&gt;0),AND(J249="降低改善",K249&lt;0))),"校正","不校正"))</f>
        <v/>
      </c>
      <c r="N249" s="119" t="inlineStr">
        <is>
          <t>Figure2，PDF13（无正式印刷页码），自上而下第2面板，实心圆，左轴</t>
        </is>
      </c>
    </row>
    <row r="250" ht="45" customHeight="1" s="111">
      <c r="A250" s="121" t="inlineStr">
        <is>
          <t>K417</t>
        </is>
      </c>
      <c r="B250" s="121" t="inlineStr">
        <is>
          <t>051-滚雪球</t>
        </is>
      </c>
      <c r="C250" s="121" t="inlineStr">
        <is>
          <t>Suzy</t>
        </is>
      </c>
      <c r="D250" s="140" t="inlineStr">
        <is>
          <t>干预</t>
        </is>
      </c>
      <c r="E250" s="119" t="inlineStr">
        <is>
          <t>Baseline vs Intervention（L1–L5 合并）</t>
        </is>
      </c>
      <c r="F250" s="119" t="inlineStr">
        <is>
          <t>4, 6, 6, 7, 6, 7, 4, 5, 6, 4, 3, 3, 4, 4, 5, 4, 4, 5, 5, 5, 5, 4, 4</t>
        </is>
      </c>
      <c r="G250" s="121">
        <f>IF(F250="","",LEN(F250)-LEN(SUBSTITUTE(F250,",",""))+1)</f>
        <v/>
      </c>
      <c r="H250" s="119" t="inlineStr">
        <is>
          <t>10, 10, 7, 10, 10</t>
        </is>
      </c>
      <c r="I250" s="121">
        <f>IF(H250="","",LEN(H250)-LEN(SUBSTITUTE(H250,",",""))+1)</f>
        <v/>
      </c>
      <c r="J250" s="140" t="inlineStr">
        <is>
          <t>升高改善</t>
        </is>
      </c>
      <c r="K250" s="141" t="n">
        <v>-0.24374327058757</v>
      </c>
      <c r="L250" s="141" t="n">
        <v>0.134612800148763</v>
      </c>
      <c r="M250" s="121">
        <f>IF(OR(K250="",L250=""),"",IF(AND(L250&lt;0.05,OR(AND(J250="升高改善",K250&gt;0),AND(J250="降低改善",K250&lt;0))),"校正","不校正"))</f>
        <v/>
      </c>
      <c r="N250" s="119" t="inlineStr">
        <is>
          <t>Figure2，PDF13（无正式印刷页码），自上而下第3面板，实心圆，左轴</t>
        </is>
      </c>
    </row>
    <row r="251" ht="45" customHeight="1" s="111">
      <c r="A251" s="121" t="inlineStr">
        <is>
          <t>K418</t>
        </is>
      </c>
      <c r="B251" s="121" t="inlineStr">
        <is>
          <t>051-滚雪球</t>
        </is>
      </c>
      <c r="C251" s="121" t="inlineStr">
        <is>
          <t>Ward</t>
        </is>
      </c>
      <c r="D251" s="140" t="inlineStr">
        <is>
          <t>干预</t>
        </is>
      </c>
      <c r="E251" s="119" t="inlineStr">
        <is>
          <t>Baseline vs Intervention（L1–L5 合并）</t>
        </is>
      </c>
      <c r="F251" s="119" t="inlineStr">
        <is>
          <t>7, 1, 1, 1, 1, 1</t>
        </is>
      </c>
      <c r="G251" s="121">
        <f>IF(F251="","",LEN(F251)-LEN(SUBSTITUTE(F251,",",""))+1)</f>
        <v/>
      </c>
      <c r="H251" s="119" t="inlineStr">
        <is>
          <t>9, 8, 10, 10, 10, 9, 10, 10, 10, 10</t>
        </is>
      </c>
      <c r="I251" s="121">
        <f>IF(H251="","",LEN(H251)-LEN(SUBSTITUTE(H251,",",""))+1)</f>
        <v/>
      </c>
      <c r="J251" s="140" t="inlineStr">
        <is>
          <t>升高改善</t>
        </is>
      </c>
      <c r="K251" s="141" t="n">
        <v>-0.577350269189626</v>
      </c>
      <c r="L251" s="141" t="n">
        <v>0.14323490752467</v>
      </c>
      <c r="M251" s="121">
        <f>IF(OR(K251="",L251=""),"",IF(AND(L251&lt;0.05,OR(AND(J251="升高改善",K251&gt;0),AND(J251="降低改善",K251&lt;0))),"校正","不校正"))</f>
        <v/>
      </c>
      <c r="N251" s="119" t="inlineStr">
        <is>
          <t>Figure3，PDF14（无正式印刷页码），自上而下第1面板，实心圆，左轴</t>
        </is>
      </c>
    </row>
    <row r="252" ht="45" customHeight="1" s="111">
      <c r="A252" s="121" t="inlineStr">
        <is>
          <t>K419</t>
        </is>
      </c>
      <c r="B252" s="121" t="inlineStr">
        <is>
          <t>051-滚雪球</t>
        </is>
      </c>
      <c r="C252" s="121" t="inlineStr">
        <is>
          <t>Ward</t>
        </is>
      </c>
      <c r="D252" s="140" t="inlineStr">
        <is>
          <t>维持</t>
        </is>
      </c>
      <c r="E252" s="119" t="inlineStr">
        <is>
          <t>Baseline vs Maintenance</t>
        </is>
      </c>
      <c r="F252" s="119" t="inlineStr">
        <is>
          <t>7, 1, 1, 1, 1, 1</t>
        </is>
      </c>
      <c r="G252" s="121">
        <f>IF(F252="","",LEN(F252)-LEN(SUBSTITUTE(F252,",",""))+1)</f>
        <v/>
      </c>
      <c r="H252" s="119" t="inlineStr">
        <is>
          <t>9, 10, 10, 10, 10, 10, 10, 10, 10, 10, 10, 7, 10, 10, 10, 10, 10, 10, 10, 10</t>
        </is>
      </c>
      <c r="I252" s="121">
        <f>IF(H252="","",LEN(H252)-LEN(SUBSTITUTE(H252,",",""))+1)</f>
        <v/>
      </c>
      <c r="J252" s="140" t="inlineStr">
        <is>
          <t>升高改善</t>
        </is>
      </c>
      <c r="K252" s="141" t="n">
        <v>-0.577350269189626</v>
      </c>
      <c r="L252" s="141" t="n">
        <v>0.14323490752467</v>
      </c>
      <c r="M252" s="121">
        <f>IF(OR(K252="",L252=""),"",IF(AND(L252&lt;0.05,OR(AND(J252="升高改善",K252&gt;0),AND(J252="降低改善",K252&lt;0))),"校正","不校正"))</f>
        <v/>
      </c>
      <c r="N252" s="119" t="inlineStr">
        <is>
          <t>Figure3，PDF14（无正式印刷页码），自上而下第1面板，实心圆，左轴</t>
        </is>
      </c>
    </row>
    <row r="253" ht="45" customHeight="1" s="111">
      <c r="A253" s="121" t="inlineStr">
        <is>
          <t>K420</t>
        </is>
      </c>
      <c r="B253" s="121" t="inlineStr">
        <is>
          <t>051-滚雪球</t>
        </is>
      </c>
      <c r="C253" s="121" t="inlineStr">
        <is>
          <t>Ward</t>
        </is>
      </c>
      <c r="D253" s="140" t="inlineStr">
        <is>
          <t>干预</t>
        </is>
      </c>
      <c r="E253" s="119" t="inlineStr">
        <is>
          <t>Baseline vs Intervention（L1–L5 合并）</t>
        </is>
      </c>
      <c r="F253" s="119" t="inlineStr">
        <is>
          <t>4, 2, 5, 3, 2, 2, 1, 0, 3, 0, 2, 4, 3, 2, 2, 2</t>
        </is>
      </c>
      <c r="G253" s="121">
        <f>IF(F253="","",LEN(F253)-LEN(SUBSTITUTE(F253,",",""))+1)</f>
        <v/>
      </c>
      <c r="H253" s="119" t="inlineStr">
        <is>
          <t>9, 6, 7, 9, 6, 8, 7</t>
        </is>
      </c>
      <c r="I253" s="121">
        <f>IF(H253="","",LEN(H253)-LEN(SUBSTITUTE(H253,",",""))+1)</f>
        <v/>
      </c>
      <c r="J253" s="140" t="inlineStr">
        <is>
          <t>升高改善</t>
        </is>
      </c>
      <c r="K253" s="141" t="n">
        <v>-0.207141983717545</v>
      </c>
      <c r="L253" s="141" t="n">
        <v>0.296088364162849</v>
      </c>
      <c r="M253" s="121">
        <f>IF(OR(K253="",L253=""),"",IF(AND(L253&lt;0.05,OR(AND(J253="升高改善",K253&gt;0),AND(J253="降低改善",K253&lt;0))),"校正","不校正"))</f>
        <v/>
      </c>
      <c r="N253" s="119" t="inlineStr">
        <is>
          <t>Figure3，PDF14（无正式印刷页码），自上而下第2面板，实心圆，左轴</t>
        </is>
      </c>
    </row>
    <row r="254" ht="45" customHeight="1" s="111">
      <c r="A254" s="121" t="inlineStr">
        <is>
          <t>K421</t>
        </is>
      </c>
      <c r="B254" s="121" t="inlineStr">
        <is>
          <t>051-滚雪球</t>
        </is>
      </c>
      <c r="C254" s="121" t="inlineStr">
        <is>
          <t>Ward</t>
        </is>
      </c>
      <c r="D254" s="140" t="inlineStr">
        <is>
          <t>维持</t>
        </is>
      </c>
      <c r="E254" s="119" t="inlineStr">
        <is>
          <t>Baseline vs Maintenance</t>
        </is>
      </c>
      <c r="F254" s="119" t="inlineStr">
        <is>
          <t>4, 2, 5, 3, 2, 2, 1, 0, 3, 0, 2, 4, 3, 2, 2, 2</t>
        </is>
      </c>
      <c r="G254" s="121">
        <f>IF(F254="","",LEN(F254)-LEN(SUBSTITUTE(F254,",",""))+1)</f>
        <v/>
      </c>
      <c r="H254" s="119" t="inlineStr">
        <is>
          <t>7, 6, 6, 5, 3, 5, 4, 3, 4, 5, 4, 4, 3</t>
        </is>
      </c>
      <c r="I254" s="121">
        <f>IF(H254="","",LEN(H254)-LEN(SUBSTITUTE(H254,",",""))+1)</f>
        <v/>
      </c>
      <c r="J254" s="140" t="inlineStr">
        <is>
          <t>升高改善</t>
        </is>
      </c>
      <c r="K254" s="141" t="n">
        <v>-0.207141983717545</v>
      </c>
      <c r="L254" s="141" t="n">
        <v>0.296088364162849</v>
      </c>
      <c r="M254" s="121">
        <f>IF(OR(K254="",L254=""),"",IF(AND(L254&lt;0.05,OR(AND(J254="升高改善",K254&gt;0),AND(J254="降低改善",K254&lt;0))),"校正","不校正"))</f>
        <v/>
      </c>
      <c r="N254" s="119" t="inlineStr">
        <is>
          <t>Figure3，PDF14（无正式印刷页码），自上而下第2面板，实心圆，左轴</t>
        </is>
      </c>
    </row>
    <row r="255" ht="45" customHeight="1" s="111">
      <c r="A255" s="121" t="inlineStr">
        <is>
          <t>K422</t>
        </is>
      </c>
      <c r="B255" s="121" t="inlineStr">
        <is>
          <t>051-滚雪球</t>
        </is>
      </c>
      <c r="C255" s="121" t="inlineStr">
        <is>
          <t>Ward</t>
        </is>
      </c>
      <c r="D255" s="140" t="inlineStr">
        <is>
          <t>干预</t>
        </is>
      </c>
      <c r="E255" s="119" t="inlineStr">
        <is>
          <t>Baseline vs Intervention（L1–L5 合并）</t>
        </is>
      </c>
      <c r="F255" s="119" t="inlineStr">
        <is>
          <t>7, 8, 7, 7, 5, 4, 5, 5, 4, 4, 5, 6, 6, 6, 4, 4, 7, 5, 3, 5, 4, 4, 3</t>
        </is>
      </c>
      <c r="G255" s="121">
        <f>IF(F255="","",LEN(F255)-LEN(SUBSTITUTE(F255,",",""))+1)</f>
        <v/>
      </c>
      <c r="H255" s="119" t="inlineStr">
        <is>
          <t>10, 10, 10, 10, 10, 8, 10, 8, 9, 10, 10, 9</t>
        </is>
      </c>
      <c r="I255" s="121">
        <f>IF(H255="","",LEN(H255)-LEN(SUBSTITUTE(H255,",",""))+1)</f>
        <v/>
      </c>
      <c r="J255" s="140" t="inlineStr">
        <is>
          <t>升高改善</t>
        </is>
      </c>
      <c r="K255" s="141" t="n">
        <v>-0.450082152050865</v>
      </c>
      <c r="L255" s="141" t="n">
        <v>0.00502026325968775</v>
      </c>
      <c r="M255" s="121">
        <f>IF(OR(K255="",L255=""),"",IF(AND(L255&lt;0.05,OR(AND(J255="升高改善",K255&gt;0),AND(J255="降低改善",K255&lt;0))),"校正","不校正"))</f>
        <v/>
      </c>
      <c r="N255" s="119" t="inlineStr">
        <is>
          <t>Figure3，PDF14（无正式印刷页码），自上而下第3面板，实心圆，左轴</t>
        </is>
      </c>
    </row>
    <row r="256" ht="45" customHeight="1" s="111">
      <c r="A256" s="121" t="inlineStr">
        <is>
          <t>K423</t>
        </is>
      </c>
      <c r="B256" s="121" t="inlineStr">
        <is>
          <t>052-二次</t>
        </is>
      </c>
      <c r="C256" s="121" t="inlineStr">
        <is>
          <t>P1 Participant 1</t>
        </is>
      </c>
      <c r="D256" s="140" t="inlineStr">
        <is>
          <t>干预</t>
        </is>
      </c>
      <c r="E256" s="119" t="inlineStr">
        <is>
          <t>Baseline vs VSM</t>
        </is>
      </c>
      <c r="F256" s="132" t="inlineStr">
        <is>
          <t>0, 3, 1, 1, 0, 0</t>
        </is>
      </c>
      <c r="G256" s="123">
        <f>IF(F256="","",LEN(F256)-LEN(SUBSTITUTE(F256,",",""))+1)</f>
        <v/>
      </c>
      <c r="H256" s="132" t="inlineStr">
        <is>
          <t>5, 4, 16, 13, 5, 7, 5, 7, 19, 10, 11, 11, 10, 20</t>
        </is>
      </c>
      <c r="I256" s="123">
        <f>IF(H256="","",LEN(H256)-LEN(SUBSTITUTE(H256,",",""))+1)</f>
        <v/>
      </c>
      <c r="J256" s="142" t="inlineStr">
        <is>
          <t>升高改善</t>
        </is>
      </c>
      <c r="K256" s="143" t="n">
        <v>-0.389249472080762</v>
      </c>
      <c r="L256" s="143" t="n">
        <v>0.304051884244243</v>
      </c>
      <c r="M256" s="123">
        <f>IF(OR(K256="",L256=""),"",IF(AND(L256&lt;0.05,OR(AND(J256="升高改善",K256&gt;0),AND(J256="降低改善",K256&lt;0))),"校正","不校正"))</f>
        <v/>
      </c>
      <c r="N256" s="119" t="inlineStr">
        <is>
          <t>Figure1，PDF4/页33，自上而下第1面板Participant 1；符号见原图图例</t>
        </is>
      </c>
    </row>
    <row r="257" ht="45" customHeight="1" s="111">
      <c r="A257" s="121" t="inlineStr">
        <is>
          <t>K424</t>
        </is>
      </c>
      <c r="B257" s="121" t="inlineStr">
        <is>
          <t>052-二次</t>
        </is>
      </c>
      <c r="C257" s="121" t="inlineStr">
        <is>
          <t>P1 Participant 1</t>
        </is>
      </c>
      <c r="D257" s="140" t="inlineStr">
        <is>
          <t>维持</t>
        </is>
      </c>
      <c r="E257" s="119" t="inlineStr">
        <is>
          <t>Baseline vs Maintenance</t>
        </is>
      </c>
      <c r="F257" s="132" t="inlineStr">
        <is>
          <t>0, 3, 1, 1, 0, 0</t>
        </is>
      </c>
      <c r="G257" s="123">
        <f>IF(F257="","",LEN(F257)-LEN(SUBSTITUTE(F257,",",""))+1)</f>
        <v/>
      </c>
      <c r="H257" s="132" t="inlineStr">
        <is>
          <t>24, 24, 25</t>
        </is>
      </c>
      <c r="I257" s="123">
        <f>IF(H257="","",LEN(H257)-LEN(SUBSTITUTE(H257,",",""))+1)</f>
        <v/>
      </c>
      <c r="J257" s="142" t="inlineStr">
        <is>
          <t>升高改善</t>
        </is>
      </c>
      <c r="K257" s="143" t="n">
        <v>-0.389249472080762</v>
      </c>
      <c r="L257" s="143" t="n">
        <v>0.304051884244243</v>
      </c>
      <c r="M257" s="123">
        <f>IF(OR(K257="",L257=""),"",IF(AND(L257&lt;0.05,OR(AND(J257="升高改善",K257&gt;0),AND(J257="降低改善",K257&lt;0))),"校正","不校正"))</f>
        <v/>
      </c>
      <c r="N257" s="119" t="inlineStr">
        <is>
          <t>Figure1，PDF4/页33，自上而下第1面板Participant 1；符号见原图图例</t>
        </is>
      </c>
    </row>
    <row r="258" ht="45" customHeight="1" s="111">
      <c r="A258" s="121" t="inlineStr">
        <is>
          <t>K425</t>
        </is>
      </c>
      <c r="B258" s="121" t="inlineStr">
        <is>
          <t>052-二次</t>
        </is>
      </c>
      <c r="C258" s="121" t="inlineStr">
        <is>
          <t>P2 Participant 2</t>
        </is>
      </c>
      <c r="D258" s="140" t="inlineStr">
        <is>
          <t>干预</t>
        </is>
      </c>
      <c r="E258" s="119" t="inlineStr">
        <is>
          <t>Baseline vs VSM</t>
        </is>
      </c>
      <c r="F258" s="132" t="inlineStr">
        <is>
          <t>0, 0, 5, 4, 5, 4, 2, 0, 0, 4, 2, 5, 4, 4, 2, 4, 4, 2, 1</t>
        </is>
      </c>
      <c r="G258" s="123">
        <f>IF(F258="","",LEN(F258)-LEN(SUBSTITUTE(F258,",",""))+1)</f>
        <v/>
      </c>
      <c r="H258" s="132" t="inlineStr">
        <is>
          <t>11, 11, 20, 26, 13, 12, 21</t>
        </is>
      </c>
      <c r="I258" s="123">
        <f>IF(H258="","",LEN(H258)-LEN(SUBSTITUTE(H258,",",""))+1)</f>
        <v/>
      </c>
      <c r="J258" s="142" t="inlineStr">
        <is>
          <t>升高改善</t>
        </is>
      </c>
      <c r="K258" s="143" t="n">
        <v>-0.00658165419732325</v>
      </c>
      <c r="L258" s="143" t="n">
        <v>0.970904144688429</v>
      </c>
      <c r="M258" s="123">
        <f>IF(OR(K258="",L258=""),"",IF(AND(L258&lt;0.05,OR(AND(J258="升高改善",K258&gt;0),AND(J258="降低改善",K258&lt;0))),"校正","不校正"))</f>
        <v/>
      </c>
      <c r="N258" s="119" t="inlineStr">
        <is>
          <t>Figure1，PDF4/页33，自上而下第2面板Participant 2；符号见原图图例</t>
        </is>
      </c>
    </row>
    <row r="259" ht="45" customHeight="1" s="111">
      <c r="A259" s="121" t="inlineStr">
        <is>
          <t>K426</t>
        </is>
      </c>
      <c r="B259" s="121" t="inlineStr">
        <is>
          <t>052-二次</t>
        </is>
      </c>
      <c r="C259" s="121" t="inlineStr">
        <is>
          <t>P3 Participant 3</t>
        </is>
      </c>
      <c r="D259" s="140" t="inlineStr">
        <is>
          <t>干预</t>
        </is>
      </c>
      <c r="E259" s="119" t="inlineStr">
        <is>
          <t>Baseline vs VSM</t>
        </is>
      </c>
      <c r="F259" s="132" t="inlineStr">
        <is>
          <t>0, 0, 0, 0, 3, 0, 4, 1, 0, 0, 1, 3, 1, 1, 0, 1, 2, 0, 1, 0, 3, 2, 1, 1, 0, 1</t>
        </is>
      </c>
      <c r="G259" s="123">
        <f>IF(F259="","",LEN(F259)-LEN(SUBSTITUTE(F259,",",""))+1)</f>
        <v/>
      </c>
      <c r="H259" s="132" t="inlineStr">
        <is>
          <t>7, 7, 8, 11, 11, 17, 7, 9, 8, 8, 14, 16, 23, 20, 18</t>
        </is>
      </c>
      <c r="I259" s="123">
        <f>IF(H259="","",LEN(H259)-LEN(SUBSTITUTE(H259,",",""))+1)</f>
        <v/>
      </c>
      <c r="J259" s="142" t="inlineStr">
        <is>
          <t>升高改善</t>
        </is>
      </c>
      <c r="K259" s="143" t="n">
        <v>0.175564069430269</v>
      </c>
      <c r="L259" s="143" t="n">
        <v>0.257457953886693</v>
      </c>
      <c r="M259" s="123">
        <f>IF(OR(K259="",L259=""),"",IF(AND(L259&lt;0.05,OR(AND(J259="升高改善",K259&gt;0),AND(J259="降低改善",K259&lt;0))),"校正","不校正"))</f>
        <v/>
      </c>
      <c r="N259" s="119" t="inlineStr">
        <is>
          <t>Figure1，PDF4/页33，自上而下第3面板Participant 3；符号见原图图例</t>
        </is>
      </c>
    </row>
    <row r="260" ht="45" customHeight="1" s="111">
      <c r="A260" s="121" t="inlineStr">
        <is>
          <t>K427</t>
        </is>
      </c>
      <c r="B260" s="121" t="inlineStr">
        <is>
          <t>052-二次</t>
        </is>
      </c>
      <c r="C260" s="121" t="inlineStr">
        <is>
          <t>P4 Participant 4</t>
        </is>
      </c>
      <c r="D260" s="140" t="inlineStr">
        <is>
          <t>干预</t>
        </is>
      </c>
      <c r="E260" s="119" t="inlineStr">
        <is>
          <t>Baseline vs VSM</t>
        </is>
      </c>
      <c r="F260" s="132" t="inlineStr">
        <is>
          <t>0, 0, 1, 1, 0, 2, 0, 1, 0, 0, 1, 2, 3, 5, 2, 1, 1, 3, 2, 0, 0, 2, 1, 3, 1, 5, 1, 2</t>
        </is>
      </c>
      <c r="G260" s="123">
        <f>IF(F260="","",LEN(F260)-LEN(SUBSTITUTE(F260,",",""))+1)</f>
        <v/>
      </c>
      <c r="H260" s="132" t="inlineStr">
        <is>
          <t>6, 2, 6, 28, 25, 15</t>
        </is>
      </c>
      <c r="I260" s="123">
        <f>IF(H260="","",LEN(H260)-LEN(SUBSTITUTE(H260,",",""))+1)</f>
        <v/>
      </c>
      <c r="J260" s="142" t="inlineStr">
        <is>
          <t>升高改善</t>
        </is>
      </c>
      <c r="K260" s="143" t="n">
        <v>0.326414610690027</v>
      </c>
      <c r="L260" s="143" t="n">
        <v>0.0252077530755943</v>
      </c>
      <c r="M260" s="123">
        <f>IF(OR(K260="",L260=""),"",IF(AND(L260&lt;0.05,OR(AND(J260="升高改善",K260&gt;0),AND(J260="降低改善",K260&lt;0))),"校正","不校正"))</f>
        <v/>
      </c>
      <c r="N260" s="119" t="inlineStr">
        <is>
          <t>Figure1，PDF4/页33，自上而下第4面板Participant 4；符号见原图图例</t>
        </is>
      </c>
    </row>
    <row r="261" ht="45" customHeight="1" s="111">
      <c r="A261" s="121" t="inlineStr">
        <is>
          <t>K428</t>
        </is>
      </c>
      <c r="B261" s="121" t="inlineStr">
        <is>
          <t>055-二次</t>
        </is>
      </c>
      <c r="C261" s="121" t="inlineStr">
        <is>
          <t>Eddie</t>
        </is>
      </c>
      <c r="D261" s="140" t="inlineStr">
        <is>
          <t>干预</t>
        </is>
      </c>
      <c r="E261" s="119" t="inlineStr">
        <is>
          <t>Baseline vs Video Modeling</t>
        </is>
      </c>
      <c r="F261" s="119" t="inlineStr">
        <is>
          <t>0, 0, 0, 0, 0</t>
        </is>
      </c>
      <c r="G261" s="121">
        <f>IF(F261="","",LEN(F261)-LEN(SUBSTITUTE(F261,",",""))+1)</f>
        <v/>
      </c>
      <c r="H261" s="119" t="inlineStr">
        <is>
          <t>100, 100, 100, 78</t>
        </is>
      </c>
      <c r="I261" s="121">
        <f>IF(H261="","",LEN(H261)-LEN(SUBSTITUTE(H261,",",""))+1)</f>
        <v/>
      </c>
      <c r="J261" s="140" t="inlineStr">
        <is>
          <t>升高改善</t>
        </is>
      </c>
      <c r="K261" s="141" t="n">
        <v>0</v>
      </c>
      <c r="L261" s="141" t="n">
        <v>1</v>
      </c>
      <c r="M261" s="121">
        <f>IF(OR(K261="",L261=""),"",IF(AND(L261&lt;0.05,OR(AND(J261="升高改善",K261&gt;0),AND(J261="降低改善",K261&lt;0))),"校正","不校正"))</f>
        <v/>
      </c>
      <c r="N261" s="119" t="inlineStr">
        <is>
          <t>Figure 1；PDF第13页/印刷382页；Eddie面板；实心圆</t>
        </is>
      </c>
    </row>
    <row r="262" ht="45" customHeight="1" s="111">
      <c r="A262" s="121" t="inlineStr">
        <is>
          <t>K429</t>
        </is>
      </c>
      <c r="B262" s="121" t="inlineStr">
        <is>
          <t>055-二次</t>
        </is>
      </c>
      <c r="C262" s="121" t="inlineStr">
        <is>
          <t>Eddie</t>
        </is>
      </c>
      <c r="D262" s="140" t="inlineStr">
        <is>
          <t>干预</t>
        </is>
      </c>
      <c r="E262" s="119" t="inlineStr">
        <is>
          <t>Baseline vs Video Modeling</t>
        </is>
      </c>
      <c r="F262" s="119" t="inlineStr">
        <is>
          <t>0, 0, 0, 11, 0</t>
        </is>
      </c>
      <c r="G262" s="121">
        <f>IF(F262="","",LEN(F262)-LEN(SUBSTITUTE(F262,",",""))+1)</f>
        <v/>
      </c>
      <c r="H262" s="119" t="inlineStr">
        <is>
          <t>100, 100, 100, 78</t>
        </is>
      </c>
      <c r="I262" s="121">
        <f>IF(H262="","",LEN(H262)-LEN(SUBSTITUTE(H262,",",""))+1)</f>
        <v/>
      </c>
      <c r="J262" s="140" t="inlineStr">
        <is>
          <t>升高改善</t>
        </is>
      </c>
      <c r="K262" s="141" t="n">
        <v>0.316227766016838</v>
      </c>
      <c r="L262" s="141" t="n">
        <v>0.479500122186953</v>
      </c>
      <c r="M262" s="121">
        <f>IF(OR(K262="",L262=""),"",IF(AND(L262&lt;0.05,OR(AND(J262="升高改善",K262&gt;0),AND(J262="降低改善",K262&lt;0))),"校正","不校正"))</f>
        <v/>
      </c>
      <c r="N262" s="119" t="inlineStr">
        <is>
          <t>Figure 2；PDF第14页/印刷383页；Eddie面板；实心圆</t>
        </is>
      </c>
    </row>
    <row r="263" ht="45" customHeight="1" s="111">
      <c r="A263" s="121" t="inlineStr">
        <is>
          <t>K430</t>
        </is>
      </c>
      <c r="B263" s="121" t="inlineStr">
        <is>
          <t>055-二次</t>
        </is>
      </c>
      <c r="C263" s="121" t="inlineStr">
        <is>
          <t>Eddie</t>
        </is>
      </c>
      <c r="D263" s="140" t="inlineStr">
        <is>
          <t>干预</t>
        </is>
      </c>
      <c r="E263" s="119" t="inlineStr">
        <is>
          <t>Baseline vs Video Modeling</t>
        </is>
      </c>
      <c r="F263" s="119" t="inlineStr">
        <is>
          <t>0, 0, 0, 0, 0</t>
        </is>
      </c>
      <c r="G263" s="121">
        <f>IF(F263="","",LEN(F263)-LEN(SUBSTITUTE(F263,",",""))+1)</f>
        <v/>
      </c>
      <c r="H263" s="119" t="inlineStr">
        <is>
          <t>33, 22, 78, 78</t>
        </is>
      </c>
      <c r="I263" s="121">
        <f>IF(H263="","",LEN(H263)-LEN(SUBSTITUTE(H263,",",""))+1)</f>
        <v/>
      </c>
      <c r="J263" s="140" t="inlineStr">
        <is>
          <t>升高改善</t>
        </is>
      </c>
      <c r="K263" s="141" t="n">
        <v>0</v>
      </c>
      <c r="L263" s="141" t="n">
        <v>1</v>
      </c>
      <c r="M263" s="121">
        <f>IF(OR(K263="",L263=""),"",IF(AND(L263&lt;0.05,OR(AND(J263="升高改善",K263&gt;0),AND(J263="降低改善",K263&lt;0))),"校正","不校正"))</f>
        <v/>
      </c>
      <c r="N263" s="119" t="inlineStr">
        <is>
          <t>Figure 3；PDF第14页/印刷383页；Eddie面板；实心圆</t>
        </is>
      </c>
    </row>
    <row r="264" ht="45" customHeight="1" s="111">
      <c r="A264" s="121" t="inlineStr">
        <is>
          <t>K431</t>
        </is>
      </c>
      <c r="B264" s="121" t="inlineStr">
        <is>
          <t>055-二次</t>
        </is>
      </c>
      <c r="C264" s="121" t="inlineStr">
        <is>
          <t>Eddie</t>
        </is>
      </c>
      <c r="D264" s="140" t="inlineStr">
        <is>
          <t>干预</t>
        </is>
      </c>
      <c r="E264" s="119" t="inlineStr">
        <is>
          <t>Baseline vs Video Modeling</t>
        </is>
      </c>
      <c r="F264" s="119" t="inlineStr">
        <is>
          <t>22, 11, 33, 0, 0</t>
        </is>
      </c>
      <c r="G264" s="121">
        <f>IF(F264="","",LEN(F264)-LEN(SUBSTITUTE(F264,",",""))+1)</f>
        <v/>
      </c>
      <c r="H264" s="119" t="inlineStr">
        <is>
          <t>78, 11, 78, 78</t>
        </is>
      </c>
      <c r="I264" s="121">
        <f>IF(H264="","",LEN(H264)-LEN(SUBSTITUTE(H264,",",""))+1)</f>
        <v/>
      </c>
      <c r="J264" s="140" t="inlineStr">
        <is>
          <t>升高改善</t>
        </is>
      </c>
      <c r="K264" s="141" t="n">
        <v>-0.52704627669473</v>
      </c>
      <c r="L264" s="141" t="n">
        <v>0.206507295485425</v>
      </c>
      <c r="M264" s="121">
        <f>IF(OR(K264="",L264=""),"",IF(AND(L264&lt;0.05,OR(AND(J264="升高改善",K264&gt;0),AND(J264="降低改善",K264&lt;0))),"校正","不校正"))</f>
        <v/>
      </c>
      <c r="N264" s="119" t="inlineStr">
        <is>
          <t>Figure 4；PDF第15页/印刷384页；Eddie面板；实心圆</t>
        </is>
      </c>
    </row>
    <row r="265" ht="45" customHeight="1" s="111">
      <c r="A265" s="121" t="inlineStr">
        <is>
          <t>K432</t>
        </is>
      </c>
      <c r="B265" s="121" t="inlineStr">
        <is>
          <t>055-二次</t>
        </is>
      </c>
      <c r="C265" s="121" t="inlineStr">
        <is>
          <t>Mark</t>
        </is>
      </c>
      <c r="D265" s="140" t="inlineStr">
        <is>
          <t>干预</t>
        </is>
      </c>
      <c r="E265" s="119" t="inlineStr">
        <is>
          <t>Baseline vs Video Modeling</t>
        </is>
      </c>
      <c r="F265" s="119" t="inlineStr">
        <is>
          <t>0, 0, 0, 0, 0, 0, 0</t>
        </is>
      </c>
      <c r="G265" s="121">
        <f>IF(F265="","",LEN(F265)-LEN(SUBSTITUTE(F265,",",""))+1)</f>
        <v/>
      </c>
      <c r="H265" s="119" t="inlineStr">
        <is>
          <t>100, 100, 100, 100</t>
        </is>
      </c>
      <c r="I265" s="121">
        <f>IF(H265="","",LEN(H265)-LEN(SUBSTITUTE(H265,",",""))+1)</f>
        <v/>
      </c>
      <c r="J265" s="140" t="inlineStr">
        <is>
          <t>升高改善</t>
        </is>
      </c>
      <c r="K265" s="141" t="n">
        <v>0</v>
      </c>
      <c r="L265" s="141" t="n">
        <v>1</v>
      </c>
      <c r="M265" s="121">
        <f>IF(OR(K265="",L265=""),"",IF(AND(L265&lt;0.05,OR(AND(J265="升高改善",K265&gt;0),AND(J265="降低改善",K265&lt;0))),"校正","不校正"))</f>
        <v/>
      </c>
      <c r="N265" s="119" t="inlineStr">
        <is>
          <t>Figure 1；PDF第13页/印刷382页；Mark面板；实心圆</t>
        </is>
      </c>
    </row>
    <row r="266" ht="45" customHeight="1" s="111">
      <c r="A266" s="121" t="inlineStr">
        <is>
          <t>K433</t>
        </is>
      </c>
      <c r="B266" s="121" t="inlineStr">
        <is>
          <t>055-二次</t>
        </is>
      </c>
      <c r="C266" s="121" t="inlineStr">
        <is>
          <t>Mark</t>
        </is>
      </c>
      <c r="D266" s="140" t="inlineStr">
        <is>
          <t>干预</t>
        </is>
      </c>
      <c r="E266" s="119" t="inlineStr">
        <is>
          <t>Baseline vs Video Modeling</t>
        </is>
      </c>
      <c r="F266" s="119" t="inlineStr">
        <is>
          <t>0, 0, 0, 0, 0, 0, 0</t>
        </is>
      </c>
      <c r="G266" s="121">
        <f>IF(F266="","",LEN(F266)-LEN(SUBSTITUTE(F266,",",""))+1)</f>
        <v/>
      </c>
      <c r="H266" s="119" t="inlineStr">
        <is>
          <t>100, 100, 89, 100</t>
        </is>
      </c>
      <c r="I266" s="121">
        <f>IF(H266="","",LEN(H266)-LEN(SUBSTITUTE(H266,",",""))+1)</f>
        <v/>
      </c>
      <c r="J266" s="140" t="inlineStr">
        <is>
          <t>升高改善</t>
        </is>
      </c>
      <c r="K266" s="141" t="n">
        <v>0</v>
      </c>
      <c r="L266" s="141" t="n">
        <v>1</v>
      </c>
      <c r="M266" s="121">
        <f>IF(OR(K266="",L266=""),"",IF(AND(L266&lt;0.05,OR(AND(J266="升高改善",K266&gt;0),AND(J266="降低改善",K266&lt;0))),"校正","不校正"))</f>
        <v/>
      </c>
      <c r="N266" s="119" t="inlineStr">
        <is>
          <t>Figure 2；PDF第14页/印刷383页；Mark面板；实心圆</t>
        </is>
      </c>
    </row>
    <row r="267" ht="45" customHeight="1" s="111">
      <c r="A267" s="121" t="inlineStr">
        <is>
          <t>K434</t>
        </is>
      </c>
      <c r="B267" s="121" t="inlineStr">
        <is>
          <t>055-二次</t>
        </is>
      </c>
      <c r="C267" s="121" t="inlineStr">
        <is>
          <t>Mark</t>
        </is>
      </c>
      <c r="D267" s="140" t="inlineStr">
        <is>
          <t>干预</t>
        </is>
      </c>
      <c r="E267" s="119" t="inlineStr">
        <is>
          <t>Baseline vs Video Modeling</t>
        </is>
      </c>
      <c r="F267" s="119" t="inlineStr">
        <is>
          <t>0, 0, 0, 0, 0, 0, 0</t>
        </is>
      </c>
      <c r="G267" s="121">
        <f>IF(F267="","",LEN(F267)-LEN(SUBSTITUTE(F267,",",""))+1)</f>
        <v/>
      </c>
      <c r="H267" s="119" t="inlineStr">
        <is>
          <t>56, 100, 100, 100</t>
        </is>
      </c>
      <c r="I267" s="121">
        <f>IF(H267="","",LEN(H267)-LEN(SUBSTITUTE(H267,",",""))+1)</f>
        <v/>
      </c>
      <c r="J267" s="140" t="inlineStr">
        <is>
          <t>升高改善</t>
        </is>
      </c>
      <c r="K267" s="141" t="n">
        <v>0</v>
      </c>
      <c r="L267" s="141" t="n">
        <v>1</v>
      </c>
      <c r="M267" s="121">
        <f>IF(OR(K267="",L267=""),"",IF(AND(L267&lt;0.05,OR(AND(J267="升高改善",K267&gt;0),AND(J267="降低改善",K267&lt;0))),"校正","不校正"))</f>
        <v/>
      </c>
      <c r="N267" s="119" t="inlineStr">
        <is>
          <t>Figure 3；PDF第14页/印刷383页；Mark面板；实心圆</t>
        </is>
      </c>
    </row>
    <row r="268" ht="45" customHeight="1" s="111">
      <c r="A268" s="121" t="inlineStr">
        <is>
          <t>K435</t>
        </is>
      </c>
      <c r="B268" s="121" t="inlineStr">
        <is>
          <t>055-二次</t>
        </is>
      </c>
      <c r="C268" s="121" t="inlineStr">
        <is>
          <t>Mark</t>
        </is>
      </c>
      <c r="D268" s="140" t="inlineStr">
        <is>
          <t>干预</t>
        </is>
      </c>
      <c r="E268" s="119" t="inlineStr">
        <is>
          <t>Baseline vs Video Modeling</t>
        </is>
      </c>
      <c r="F268" s="119" t="inlineStr">
        <is>
          <t>11, 22, 0, 0, 0, 0, 0</t>
        </is>
      </c>
      <c r="G268" s="121">
        <f>IF(F268="","",LEN(F268)-LEN(SUBSTITUTE(F268,",",""))+1)</f>
        <v/>
      </c>
      <c r="H268" s="119" t="inlineStr">
        <is>
          <t>67, 56, 78, 89</t>
        </is>
      </c>
      <c r="I268" s="121">
        <f>IF(H268="","",LEN(H268)-LEN(SUBSTITUTE(H268,",",""))+1)</f>
        <v/>
      </c>
      <c r="J268" s="140" t="inlineStr">
        <is>
          <t>升高改善</t>
        </is>
      </c>
      <c r="K268" s="141" t="n">
        <v>-0.592156525463792</v>
      </c>
      <c r="L268" s="141" t="n">
        <v>0.0870708722427492</v>
      </c>
      <c r="M268" s="121">
        <f>IF(OR(K268="",L268=""),"",IF(AND(L268&lt;0.05,OR(AND(J268="升高改善",K268&gt;0),AND(J268="降低改善",K268&lt;0))),"校正","不校正"))</f>
        <v/>
      </c>
      <c r="N268" s="119" t="inlineStr">
        <is>
          <t>Figure 4；PDF第15页/印刷384页；Mark面板；实心圆</t>
        </is>
      </c>
    </row>
    <row r="269" ht="45" customHeight="1" s="111">
      <c r="A269" s="121" t="inlineStr">
        <is>
          <t>K436</t>
        </is>
      </c>
      <c r="B269" s="121" t="inlineStr">
        <is>
          <t>055-二次</t>
        </is>
      </c>
      <c r="C269" s="121" t="inlineStr">
        <is>
          <t>Terry</t>
        </is>
      </c>
      <c r="D269" s="140" t="inlineStr">
        <is>
          <t>干预</t>
        </is>
      </c>
      <c r="E269" s="119" t="inlineStr">
        <is>
          <t>Baseline vs Video Modeling</t>
        </is>
      </c>
      <c r="F269" s="132" t="inlineStr">
        <is>
          <t>0, 0, 0, 0, 0, 0, 0, 0, 0, 0, 0</t>
        </is>
      </c>
      <c r="G269" s="123">
        <f>IF(F269="","",LEN(F269)-LEN(SUBSTITUTE(F269,",",""))+1)</f>
        <v/>
      </c>
      <c r="H269" s="132" t="inlineStr">
        <is>
          <t>100, 100, 100, 100, 100</t>
        </is>
      </c>
      <c r="I269" s="123">
        <f>IF(H269="","",LEN(H269)-LEN(SUBSTITUTE(H269,",",""))+1)</f>
        <v/>
      </c>
      <c r="J269" s="142" t="inlineStr">
        <is>
          <t>升高改善</t>
        </is>
      </c>
      <c r="K269" s="143" t="n">
        <v>0</v>
      </c>
      <c r="L269" s="143" t="n">
        <v>1</v>
      </c>
      <c r="M269" s="123">
        <f>IF(OR(K269="",L269=""),"",IF(AND(L269&lt;0.05,OR(AND(J269="升高改善",K269&gt;0),AND(J269="降低改善",K269&lt;0))),"校正","不校正"))</f>
        <v/>
      </c>
      <c r="N269" s="119" t="inlineStr">
        <is>
          <t>Figure 1；PDF第13页/印刷382页；Terry面板；实心圆</t>
        </is>
      </c>
    </row>
    <row r="270" ht="45" customHeight="1" s="111">
      <c r="A270" s="121" t="inlineStr">
        <is>
          <t>K437</t>
        </is>
      </c>
      <c r="B270" s="121" t="inlineStr">
        <is>
          <t>055-二次</t>
        </is>
      </c>
      <c r="C270" s="121" t="inlineStr">
        <is>
          <t>Terry</t>
        </is>
      </c>
      <c r="D270" s="140" t="inlineStr">
        <is>
          <t>干预</t>
        </is>
      </c>
      <c r="E270" s="119" t="inlineStr">
        <is>
          <t>Baseline vs Video Modeling</t>
        </is>
      </c>
      <c r="F270" s="132" t="inlineStr">
        <is>
          <t>0, 0, 0, 0, 0, 0, 0, 0, 0, 0, 0</t>
        </is>
      </c>
      <c r="G270" s="123">
        <f>IF(F270="","",LEN(F270)-LEN(SUBSTITUTE(F270,",",""))+1)</f>
        <v/>
      </c>
      <c r="H270" s="132" t="inlineStr">
        <is>
          <t>67, 56, 100, 89, 100</t>
        </is>
      </c>
      <c r="I270" s="123">
        <f>IF(H270="","",LEN(H270)-LEN(SUBSTITUTE(H270,",",""))+1)</f>
        <v/>
      </c>
      <c r="J270" s="142" t="inlineStr">
        <is>
          <t>升高改善</t>
        </is>
      </c>
      <c r="K270" s="143" t="n">
        <v>0</v>
      </c>
      <c r="L270" s="143" t="n">
        <v>1</v>
      </c>
      <c r="M270" s="123">
        <f>IF(OR(K270="",L270=""),"",IF(AND(L270&lt;0.05,OR(AND(J270="升高改善",K270&gt;0),AND(J270="降低改善",K270&lt;0))),"校正","不校正"))</f>
        <v/>
      </c>
      <c r="N270" s="119" t="inlineStr">
        <is>
          <t>Figure 2；PDF第14页/印刷383页；Terry面板；实心圆</t>
        </is>
      </c>
    </row>
    <row r="271" ht="60" customHeight="1" s="111">
      <c r="A271" s="121" t="inlineStr">
        <is>
          <t>K438</t>
        </is>
      </c>
      <c r="B271" s="121" t="inlineStr">
        <is>
          <t>055-二次</t>
        </is>
      </c>
      <c r="C271" s="121" t="inlineStr">
        <is>
          <t>Terry</t>
        </is>
      </c>
      <c r="D271" s="140" t="inlineStr">
        <is>
          <t>干预</t>
        </is>
      </c>
      <c r="E271" s="119" t="inlineStr">
        <is>
          <t>Baseline vs Video Modeling</t>
        </is>
      </c>
      <c r="F271" s="132" t="inlineStr">
        <is>
          <t>0, 0, 33, 0, 0, 0, 0, 0, 0, 11, 0</t>
        </is>
      </c>
      <c r="G271" s="123">
        <f>IF(F271="","",LEN(F271)-LEN(SUBSTITUTE(F271,",",""))+1)</f>
        <v/>
      </c>
      <c r="H271" s="132" t="inlineStr">
        <is>
          <t>0, 67, 89, 100, 89</t>
        </is>
      </c>
      <c r="I271" s="123">
        <f>IF(H271="","",LEN(H271)-LEN(SUBSTITUTE(H271,",",""))+1)</f>
        <v/>
      </c>
      <c r="J271" s="142" t="inlineStr">
        <is>
          <t>升高改善</t>
        </is>
      </c>
      <c r="K271" s="143" t="n">
        <v>0.0309344112444873</v>
      </c>
      <c r="L271" s="143" t="n">
        <v>0.906827446790414</v>
      </c>
      <c r="M271" s="123">
        <f>IF(OR(K271="",L271=""),"",IF(AND(L271&lt;0.05,OR(AND(J271="升高改善",K271&gt;0),AND(J271="降低改善",K271&lt;0))),"校正","不校正"))</f>
        <v/>
      </c>
      <c r="N271" s="119" t="inlineStr">
        <is>
          <t>Figure 3；PDF第14页/印刷383页；Terry面板；实心圆</t>
        </is>
      </c>
    </row>
    <row r="272" ht="75" customHeight="1" s="111">
      <c r="A272" s="121" t="inlineStr">
        <is>
          <t>K439</t>
        </is>
      </c>
      <c r="B272" s="121" t="inlineStr">
        <is>
          <t>055-二次</t>
        </is>
      </c>
      <c r="C272" s="121" t="inlineStr">
        <is>
          <t>Terry</t>
        </is>
      </c>
      <c r="D272" s="140" t="inlineStr">
        <is>
          <t>干预</t>
        </is>
      </c>
      <c r="E272" s="119" t="inlineStr">
        <is>
          <t>Baseline vs Video Modeling</t>
        </is>
      </c>
      <c r="F272" s="132" t="inlineStr">
        <is>
          <t>11, 0, 0, 11, 0, 0, 0, 0, 0, 22, 0</t>
        </is>
      </c>
      <c r="G272" s="123">
        <f>IF(F272="","",LEN(F272)-LEN(SUBSTITUTE(F272,",",""))+1)</f>
        <v/>
      </c>
      <c r="H272" s="132" t="inlineStr">
        <is>
          <t>0, 0, 22, 89, 89</t>
        </is>
      </c>
      <c r="I272" s="123">
        <f>IF(H272="","",LEN(H272)-LEN(SUBSTITUTE(H272,",",""))+1)</f>
        <v/>
      </c>
      <c r="J272" s="142" t="inlineStr">
        <is>
          <t>升高改善</t>
        </is>
      </c>
      <c r="K272" s="143" t="n">
        <v>-0.105777177069589</v>
      </c>
      <c r="L272" s="143" t="n">
        <v>0.687173618309648</v>
      </c>
      <c r="M272" s="123">
        <f>IF(OR(K272="",L272=""),"",IF(AND(L272&lt;0.05,OR(AND(J272="升高改善",K272&gt;0),AND(J272="降低改善",K272&lt;0))),"校正","不校正"))</f>
        <v/>
      </c>
      <c r="N272" s="119" t="inlineStr">
        <is>
          <t>Figure 4；PDF第15页/印刷384页；Terry面板；实心圆</t>
        </is>
      </c>
    </row>
    <row r="273" ht="45" customHeight="1" s="111">
      <c r="A273" s="121" t="inlineStr">
        <is>
          <t>K440</t>
        </is>
      </c>
      <c r="B273" s="121" t="inlineStr">
        <is>
          <t>056-滚雪球</t>
        </is>
      </c>
      <c r="C273" s="121" t="inlineStr">
        <is>
          <t>Mark</t>
        </is>
      </c>
      <c r="D273" s="140" t="inlineStr">
        <is>
          <t>干预</t>
        </is>
      </c>
      <c r="E273" s="119" t="inlineStr">
        <is>
          <t>BL vs 紧接基线的第一个干预条件</t>
        </is>
      </c>
      <c r="F273" s="119" t="inlineStr">
        <is>
          <t>50, 25, 25, 25, 50, 25, 50, 0, 0</t>
        </is>
      </c>
      <c r="G273" s="121">
        <f>IF(F273="","",LEN(F273)-LEN(SUBSTITUTE(F273,",",""))+1)</f>
        <v/>
      </c>
      <c r="H273" s="119" t="inlineStr">
        <is>
          <t>75, 100, 75, 75, 75, 100, 100, 100, 100</t>
        </is>
      </c>
      <c r="I273" s="121">
        <f>IF(H273="","",LEN(H273)-LEN(SUBSTITUTE(H273,",",""))+1)</f>
        <v/>
      </c>
      <c r="J273" s="140" t="inlineStr">
        <is>
          <t>升高改善</t>
        </is>
      </c>
      <c r="K273" s="141" t="n">
        <v>-0.3922322702763681</v>
      </c>
      <c r="L273" s="141" t="n">
        <v>0.1760674988117422</v>
      </c>
      <c r="M273" s="121">
        <f>IF(OR(K273="",L273=""),"",IF(AND(L273&lt;0.05,OR(AND(J273="升高改善",K273&gt;0),AND(J273="降低改善",K273&lt;0))),"校正","不校正"))</f>
        <v/>
      </c>
      <c r="N273" s="119" t="inlineStr">
        <is>
          <t>Figure1，PDF14（在线页码14），自上而下第1面板，Accuracy空心方形/右轴（步骤正确百分比）</t>
        </is>
      </c>
    </row>
    <row r="274" ht="45" customHeight="1" s="111">
      <c r="A274" s="121" t="inlineStr">
        <is>
          <t>K441</t>
        </is>
      </c>
      <c r="B274" s="121" t="inlineStr">
        <is>
          <t>056-滚雪球</t>
        </is>
      </c>
      <c r="C274" s="121" t="inlineStr">
        <is>
          <t>Mark</t>
        </is>
      </c>
      <c r="D274" s="140" t="inlineStr">
        <is>
          <t>维持</t>
        </is>
      </c>
      <c r="E274" s="119" t="inlineStr">
        <is>
          <t>BL vs Maintenance</t>
        </is>
      </c>
      <c r="F274" s="119" t="inlineStr">
        <is>
          <t>50, 25, 25, 25, 50, 25, 50, 0, 0</t>
        </is>
      </c>
      <c r="G274" s="121">
        <f>IF(F274="","",LEN(F274)-LEN(SUBSTITUTE(F274,",",""))+1)</f>
        <v/>
      </c>
      <c r="H274" s="119" t="inlineStr">
        <is>
          <t>100, 100, 100, 100, 100, 100, 100, 100, 100, 100, 75, 75, 100, 100, 100, 100, 100, 75, 75, 100, 75, 75, 57, 75, 100, 75, 75, 100, 75, 75</t>
        </is>
      </c>
      <c r="I274" s="121">
        <f>IF(H274="","",LEN(H274)-LEN(SUBSTITUTE(H274,",",""))+1)</f>
        <v/>
      </c>
      <c r="J274" s="140" t="inlineStr">
        <is>
          <t>升高改善</t>
        </is>
      </c>
      <c r="K274" s="141" t="n">
        <v>-0.3922322702763681</v>
      </c>
      <c r="L274" s="141" t="n">
        <v>0.1760674988117422</v>
      </c>
      <c r="M274" s="121">
        <f>IF(OR(K274="",L274=""),"",IF(AND(L274&lt;0.05,OR(AND(J274="升高改善",K274&gt;0),AND(J274="降低改善",K274&lt;0))),"校正","不校正"))</f>
        <v/>
      </c>
      <c r="N274" s="119" t="inlineStr">
        <is>
          <t>Figure1，PDF14（在线页码14），自上而下第1面板，Accuracy空心方形/右轴（步骤正确百分比）</t>
        </is>
      </c>
    </row>
    <row r="275" ht="60" customHeight="1" s="111">
      <c r="A275" s="121" t="inlineStr">
        <is>
          <t>K442</t>
        </is>
      </c>
      <c r="B275" s="121" t="inlineStr">
        <is>
          <t>056-滚雪球</t>
        </is>
      </c>
      <c r="C275" s="121" t="inlineStr">
        <is>
          <t>Mark</t>
        </is>
      </c>
      <c r="D275" s="140" t="inlineStr">
        <is>
          <t>干预</t>
        </is>
      </c>
      <c r="E275" s="119" t="inlineStr">
        <is>
          <t>BL vs 紧接基线的第一个干预条件</t>
        </is>
      </c>
      <c r="F275" s="119" t="inlineStr">
        <is>
          <t>40, 20, 40, 40, 40, 60, 40, 40, 40, 20, 20, 60, 100, 60, 60, 60, 100</t>
        </is>
      </c>
      <c r="G275" s="121">
        <f>IF(F275="","",LEN(F275)-LEN(SUBSTITUTE(F275,",",""))+1)</f>
        <v/>
      </c>
      <c r="H275" s="119" t="inlineStr">
        <is>
          <t>100, 100, 100, 100, 100, 100, 100, 100</t>
        </is>
      </c>
      <c r="I275" s="121">
        <f>IF(H275="","",LEN(H275)-LEN(SUBSTITUTE(H275,",",""))+1)</f>
        <v/>
      </c>
      <c r="J275" s="140" t="inlineStr">
        <is>
          <t>升高改善</t>
        </is>
      </c>
      <c r="K275" s="141" t="n">
        <v>0.4692805432842741</v>
      </c>
      <c r="L275" s="141" t="n">
        <v>0.01624115526128449</v>
      </c>
      <c r="M275" s="121">
        <f>IF(OR(K275="",L275=""),"",IF(AND(L275&lt;0.05,OR(AND(J275="升高改善",K275&gt;0),AND(J275="降低改善",K275&lt;0))),"校正","不校正"))</f>
        <v/>
      </c>
      <c r="N275" s="119" t="inlineStr">
        <is>
          <t>Figure1，PDF14（在线页码14），自上而下第2面板，Accuracy空心方形/右轴（步骤正确百分比）</t>
        </is>
      </c>
    </row>
    <row r="276" ht="45" customHeight="1" s="111">
      <c r="A276" s="121" t="inlineStr">
        <is>
          <t>K443</t>
        </is>
      </c>
      <c r="B276" s="121" t="inlineStr">
        <is>
          <t>056-滚雪球</t>
        </is>
      </c>
      <c r="C276" s="121" t="inlineStr">
        <is>
          <t>Mark</t>
        </is>
      </c>
      <c r="D276" s="140" t="inlineStr">
        <is>
          <t>维持</t>
        </is>
      </c>
      <c r="E276" s="119" t="inlineStr">
        <is>
          <t>BL vs Maintenance</t>
        </is>
      </c>
      <c r="F276" s="119" t="inlineStr">
        <is>
          <t>40, 20, 40, 40, 40, 60, 40, 40, 40, 20, 20, 60, 100, 60, 60, 60, 100</t>
        </is>
      </c>
      <c r="G276" s="121">
        <f>IF(F276="","",LEN(F276)-LEN(SUBSTITUTE(F276,",",""))+1)</f>
        <v/>
      </c>
      <c r="H276" s="119" t="inlineStr">
        <is>
          <t>100, 100, 100, 60, 80, 80, 80, 100, 100, 80, 100, 100, 100, 100, 80, 80, 100, 80, 80, 80, 100, 80</t>
        </is>
      </c>
      <c r="I276" s="121">
        <f>IF(H276="","",LEN(H276)-LEN(SUBSTITUTE(H276,",",""))+1)</f>
        <v/>
      </c>
      <c r="J276" s="140" t="inlineStr">
        <is>
          <t>升高改善</t>
        </is>
      </c>
      <c r="K276" s="141" t="n">
        <v>0.4692805432842741</v>
      </c>
      <c r="L276" s="141" t="n">
        <v>0.01624115526128449</v>
      </c>
      <c r="M276" s="121">
        <f>IF(OR(K276="",L276=""),"",IF(AND(L276&lt;0.05,OR(AND(J276="升高改善",K276&gt;0),AND(J276="降低改善",K276&lt;0))),"校正","不校正"))</f>
        <v/>
      </c>
      <c r="N276" s="119" t="inlineStr">
        <is>
          <t>Figure1，PDF14（在线页码14），自上而下第2面板，Accuracy空心方形/右轴（步骤正确百分比）</t>
        </is>
      </c>
    </row>
    <row r="277" ht="45" customHeight="1" s="111">
      <c r="A277" s="121" t="inlineStr">
        <is>
          <t>K444</t>
        </is>
      </c>
      <c r="B277" s="121" t="inlineStr">
        <is>
          <t>056-滚雪球</t>
        </is>
      </c>
      <c r="C277" s="121" t="inlineStr">
        <is>
          <t>Mark</t>
        </is>
      </c>
      <c r="D277" s="140" t="inlineStr">
        <is>
          <t>干预</t>
        </is>
      </c>
      <c r="E277" s="119" t="inlineStr">
        <is>
          <t>BL vs 紧接基线的第一个干预条件</t>
        </is>
      </c>
      <c r="F277" s="119" t="inlineStr">
        <is>
          <t>0, 33, 0, 17, 33, 50, 33, 17, 50, 50, 50, 0, 33, 33, 33, 33, 17, 33, 17, 17, 50, 17, 17, 33, 33</t>
        </is>
      </c>
      <c r="G277" s="121">
        <f>IF(F277="","",LEN(F277)-LEN(SUBSTITUTE(F277,",",""))+1)</f>
        <v/>
      </c>
      <c r="H277" s="119" t="inlineStr">
        <is>
          <t>100, 100, 100, 100, 100, 100, 100, 100, 83</t>
        </is>
      </c>
      <c r="I277" s="121">
        <f>IF(H277="","",LEN(H277)-LEN(SUBSTITUTE(H277,",",""))+1)</f>
        <v/>
      </c>
      <c r="J277" s="140" t="inlineStr">
        <is>
          <t>升高改善</t>
        </is>
      </c>
      <c r="K277" s="141" t="n">
        <v>0.0271857473083216</v>
      </c>
      <c r="L277" s="141" t="n">
        <v>0.8629188651517301</v>
      </c>
      <c r="M277" s="121">
        <f>IF(OR(K277="",L277=""),"",IF(AND(L277&lt;0.05,OR(AND(J277="升高改善",K277&gt;0),AND(J277="降低改善",K277&lt;0))),"校正","不校正"))</f>
        <v/>
      </c>
      <c r="N277" s="119" t="inlineStr">
        <is>
          <t>Figure1，PDF14（在线页码14），自上而下第3面板，Accuracy空心方形/右轴（步骤正确百分比）</t>
        </is>
      </c>
    </row>
    <row r="278" ht="45" customHeight="1" s="111">
      <c r="A278" s="121" t="inlineStr">
        <is>
          <t>K445</t>
        </is>
      </c>
      <c r="B278" s="121" t="inlineStr">
        <is>
          <t>056-滚雪球</t>
        </is>
      </c>
      <c r="C278" s="121" t="inlineStr">
        <is>
          <t>Mark</t>
        </is>
      </c>
      <c r="D278" s="140" t="inlineStr">
        <is>
          <t>维持</t>
        </is>
      </c>
      <c r="E278" s="119" t="inlineStr">
        <is>
          <t>BL vs Maintenance</t>
        </is>
      </c>
      <c r="F278" s="119" t="inlineStr">
        <is>
          <t>0, 33, 0, 17, 33, 50, 33, 17, 50, 50, 50, 0, 33, 33, 33, 33, 17, 33, 17, 17, 50, 17, 17, 33, 33</t>
        </is>
      </c>
      <c r="G278" s="121">
        <f>IF(F278="","",LEN(F278)-LEN(SUBSTITUTE(F278,",",""))+1)</f>
        <v/>
      </c>
      <c r="H278" s="119" t="inlineStr">
        <is>
          <t>67, 100, 100, 100, 100, 83, 100, 83, 100, 83, 100, 83, 83</t>
        </is>
      </c>
      <c r="I278" s="121">
        <f>IF(H278="","",LEN(H278)-LEN(SUBSTITUTE(H278,",",""))+1)</f>
        <v/>
      </c>
      <c r="J278" s="140" t="inlineStr">
        <is>
          <t>升高改善</t>
        </is>
      </c>
      <c r="K278" s="141" t="n">
        <v>0.0271857473083216</v>
      </c>
      <c r="L278" s="141" t="n">
        <v>0.8629188651517301</v>
      </c>
      <c r="M278" s="121">
        <f>IF(OR(K278="",L278=""),"",IF(AND(L278&lt;0.05,OR(AND(J278="升高改善",K278&gt;0),AND(J278="降低改善",K278&lt;0))),"校正","不校正"))</f>
        <v/>
      </c>
      <c r="N278" s="119" t="inlineStr">
        <is>
          <t>Figure1，PDF14（在线页码14），自上而下第3面板，Accuracy空心方形/右轴（步骤正确百分比）</t>
        </is>
      </c>
    </row>
    <row r="279" ht="45" customHeight="1" s="111">
      <c r="A279" s="121" t="inlineStr">
        <is>
          <t>K446</t>
        </is>
      </c>
      <c r="B279" s="121" t="inlineStr">
        <is>
          <t>056-滚雪球</t>
        </is>
      </c>
      <c r="C279" s="121" t="inlineStr">
        <is>
          <t>Mark</t>
        </is>
      </c>
      <c r="D279" s="140" t="inlineStr">
        <is>
          <t>干预</t>
        </is>
      </c>
      <c r="E279" s="119" t="inlineStr">
        <is>
          <t>BL vs 紧接基线的第一个干预条件</t>
        </is>
      </c>
      <c r="F279" s="119" t="inlineStr">
        <is>
          <t>0, 0, 0, 0, 0, 60, 60, 40, 60, 0, 0, 0, 40, 20, 0, 40, 20, 40, 20, 40, 40, 60, 60, 60, 0, 0, 40, 20, 80, 0, 60, 80, 80, 60, 80, 20, 20</t>
        </is>
      </c>
      <c r="G279" s="121">
        <f>IF(F279="","",LEN(F279)-LEN(SUBSTITUTE(F279,",",""))+1)</f>
        <v/>
      </c>
      <c r="H279" s="119" t="inlineStr">
        <is>
          <t>80, 80, 100, 100, 100, 80, 100, 100, 100</t>
        </is>
      </c>
      <c r="I279" s="121">
        <f>IF(H279="","",LEN(H279)-LEN(SUBSTITUTE(H279,",",""))+1)</f>
        <v/>
      </c>
      <c r="J279" s="140" t="inlineStr">
        <is>
          <t>升高改善</t>
        </is>
      </c>
      <c r="K279" s="141" t="n">
        <v>0.3467305998918385</v>
      </c>
      <c r="L279" s="141" t="n">
        <v>0.005417897167973415</v>
      </c>
      <c r="M279" s="121">
        <f>IF(OR(K279="",L279=""),"",IF(AND(L279&lt;0.05,OR(AND(J279="升高改善",K279&gt;0),AND(J279="降低改善",K279&lt;0))),"校正","不校正"))</f>
        <v/>
      </c>
      <c r="N279" s="119" t="inlineStr">
        <is>
          <t>Figure1，PDF14（在线页码14），自上而下第4面板，Accuracy空心方形/右轴（步骤正确百分比）</t>
        </is>
      </c>
    </row>
    <row r="280" ht="45" customHeight="1" s="111">
      <c r="A280" s="121" t="inlineStr">
        <is>
          <t>K447</t>
        </is>
      </c>
      <c r="B280" s="121" t="inlineStr">
        <is>
          <t>056-滚雪球</t>
        </is>
      </c>
      <c r="C280" s="121" t="inlineStr">
        <is>
          <t>Jarvis</t>
        </is>
      </c>
      <c r="D280" s="140" t="inlineStr">
        <is>
          <t>干预</t>
        </is>
      </c>
      <c r="E280" s="119" t="inlineStr">
        <is>
          <t>BL vs 紧接基线的第一个干预条件</t>
        </is>
      </c>
      <c r="F280" s="119" t="inlineStr">
        <is>
          <t>100, 25, 50, 50, 25, 25, 50, 50, 50</t>
        </is>
      </c>
      <c r="G280" s="121">
        <f>IF(F280="","",LEN(F280)-LEN(SUBSTITUTE(F280,",",""))+1)</f>
        <v/>
      </c>
      <c r="H280" s="119" t="inlineStr">
        <is>
          <t>75, 100, 100, 100, 100, 100, 100, 100, 100, 100</t>
        </is>
      </c>
      <c r="I280" s="121">
        <f>IF(H280="","",LEN(H280)-LEN(SUBSTITUTE(H280,",",""))+1)</f>
        <v/>
      </c>
      <c r="J280" s="140" t="inlineStr">
        <is>
          <t>升高改善</t>
        </is>
      </c>
      <c r="K280" s="141" t="n">
        <v>-0.0347524023428458</v>
      </c>
      <c r="L280" s="141" t="n">
        <v>0.9059687063925705</v>
      </c>
      <c r="M280" s="121">
        <f>IF(OR(K280="",L280=""),"",IF(AND(L280&lt;0.05,OR(AND(J280="升高改善",K280&gt;0),AND(J280="降低改善",K280&lt;0))),"校正","不校正"))</f>
        <v/>
      </c>
      <c r="N280" s="119" t="inlineStr">
        <is>
          <t>Figure2，PDF16（在线页码16），自上而下第1面板，Accuracy空心方形/右轴（步骤正确百分比）</t>
        </is>
      </c>
    </row>
    <row r="281" ht="45" customHeight="1" s="111">
      <c r="A281" s="121" t="inlineStr">
        <is>
          <t>K448</t>
        </is>
      </c>
      <c r="B281" s="121" t="inlineStr">
        <is>
          <t>056-滚雪球</t>
        </is>
      </c>
      <c r="C281" s="121" t="inlineStr">
        <is>
          <t>Jarvis</t>
        </is>
      </c>
      <c r="D281" s="140" t="inlineStr">
        <is>
          <t>维持</t>
        </is>
      </c>
      <c r="E281" s="119" t="inlineStr">
        <is>
          <t>BL vs Maintenance</t>
        </is>
      </c>
      <c r="F281" s="119" t="inlineStr">
        <is>
          <t>100, 25, 50, 50, 25, 25, 50, 50, 50</t>
        </is>
      </c>
      <c r="G281" s="121">
        <f>IF(F281="","",LEN(F281)-LEN(SUBSTITUTE(F281,",",""))+1)</f>
        <v/>
      </c>
      <c r="H281" s="119" t="inlineStr">
        <is>
          <t>75, 75, 50, 50, 50, 100, 50, 50, 75, 100, 75, 75, 75, 100, 100, 75, 75, 100, 100, 100, 100, 75, 75, 75, 75, 100, 100, 75, 100, 75</t>
        </is>
      </c>
      <c r="I281" s="121">
        <f>IF(H281="","",LEN(H281)-LEN(SUBSTITUTE(H281,",",""))+1)</f>
        <v/>
      </c>
      <c r="J281" s="140" t="inlineStr">
        <is>
          <t>升高改善</t>
        </is>
      </c>
      <c r="K281" s="141" t="n">
        <v>-0.0347524023428458</v>
      </c>
      <c r="L281" s="141" t="n">
        <v>0.9059687063925705</v>
      </c>
      <c r="M281" s="121">
        <f>IF(OR(K281="",L281=""),"",IF(AND(L281&lt;0.05,OR(AND(J281="升高改善",K281&gt;0),AND(J281="降低改善",K281&lt;0))),"校正","不校正"))</f>
        <v/>
      </c>
      <c r="N281" s="119" t="inlineStr">
        <is>
          <t>Figure2，PDF16（在线页码16），自上而下第1面板，Accuracy空心方形/右轴（步骤正确百分比）</t>
        </is>
      </c>
    </row>
    <row r="282" ht="45" customHeight="1" s="111">
      <c r="A282" s="121" t="inlineStr">
        <is>
          <t>K449</t>
        </is>
      </c>
      <c r="B282" s="121" t="inlineStr">
        <is>
          <t>056-滚雪球</t>
        </is>
      </c>
      <c r="C282" s="121" t="inlineStr">
        <is>
          <t>Jarvis</t>
        </is>
      </c>
      <c r="D282" s="140" t="inlineStr">
        <is>
          <t>干预</t>
        </is>
      </c>
      <c r="E282" s="119" t="inlineStr">
        <is>
          <t>BL vs 紧接基线的第一个干预条件</t>
        </is>
      </c>
      <c r="F282" s="119" t="inlineStr">
        <is>
          <t>40, 0, 20, 20, 40, 40, 40, 0, 60, 20, 40, 40, 60, 40, 40, 40</t>
        </is>
      </c>
      <c r="G282" s="121">
        <f>IF(F282="","",LEN(F282)-LEN(SUBSTITUTE(F282,",",""))+1)</f>
        <v/>
      </c>
      <c r="H282" s="119" t="inlineStr">
        <is>
          <t>100, 100, 100, 100, 100, 100, 100, 100, 100</t>
        </is>
      </c>
      <c r="I282" s="121">
        <f>IF(H282="","",LEN(H282)-LEN(SUBSTITUTE(H282,",",""))+1)</f>
        <v/>
      </c>
      <c r="J282" s="140" t="inlineStr">
        <is>
          <t>升高改善</t>
        </is>
      </c>
      <c r="K282" s="141" t="n">
        <v>0.3594710131327705</v>
      </c>
      <c r="L282" s="141" t="n">
        <v>0.0784829669168336</v>
      </c>
      <c r="M282" s="121">
        <f>IF(OR(K282="",L282=""),"",IF(AND(L282&lt;0.05,OR(AND(J282="升高改善",K282&gt;0),AND(J282="降低改善",K282&lt;0))),"校正","不校正"))</f>
        <v/>
      </c>
      <c r="N282" s="119" t="inlineStr">
        <is>
          <t>Figure2，PDF16（在线页码16），自上而下第2面板，Accuracy空心方形/右轴（步骤正确百分比）</t>
        </is>
      </c>
    </row>
    <row r="283" ht="45" customHeight="1" s="111">
      <c r="A283" s="121" t="inlineStr">
        <is>
          <t>K450</t>
        </is>
      </c>
      <c r="B283" s="121" t="inlineStr">
        <is>
          <t>056-滚雪球</t>
        </is>
      </c>
      <c r="C283" s="121" t="inlineStr">
        <is>
          <t>Jarvis</t>
        </is>
      </c>
      <c r="D283" s="140" t="inlineStr">
        <is>
          <t>维持</t>
        </is>
      </c>
      <c r="E283" s="119" t="inlineStr">
        <is>
          <t>BL vs Maintenance</t>
        </is>
      </c>
      <c r="F283" s="119" t="inlineStr">
        <is>
          <t>40, 0, 20, 20, 40, 40, 40, 0, 60, 20, 40, 40, 60, 40, 40, 40</t>
        </is>
      </c>
      <c r="G283" s="121">
        <f>IF(F283="","",LEN(F283)-LEN(SUBSTITUTE(F283,",",""))+1)</f>
        <v/>
      </c>
      <c r="H283" s="119" t="inlineStr">
        <is>
          <t>100, 100, 60, 80, 60, 80, 60, 80, 80, 100, 100, 100, 100, 80, 100, 80, 80, 80, 80, 80, 80, 100</t>
        </is>
      </c>
      <c r="I283" s="121">
        <f>IF(H283="","",LEN(H283)-LEN(SUBSTITUTE(H283,",",""))+1)</f>
        <v/>
      </c>
      <c r="J283" s="140" t="inlineStr">
        <is>
          <t>升高改善</t>
        </is>
      </c>
      <c r="K283" s="141" t="n">
        <v>0.3594710131327705</v>
      </c>
      <c r="L283" s="141" t="n">
        <v>0.0784829669168336</v>
      </c>
      <c r="M283" s="121">
        <f>IF(OR(K283="",L283=""),"",IF(AND(L283&lt;0.05,OR(AND(J283="升高改善",K283&gt;0),AND(J283="降低改善",K283&lt;0))),"校正","不校正"))</f>
        <v/>
      </c>
      <c r="N283" s="119" t="inlineStr">
        <is>
          <t>Figure2，PDF16（在线页码16），自上而下第2面板，Accuracy空心方形/右轴（步骤正确百分比）</t>
        </is>
      </c>
    </row>
    <row r="284" ht="45" customHeight="1" s="111">
      <c r="A284" s="121" t="inlineStr">
        <is>
          <t>K451</t>
        </is>
      </c>
      <c r="B284" s="121" t="inlineStr">
        <is>
          <t>056-滚雪球</t>
        </is>
      </c>
      <c r="C284" s="121" t="inlineStr">
        <is>
          <t>Jarvis</t>
        </is>
      </c>
      <c r="D284" s="140" t="inlineStr">
        <is>
          <t>干预</t>
        </is>
      </c>
      <c r="E284" s="119" t="inlineStr">
        <is>
          <t>BL vs 紧接基线的第一个干预条件</t>
        </is>
      </c>
      <c r="F284" s="119" t="inlineStr">
        <is>
          <t>67, 50, 50, 50, 33, 50, 33, 33, 33, 33, 33, 33, 50, 50, 33, 50, 50, 33, 50, 50, 50, 50, 50, 50, 33, 50, 100</t>
        </is>
      </c>
      <c r="G284" s="121">
        <f>IF(F284="","",LEN(F284)-LEN(SUBSTITUTE(F284,",",""))+1)</f>
        <v/>
      </c>
      <c r="H284" s="119" t="inlineStr">
        <is>
          <t>100, 100, 83, 100, 100, 100, 100, 100, 100</t>
        </is>
      </c>
      <c r="I284" s="121">
        <f>IF(H284="","",LEN(H284)-LEN(SUBSTITUTE(H284,",",""))+1)</f>
        <v/>
      </c>
      <c r="J284" s="140" t="inlineStr">
        <is>
          <t>升高改善</t>
        </is>
      </c>
      <c r="K284" s="141" t="n">
        <v>0.154359111391331</v>
      </c>
      <c r="L284" s="141" t="n">
        <v>0.3294722229918454</v>
      </c>
      <c r="M284" s="121">
        <f>IF(OR(K284="",L284=""),"",IF(AND(L284&lt;0.05,OR(AND(J284="升高改善",K284&gt;0),AND(J284="降低改善",K284&lt;0))),"校正","不校正"))</f>
        <v/>
      </c>
      <c r="N284" s="119" t="inlineStr">
        <is>
          <t>Figure2，PDF16（在线页码16），自上而下第3面板，Accuracy空心方形/右轴（步骤正确百分比）</t>
        </is>
      </c>
    </row>
    <row r="285" ht="45" customHeight="1" s="111">
      <c r="A285" s="121" t="inlineStr">
        <is>
          <t>K452</t>
        </is>
      </c>
      <c r="B285" s="121" t="inlineStr">
        <is>
          <t>056-滚雪球</t>
        </is>
      </c>
      <c r="C285" s="121" t="inlineStr">
        <is>
          <t>Jarvis</t>
        </is>
      </c>
      <c r="D285" s="140" t="inlineStr">
        <is>
          <t>维持</t>
        </is>
      </c>
      <c r="E285" s="119" t="inlineStr">
        <is>
          <t>BL vs Maintenance</t>
        </is>
      </c>
      <c r="F285" s="119" t="inlineStr">
        <is>
          <t>67, 50, 50, 50, 33, 50, 33, 33, 33, 33, 33, 33, 50, 50, 33, 50, 50, 33, 50, 50, 50, 50, 50, 50, 33, 50, 100</t>
        </is>
      </c>
      <c r="G285" s="121">
        <f>IF(F285="","",LEN(F285)-LEN(SUBSTITUTE(F285,",",""))+1)</f>
        <v/>
      </c>
      <c r="H285" s="119" t="inlineStr">
        <is>
          <t>67, 100, 83, 83, 100, 100, 100, 100, 83, 100, 100, 100, 100</t>
        </is>
      </c>
      <c r="I285" s="121">
        <f>IF(H285="","",LEN(H285)-LEN(SUBSTITUTE(H285,",",""))+1)</f>
        <v/>
      </c>
      <c r="J285" s="140" t="inlineStr">
        <is>
          <t>升高改善</t>
        </is>
      </c>
      <c r="K285" s="141" t="n">
        <v>0.154359111391331</v>
      </c>
      <c r="L285" s="141" t="n">
        <v>0.3294722229918454</v>
      </c>
      <c r="M285" s="121">
        <f>IF(OR(K285="",L285=""),"",IF(AND(L285&lt;0.05,OR(AND(J285="升高改善",K285&gt;0),AND(J285="降低改善",K285&lt;0))),"校正","不校正"))</f>
        <v/>
      </c>
      <c r="N285" s="119" t="inlineStr">
        <is>
          <t>Figure2，PDF16（在线页码16），自上而下第3面板，Accuracy空心方形/右轴（步骤正确百分比）</t>
        </is>
      </c>
    </row>
    <row r="286" ht="45" customHeight="1" s="111">
      <c r="A286" s="121" t="inlineStr">
        <is>
          <t>K453</t>
        </is>
      </c>
      <c r="B286" s="121" t="inlineStr">
        <is>
          <t>056-滚雪球</t>
        </is>
      </c>
      <c r="C286" s="121" t="inlineStr">
        <is>
          <t>Jarvis</t>
        </is>
      </c>
      <c r="D286" s="140" t="inlineStr">
        <is>
          <t>干预</t>
        </is>
      </c>
      <c r="E286" s="119" t="inlineStr">
        <is>
          <t>BL vs 紧接基线的第一个干预条件</t>
        </is>
      </c>
      <c r="F286" s="119" t="inlineStr">
        <is>
          <t>60, 20, 20, 20, 60, 60, 40, 60, 60, 40, 0, 0, 0, 40, 0, 40, 0, 40, 40, 60, 0, 80, 0, 0, 0, 60, 0, 60, 80, 0, 80, 0, 0, 0</t>
        </is>
      </c>
      <c r="G286" s="121">
        <f>IF(F286="","",LEN(F286)-LEN(SUBSTITUTE(F286,",",""))+1)</f>
        <v/>
      </c>
      <c r="H286" s="119" t="inlineStr">
        <is>
          <t>100, 100, 100, 100, 100, 100, 100, 100, 100</t>
        </is>
      </c>
      <c r="I286" s="121">
        <f>IF(H286="","",LEN(H286)-LEN(SUBSTITUTE(H286,",",""))+1)</f>
        <v/>
      </c>
      <c r="J286" s="140" t="inlineStr">
        <is>
          <t>升高改善</t>
        </is>
      </c>
      <c r="K286" s="141" t="n">
        <v>-0.1419798170398083</v>
      </c>
      <c r="L286" s="141" t="n">
        <v>0.2821303439405392</v>
      </c>
      <c r="M286" s="121">
        <f>IF(OR(K286="",L286=""),"",IF(AND(L286&lt;0.05,OR(AND(J286="升高改善",K286&gt;0),AND(J286="降低改善",K286&lt;0))),"校正","不校正"))</f>
        <v/>
      </c>
      <c r="N286" s="119" t="inlineStr">
        <is>
          <t>Figure2，PDF16（在线页码16），自上而下第4面板，Accuracy空心方形/右轴（步骤正确百分比）</t>
        </is>
      </c>
    </row>
    <row r="287" ht="45" customHeight="1" s="111">
      <c r="A287" s="121" t="inlineStr">
        <is>
          <t>K454</t>
        </is>
      </c>
      <c r="B287" s="121" t="inlineStr">
        <is>
          <t>056-滚雪球</t>
        </is>
      </c>
      <c r="C287" s="121" t="inlineStr">
        <is>
          <t>P3</t>
        </is>
      </c>
      <c r="D287" s="140" t="inlineStr">
        <is>
          <t>干预</t>
        </is>
      </c>
      <c r="E287" s="119" t="inlineStr">
        <is>
          <t>BL vs 紧接基线的第一个干预条件</t>
        </is>
      </c>
      <c r="F287" s="119" t="inlineStr">
        <is>
          <t>50, 0, 25, 25, 100, 25, 25, 50, 25</t>
        </is>
      </c>
      <c r="G287" s="121">
        <f>IF(F287="","",LEN(F287)-LEN(SUBSTITUTE(F287,",",""))+1)</f>
        <v/>
      </c>
      <c r="H287" s="119" t="inlineStr">
        <is>
          <t>100, 100, 100, 100, 100, 50, 100, 100, 100</t>
        </is>
      </c>
      <c r="I287" s="121">
        <f>IF(H287="","",LEN(H287)-LEN(SUBSTITUTE(H287,",",""))+1)</f>
        <v/>
      </c>
      <c r="J287" s="140" t="inlineStr">
        <is>
          <t>升高改善</t>
        </is>
      </c>
      <c r="K287" s="141" t="n">
        <v>0.09999999999999999</v>
      </c>
      <c r="L287" s="141" t="n">
        <v>0.7278701466408577</v>
      </c>
      <c r="M287" s="121">
        <f>IF(OR(K287="",L287=""),"",IF(AND(L287&lt;0.05,OR(AND(J287="升高改善",K287&gt;0),AND(J287="降低改善",K287&lt;0))),"校正","不校正"))</f>
        <v/>
      </c>
      <c r="N287" s="119" t="inlineStr">
        <is>
          <t>Figure3，PDF18（在线页码18），自上而下第1面板，Accuracy空心方形/右轴（步骤正确百分比）</t>
        </is>
      </c>
    </row>
    <row r="288" ht="45" customHeight="1" s="111">
      <c r="A288" s="121" t="inlineStr">
        <is>
          <t>K455</t>
        </is>
      </c>
      <c r="B288" s="121" t="inlineStr">
        <is>
          <t>056-滚雪球</t>
        </is>
      </c>
      <c r="C288" s="121" t="inlineStr">
        <is>
          <t>P3</t>
        </is>
      </c>
      <c r="D288" s="140" t="inlineStr">
        <is>
          <t>维持</t>
        </is>
      </c>
      <c r="E288" s="119" t="inlineStr">
        <is>
          <t>BL vs Maintenance</t>
        </is>
      </c>
      <c r="F288" s="119" t="inlineStr">
        <is>
          <t>50, 0, 25, 25, 100, 25, 25, 50, 25</t>
        </is>
      </c>
      <c r="G288" s="121">
        <f>IF(F288="","",LEN(F288)-LEN(SUBSTITUTE(F288,",",""))+1)</f>
        <v/>
      </c>
      <c r="H288" s="119" t="inlineStr">
        <is>
          <t>100, 100, 100, 100, 100, 100, 50, 50, 100, 100, 100, 100, 100, 75, 100, 75, 75, 100, 100, 75, 75</t>
        </is>
      </c>
      <c r="I288" s="121">
        <f>IF(H288="","",LEN(H288)-LEN(SUBSTITUTE(H288,",",""))+1)</f>
        <v/>
      </c>
      <c r="J288" s="140" t="inlineStr">
        <is>
          <t>升高改善</t>
        </is>
      </c>
      <c r="K288" s="141" t="n">
        <v>0.09999999999999999</v>
      </c>
      <c r="L288" s="141" t="n">
        <v>0.7278701466408577</v>
      </c>
      <c r="M288" s="121">
        <f>IF(OR(K288="",L288=""),"",IF(AND(L288&lt;0.05,OR(AND(J288="升高改善",K288&gt;0),AND(J288="降低改善",K288&lt;0))),"校正","不校正"))</f>
        <v/>
      </c>
      <c r="N288" s="119" t="inlineStr">
        <is>
          <t>Figure3，PDF18（在线页码18），自上而下第1面板，Accuracy空心方形/右轴（步骤正确百分比）</t>
        </is>
      </c>
    </row>
    <row r="289" ht="45" customHeight="1" s="111">
      <c r="A289" s="121" t="inlineStr">
        <is>
          <t>K456</t>
        </is>
      </c>
      <c r="B289" s="121" t="inlineStr">
        <is>
          <t>056-滚雪球</t>
        </is>
      </c>
      <c r="C289" s="121" t="inlineStr">
        <is>
          <t>P3</t>
        </is>
      </c>
      <c r="D289" s="140" t="inlineStr">
        <is>
          <t>干预</t>
        </is>
      </c>
      <c r="E289" s="119" t="inlineStr">
        <is>
          <t>BL vs 紧接基线的第一个干预条件</t>
        </is>
      </c>
      <c r="F289" s="119" t="inlineStr">
        <is>
          <t>20, 0, 20, 20, 60, 40, 40, 40, 40, 100, 60, 100, 100, 60, 100</t>
        </is>
      </c>
      <c r="G289" s="121">
        <f>IF(F289="","",LEN(F289)-LEN(SUBSTITUTE(F289,",",""))+1)</f>
        <v/>
      </c>
      <c r="H289" s="119" t="inlineStr">
        <is>
          <t>100, 100, 100, 100, 100, 100, 100, 100, 100</t>
        </is>
      </c>
      <c r="I289" s="121">
        <f>IF(H289="","",LEN(H289)-LEN(SUBSTITUTE(H289,",",""))+1)</f>
        <v/>
      </c>
      <c r="J289" s="140" t="inlineStr">
        <is>
          <t>升高改善</t>
        </is>
      </c>
      <c r="K289" s="141" t="n">
        <v>0.7219295436604961</v>
      </c>
      <c r="L289" s="141" t="n">
        <v>0.000427221703009526</v>
      </c>
      <c r="M289" s="121">
        <f>IF(OR(K289="",L289=""),"",IF(AND(L289&lt;0.05,OR(AND(J289="升高改善",K289&gt;0),AND(J289="降低改善",K289&lt;0))),"校正","不校正"))</f>
        <v/>
      </c>
      <c r="N289" s="119" t="inlineStr">
        <is>
          <t>Figure3，PDF18（在线页码18），自上而下第2面板，Accuracy空心方形/右轴（步骤正确百分比）</t>
        </is>
      </c>
    </row>
    <row r="290" ht="45" customHeight="1" s="111">
      <c r="A290" s="121" t="inlineStr">
        <is>
          <t>K457</t>
        </is>
      </c>
      <c r="B290" s="121" t="inlineStr">
        <is>
          <t>056-滚雪球</t>
        </is>
      </c>
      <c r="C290" s="121" t="inlineStr">
        <is>
          <t>P3</t>
        </is>
      </c>
      <c r="D290" s="140" t="inlineStr">
        <is>
          <t>维持</t>
        </is>
      </c>
      <c r="E290" s="119" t="inlineStr">
        <is>
          <t>BL vs Maintenance</t>
        </is>
      </c>
      <c r="F290" s="119" t="inlineStr">
        <is>
          <t>20, 0, 20, 20, 60, 40, 40, 40, 40, 100, 60, 100, 100, 60, 100</t>
        </is>
      </c>
      <c r="G290" s="121">
        <f>IF(F290="","",LEN(F290)-LEN(SUBSTITUTE(F290,",",""))+1)</f>
        <v/>
      </c>
      <c r="H290" s="119" t="inlineStr">
        <is>
          <t>100, 60, 100, 100, 80, 100, 100, 100, 100, 100, 100, 100, 100, 100, 10</t>
        </is>
      </c>
      <c r="I290" s="121">
        <f>IF(H290="","",LEN(H290)-LEN(SUBSTITUTE(H290,",",""))+1)</f>
        <v/>
      </c>
      <c r="J290" s="140" t="inlineStr">
        <is>
          <t>升高改善</t>
        </is>
      </c>
      <c r="K290" s="141" t="n">
        <v>0.7219295436604961</v>
      </c>
      <c r="L290" s="141" t="n">
        <v>0.000427221703009526</v>
      </c>
      <c r="M290" s="121">
        <f>IF(OR(K290="",L290=""),"",IF(AND(L290&lt;0.05,OR(AND(J290="升高改善",K290&gt;0),AND(J290="降低改善",K290&lt;0))),"校正","不校正"))</f>
        <v/>
      </c>
      <c r="N290" s="119" t="inlineStr">
        <is>
          <t>Figure3，PDF18（在线页码18），自上而下第2面板，Accuracy空心方形/右轴（步骤正确百分比）</t>
        </is>
      </c>
    </row>
    <row r="291" ht="45" customHeight="1" s="111">
      <c r="A291" s="121" t="inlineStr">
        <is>
          <t>K458</t>
        </is>
      </c>
      <c r="B291" s="121" t="inlineStr">
        <is>
          <t>056-滚雪球</t>
        </is>
      </c>
      <c r="C291" s="121" t="inlineStr">
        <is>
          <t>P3</t>
        </is>
      </c>
      <c r="D291" s="140" t="inlineStr">
        <is>
          <t>干预</t>
        </is>
      </c>
      <c r="E291" s="119" t="inlineStr">
        <is>
          <t>BL vs 紧接基线的第一个干预条件</t>
        </is>
      </c>
      <c r="F291" s="119" t="inlineStr">
        <is>
          <t>0, 33, 33, 33, 50, 17, 33, 33, 33, 33, 40, 80, 0, 17, 17, 33, 33, 33, 33, 33, 33, 33</t>
        </is>
      </c>
      <c r="G291" s="121">
        <f>IF(F291="","",LEN(F291)-LEN(SUBSTITUTE(F291,",",""))+1)</f>
        <v/>
      </c>
      <c r="H291" s="119" t="inlineStr">
        <is>
          <t>80, 100, 100, 100, 100, 100, 100, 100, 100</t>
        </is>
      </c>
      <c r="I291" s="121">
        <f>IF(H291="","",LEN(H291)-LEN(SUBSTITUTE(H291,",",""))+1)</f>
        <v/>
      </c>
      <c r="J291" s="140" t="inlineStr">
        <is>
          <t>升高改善</t>
        </is>
      </c>
      <c r="K291" s="141" t="n">
        <v>0.07898644934440115</v>
      </c>
      <c r="L291" s="141" t="n">
        <v>0.6442723322087527</v>
      </c>
      <c r="M291" s="121">
        <f>IF(OR(K291="",L291=""),"",IF(AND(L291&lt;0.05,OR(AND(J291="升高改善",K291&gt;0),AND(J291="降低改善",K291&lt;0))),"校正","不校正"))</f>
        <v/>
      </c>
      <c r="N291" s="119" t="inlineStr">
        <is>
          <t>Figure3，PDF18（在线页码18），自上而下第3面板，Accuracy空心方形/右轴（步骤正确百分比）</t>
        </is>
      </c>
    </row>
    <row r="292" ht="45" customHeight="1" s="111">
      <c r="A292" s="121" t="inlineStr">
        <is>
          <t>K459</t>
        </is>
      </c>
      <c r="B292" s="121" t="inlineStr">
        <is>
          <t>056-滚雪球</t>
        </is>
      </c>
      <c r="C292" s="121" t="inlineStr">
        <is>
          <t>P3</t>
        </is>
      </c>
      <c r="D292" s="140" t="inlineStr">
        <is>
          <t>维持</t>
        </is>
      </c>
      <c r="E292" s="119" t="inlineStr">
        <is>
          <t>BL vs Maintenance</t>
        </is>
      </c>
      <c r="F292" s="119" t="inlineStr">
        <is>
          <t>0, 33, 33, 33, 50, 17, 33, 33, 33, 33, 40, 80, 0, 17, 17, 33, 33, 33, 33, 33, 33, 33</t>
        </is>
      </c>
      <c r="G292" s="121">
        <f>IF(F292="","",LEN(F292)-LEN(SUBSTITUTE(F292,",",""))+1)</f>
        <v/>
      </c>
      <c r="H292" s="119" t="inlineStr">
        <is>
          <t>100, 100, 67, 83, 50, 50, 67, 100</t>
        </is>
      </c>
      <c r="I292" s="121">
        <f>IF(H292="","",LEN(H292)-LEN(SUBSTITUTE(H292,",",""))+1)</f>
        <v/>
      </c>
      <c r="J292" s="140" t="inlineStr">
        <is>
          <t>升高改善</t>
        </is>
      </c>
      <c r="K292" s="141" t="n">
        <v>0.07898644934440115</v>
      </c>
      <c r="L292" s="141" t="n">
        <v>0.6442723322087527</v>
      </c>
      <c r="M292" s="121">
        <f>IF(OR(K292="",L292=""),"",IF(AND(L292&lt;0.05,OR(AND(J292="升高改善",K292&gt;0),AND(J292="降低改善",K292&lt;0))),"校正","不校正"))</f>
        <v/>
      </c>
      <c r="N292" s="119" t="inlineStr">
        <is>
          <t>Figure3，PDF18（在线页码18），自上而下第3面板，Accuracy空心方形/右轴（步骤正确百分比）</t>
        </is>
      </c>
    </row>
    <row r="293" ht="45" customHeight="1" s="111">
      <c r="A293" s="121" t="inlineStr">
        <is>
          <t>K460</t>
        </is>
      </c>
      <c r="B293" s="121" t="inlineStr">
        <is>
          <t>056-滚雪球</t>
        </is>
      </c>
      <c r="C293" s="121" t="inlineStr">
        <is>
          <t>P3</t>
        </is>
      </c>
      <c r="D293" s="140" t="inlineStr">
        <is>
          <t>干预</t>
        </is>
      </c>
      <c r="E293" s="119" t="inlineStr">
        <is>
          <t>BL vs 紧接基线的第一个干预条件</t>
        </is>
      </c>
      <c r="F293" s="119" t="inlineStr">
        <is>
          <t>40, 0, 0, 0, 40, 40, 80, 40, 40, 40, 100, 20, 20, 40, 40, 60, 60, 60, 0, 40, 80, 80, 80, 100, 0, 80, 80, 80, 80</t>
        </is>
      </c>
      <c r="G293" s="121">
        <f>IF(F293="","",LEN(F293)-LEN(SUBSTITUTE(F293,",",""))+1)</f>
        <v/>
      </c>
      <c r="H293" s="119" t="inlineStr">
        <is>
          <t>80, 100, 80, 100, 100, 100, 100, 100, 100</t>
        </is>
      </c>
      <c r="I293" s="121">
        <f>IF(H293="","",LEN(H293)-LEN(SUBSTITUTE(H293,",",""))+1)</f>
        <v/>
      </c>
      <c r="J293" s="140" t="inlineStr">
        <is>
          <t>升高改善</t>
        </is>
      </c>
      <c r="K293" s="141" t="n">
        <v>0.441864369528407</v>
      </c>
      <c r="L293" s="141" t="n">
        <v>0.00180674385023834</v>
      </c>
      <c r="M293" s="121">
        <f>IF(OR(K293="",L293=""),"",IF(AND(L293&lt;0.05,OR(AND(J293="升高改善",K293&gt;0),AND(J293="降低改善",K293&lt;0))),"校正","不校正"))</f>
        <v/>
      </c>
      <c r="N293" s="119" t="inlineStr">
        <is>
          <t>Figure3，PDF18（在线页码18），自上而下第4面板，Accuracy空心方形/右轴（步骤正确百分比）</t>
        </is>
      </c>
    </row>
    <row r="294" ht="45" customHeight="1" s="111">
      <c r="A294" s="121" t="inlineStr">
        <is>
          <t>K461</t>
        </is>
      </c>
      <c r="B294" s="121" t="inlineStr">
        <is>
          <t>056-滚雪球</t>
        </is>
      </c>
      <c r="C294" s="121" t="inlineStr">
        <is>
          <t>Jarrod</t>
        </is>
      </c>
      <c r="D294" s="140" t="inlineStr">
        <is>
          <t>干预</t>
        </is>
      </c>
      <c r="E294" s="119" t="inlineStr">
        <is>
          <t>BL vs 紧接基线的第一个干预条件</t>
        </is>
      </c>
      <c r="F294" s="119" t="inlineStr">
        <is>
          <t>25, 0, 25, 0, 25, 25, 50, 25, 0</t>
        </is>
      </c>
      <c r="G294" s="121">
        <f>IF(F294="","",LEN(F294)-LEN(SUBSTITUTE(F294,",",""))+1)</f>
        <v/>
      </c>
      <c r="H294" s="119" t="inlineStr">
        <is>
          <t>100, 100, 100, 100, 100, 75, 100, 100, 100</t>
        </is>
      </c>
      <c r="I294" s="121">
        <f>IF(H294="","",LEN(H294)-LEN(SUBSTITUTE(H294,",",""))+1)</f>
        <v/>
      </c>
      <c r="J294" s="140" t="inlineStr">
        <is>
          <t>升高改善</t>
        </is>
      </c>
      <c r="K294" s="141" t="n">
        <v>0.1042572070285374</v>
      </c>
      <c r="L294" s="141" t="n">
        <v>0.72305812692811</v>
      </c>
      <c r="M294" s="121">
        <f>IF(OR(K294="",L294=""),"",IF(AND(L294&lt;0.05,OR(AND(J294="升高改善",K294&gt;0),AND(J294="降低改善",K294&lt;0))),"校正","不校正"))</f>
        <v/>
      </c>
      <c r="N294" s="119" t="inlineStr">
        <is>
          <t>Figure4，PDF19（在线页码19），自上而下第1面板，Accuracy空心方形/右轴（步骤正确百分比）</t>
        </is>
      </c>
    </row>
    <row r="295" ht="45" customHeight="1" s="111">
      <c r="A295" s="121" t="inlineStr">
        <is>
          <t>K462</t>
        </is>
      </c>
      <c r="B295" s="121" t="inlineStr">
        <is>
          <t>056-滚雪球</t>
        </is>
      </c>
      <c r="C295" s="121" t="inlineStr">
        <is>
          <t>Jarrod</t>
        </is>
      </c>
      <c r="D295" s="140" t="inlineStr">
        <is>
          <t>维持</t>
        </is>
      </c>
      <c r="E295" s="119" t="inlineStr">
        <is>
          <t>BL vs Maintenance</t>
        </is>
      </c>
      <c r="F295" s="119" t="inlineStr">
        <is>
          <t>25, 0, 25, 0, 25, 25, 50, 25, 0</t>
        </is>
      </c>
      <c r="G295" s="121">
        <f>IF(F295="","",LEN(F295)-LEN(SUBSTITUTE(F295,",",""))+1)</f>
        <v/>
      </c>
      <c r="H295" s="119" t="inlineStr">
        <is>
          <t>100, 100, 50, 50, 100, 100, 50, 50, 100, 100, 100, 100, 100, 100, 100, 100, 75, 100, 100, 100</t>
        </is>
      </c>
      <c r="I295" s="121">
        <f>IF(H295="","",LEN(H295)-LEN(SUBSTITUTE(H295,",",""))+1)</f>
        <v/>
      </c>
      <c r="J295" s="140" t="inlineStr">
        <is>
          <t>升高改善</t>
        </is>
      </c>
      <c r="K295" s="141" t="n">
        <v>0.1042572070285374</v>
      </c>
      <c r="L295" s="141" t="n">
        <v>0.72305812692811</v>
      </c>
      <c r="M295" s="121">
        <f>IF(OR(K295="",L295=""),"",IF(AND(L295&lt;0.05,OR(AND(J295="升高改善",K295&gt;0),AND(J295="降低改善",K295&lt;0))),"校正","不校正"))</f>
        <v/>
      </c>
      <c r="N295" s="119" t="inlineStr">
        <is>
          <t>Figure4，PDF19（在线页码19），自上而下第1面板，Accuracy空心方形/右轴（步骤正确百分比）</t>
        </is>
      </c>
    </row>
    <row r="296" ht="45" customHeight="1" s="111">
      <c r="A296" s="121" t="inlineStr">
        <is>
          <t>K463</t>
        </is>
      </c>
      <c r="B296" s="121" t="inlineStr">
        <is>
          <t>056-滚雪球</t>
        </is>
      </c>
      <c r="C296" s="121" t="inlineStr">
        <is>
          <t>Jarrod</t>
        </is>
      </c>
      <c r="D296" s="140" t="inlineStr">
        <is>
          <t>干预</t>
        </is>
      </c>
      <c r="E296" s="119" t="inlineStr">
        <is>
          <t>BL vs 紧接基线的第一个干预条件</t>
        </is>
      </c>
      <c r="F296" s="119" t="inlineStr">
        <is>
          <t>60, 40, 0, 60, 60, 60, 40, 100, 20, 20, 60, 40, 60, 60, 60, 40, 60</t>
        </is>
      </c>
      <c r="G296" s="121">
        <f>IF(F296="","",LEN(F296)-LEN(SUBSTITUTE(F296,",",""))+1)</f>
        <v/>
      </c>
      <c r="H296" s="119" t="inlineStr">
        <is>
          <t>100, 100, 100, 100, 100, 100, 100, 100, 100</t>
        </is>
      </c>
      <c r="I296" s="121">
        <f>IF(H296="","",LEN(H296)-LEN(SUBSTITUTE(H296,",",""))+1)</f>
        <v/>
      </c>
      <c r="J296" s="140" t="inlineStr">
        <is>
          <t>升高改善</t>
        </is>
      </c>
      <c r="K296" s="141" t="n">
        <v>0.09780966167906706</v>
      </c>
      <c r="L296" s="141" t="n">
        <v>0.618401752324014</v>
      </c>
      <c r="M296" s="121">
        <f>IF(OR(K296="",L296=""),"",IF(AND(L296&lt;0.05,OR(AND(J296="升高改善",K296&gt;0),AND(J296="降低改善",K296&lt;0))),"校正","不校正"))</f>
        <v/>
      </c>
      <c r="N296" s="119" t="inlineStr">
        <is>
          <t>Figure4，PDF19（在线页码19），自上而下第2面板，Accuracy空心方形/右轴（步骤正确百分比）</t>
        </is>
      </c>
    </row>
    <row r="297" ht="45" customHeight="1" s="111">
      <c r="A297" s="121" t="inlineStr">
        <is>
          <t>K464</t>
        </is>
      </c>
      <c r="B297" s="121" t="inlineStr">
        <is>
          <t>056-滚雪球</t>
        </is>
      </c>
      <c r="C297" s="121" t="inlineStr">
        <is>
          <t>Jarrod</t>
        </is>
      </c>
      <c r="D297" s="140" t="inlineStr">
        <is>
          <t>维持</t>
        </is>
      </c>
      <c r="E297" s="119" t="inlineStr">
        <is>
          <t>BL vs Maintenance</t>
        </is>
      </c>
      <c r="F297" s="119" t="inlineStr">
        <is>
          <t>60, 40, 0, 60, 60, 60, 40, 100, 20, 20, 60, 40, 60, 60, 60, 40, 60</t>
        </is>
      </c>
      <c r="G297" s="121">
        <f>IF(F297="","",LEN(F297)-LEN(SUBSTITUTE(F297,",",""))+1)</f>
        <v/>
      </c>
      <c r="H297" s="119" t="inlineStr">
        <is>
          <t>100, 100, 60, 80, 100, 40, 100, 100, 100, 100, 80, 80, 80, 100</t>
        </is>
      </c>
      <c r="I297" s="121">
        <f>IF(H297="","",LEN(H297)-LEN(SUBSTITUTE(H297,",",""))+1)</f>
        <v/>
      </c>
      <c r="J297" s="140" t="inlineStr">
        <is>
          <t>升高改善</t>
        </is>
      </c>
      <c r="K297" s="141" t="n">
        <v>0.09780966167906706</v>
      </c>
      <c r="L297" s="141" t="n">
        <v>0.618401752324014</v>
      </c>
      <c r="M297" s="121">
        <f>IF(OR(K297="",L297=""),"",IF(AND(L297&lt;0.05,OR(AND(J297="升高改善",K297&gt;0),AND(J297="降低改善",K297&lt;0))),"校正","不校正"))</f>
        <v/>
      </c>
      <c r="N297" s="119" t="inlineStr">
        <is>
          <t>Figure4，PDF19（在线页码19），自上而下第2面板，Accuracy空心方形/右轴（步骤正确百分比）</t>
        </is>
      </c>
    </row>
    <row r="298" ht="45" customHeight="1" s="111">
      <c r="A298" s="121" t="inlineStr">
        <is>
          <t>K465</t>
        </is>
      </c>
      <c r="B298" s="121" t="inlineStr">
        <is>
          <t>056-滚雪球</t>
        </is>
      </c>
      <c r="C298" s="121" t="inlineStr">
        <is>
          <t>Jarrod</t>
        </is>
      </c>
      <c r="D298" s="140" t="inlineStr">
        <is>
          <t>干预</t>
        </is>
      </c>
      <c r="E298" s="119" t="inlineStr">
        <is>
          <t>BL vs 紧接基线的第一个干预条件</t>
        </is>
      </c>
      <c r="F298" s="119" t="inlineStr">
        <is>
          <t>0, 50, 33, 17, 33, 50, 33, 17, 0, 17, 17, 17, 17, 0, 17, 33, 33, 33, 17, 17, 17, 0, 17</t>
        </is>
      </c>
      <c r="G298" s="121">
        <f>IF(F298="","",LEN(F298)-LEN(SUBSTITUTE(F298,",",""))+1)</f>
        <v/>
      </c>
      <c r="H298" s="119" t="inlineStr">
        <is>
          <t>100, 100, 100, 100, 83, 100, 100, 100, 100</t>
        </is>
      </c>
      <c r="I298" s="121">
        <f>IF(H298="","",LEN(H298)-LEN(SUBSTITUTE(H298,",",""))+1)</f>
        <v/>
      </c>
      <c r="J298" s="140" t="inlineStr">
        <is>
          <t>升高改善</t>
        </is>
      </c>
      <c r="K298" s="141" t="n">
        <v>-0.2085144140570748</v>
      </c>
      <c r="L298" s="141" t="n">
        <v>0.2097528849673608</v>
      </c>
      <c r="M298" s="121">
        <f>IF(OR(K298="",L298=""),"",IF(AND(L298&lt;0.05,OR(AND(J298="升高改善",K298&gt;0),AND(J298="降低改善",K298&lt;0))),"校正","不校正"))</f>
        <v/>
      </c>
      <c r="N298" s="119" t="inlineStr">
        <is>
          <t>Figure4，PDF19（在线页码19），自上而下第3面板，Accuracy空心方形/右轴（步骤正确百分比）</t>
        </is>
      </c>
    </row>
    <row r="299" ht="45" customHeight="1" s="111">
      <c r="A299" s="121" t="inlineStr">
        <is>
          <t>K466</t>
        </is>
      </c>
      <c r="B299" s="121" t="inlineStr">
        <is>
          <t>056-滚雪球</t>
        </is>
      </c>
      <c r="C299" s="121" t="inlineStr">
        <is>
          <t>Jarrod</t>
        </is>
      </c>
      <c r="D299" s="140" t="inlineStr">
        <is>
          <t>维持</t>
        </is>
      </c>
      <c r="E299" s="119" t="inlineStr">
        <is>
          <t>BL vs Maintenance</t>
        </is>
      </c>
      <c r="F299" s="119" t="inlineStr">
        <is>
          <t>0, 50, 33, 17, 33, 50, 33, 17, 0, 17, 17, 17, 17, 0, 17, 33, 33, 33, 17, 17, 17, 0, 17</t>
        </is>
      </c>
      <c r="G299" s="121">
        <f>IF(F299="","",LEN(F299)-LEN(SUBSTITUTE(F299,",",""))+1)</f>
        <v/>
      </c>
      <c r="H299" s="119" t="inlineStr">
        <is>
          <t>83, 50, 83, 83, 38</t>
        </is>
      </c>
      <c r="I299" s="121">
        <f>IF(H299="","",LEN(H299)-LEN(SUBSTITUTE(H299,",",""))+1)</f>
        <v/>
      </c>
      <c r="J299" s="140" t="inlineStr">
        <is>
          <t>升高改善</t>
        </is>
      </c>
      <c r="K299" s="141" t="n">
        <v>-0.2085144140570748</v>
      </c>
      <c r="L299" s="141" t="n">
        <v>0.2097528849673608</v>
      </c>
      <c r="M299" s="121">
        <f>IF(OR(K299="",L299=""),"",IF(AND(L299&lt;0.05,OR(AND(J299="升高改善",K299&gt;0),AND(J299="降低改善",K299&lt;0))),"校正","不校正"))</f>
        <v/>
      </c>
      <c r="N299" s="119" t="inlineStr">
        <is>
          <t>Figure4，PDF19（在线页码19），自上而下第3面板，Accuracy空心方形/右轴（步骤正确百分比）</t>
        </is>
      </c>
    </row>
    <row r="300" ht="45" customHeight="1" s="111">
      <c r="A300" s="121" t="inlineStr">
        <is>
          <t>K467</t>
        </is>
      </c>
      <c r="B300" s="121" t="inlineStr">
        <is>
          <t>056-滚雪球</t>
        </is>
      </c>
      <c r="C300" s="121" t="inlineStr">
        <is>
          <t>Jarrod</t>
        </is>
      </c>
      <c r="D300" s="140" t="inlineStr">
        <is>
          <t>干预</t>
        </is>
      </c>
      <c r="E300" s="119" t="inlineStr">
        <is>
          <t>BL vs 紧接基线的第一个干预条件</t>
        </is>
      </c>
      <c r="F300" s="119" t="inlineStr">
        <is>
          <t>0, 0, 0, 0, 60, 60, 40, 0, 20, 20, 20, 20, 20, 40, 20, 20, 0, 0, 0, 0, 60, 60, 80, 0, 60, 0, 80, 80, 80, 80, 0, 60</t>
        </is>
      </c>
      <c r="G300" s="121">
        <f>IF(F300="","",LEN(F300)-LEN(SUBSTITUTE(F300,",",""))+1)</f>
        <v/>
      </c>
      <c r="H300" s="119" t="inlineStr">
        <is>
          <t>100, 100, 100, 80, 100, 100, 100, 100, 100, 100</t>
        </is>
      </c>
      <c r="I300" s="121">
        <f>IF(H300="","",LEN(H300)-LEN(SUBSTITUTE(H300,",",""))+1)</f>
        <v/>
      </c>
      <c r="J300" s="140" t="inlineStr">
        <is>
          <t>升高改善</t>
        </is>
      </c>
      <c r="K300" s="141" t="n">
        <v>0.2913825205242699</v>
      </c>
      <c r="L300" s="141" t="n">
        <v>0.03180968222056624</v>
      </c>
      <c r="M300" s="121">
        <f>IF(OR(K300="",L300=""),"",IF(AND(L300&lt;0.05,OR(AND(J300="升高改善",K300&gt;0),AND(J300="降低改善",K300&lt;0))),"校正","不校正"))</f>
        <v/>
      </c>
      <c r="N300" s="119" t="inlineStr">
        <is>
          <t>Figure4，PDF19（在线页码19），自上而下第4面板，Accuracy空心方形/右轴（步骤正确百分比）</t>
        </is>
      </c>
    </row>
    <row r="301" ht="45" customHeight="1" s="111">
      <c r="A301" s="121" t="inlineStr">
        <is>
          <t>K468</t>
        </is>
      </c>
      <c r="B301" s="121" t="inlineStr">
        <is>
          <t>056-滚雪球</t>
        </is>
      </c>
      <c r="C301" s="121" t="inlineStr">
        <is>
          <t>Tony</t>
        </is>
      </c>
      <c r="D301" s="140" t="inlineStr">
        <is>
          <t>干预</t>
        </is>
      </c>
      <c r="E301" s="119" t="inlineStr">
        <is>
          <t>BL vs 紧接基线的第一个干预条件</t>
        </is>
      </c>
      <c r="F301" s="119" t="inlineStr">
        <is>
          <t>0, 0, 50, 0, 0, 0, 0, 0, 0</t>
        </is>
      </c>
      <c r="G301" s="121">
        <f>IF(F301="","",LEN(F301)-LEN(SUBSTITUTE(F301,",",""))+1)</f>
        <v/>
      </c>
      <c r="H301" s="119" t="inlineStr">
        <is>
          <t>0, 0, 0, 100, 100, 100, 100, 100, 100</t>
        </is>
      </c>
      <c r="I301" s="121">
        <f>IF(H301="","",LEN(H301)-LEN(SUBSTITUTE(H301,",",""))+1)</f>
        <v/>
      </c>
      <c r="J301" s="140" t="inlineStr">
        <is>
          <t>升高改善</t>
        </is>
      </c>
      <c r="K301" s="141" t="n">
        <v>-0.2357022603955158</v>
      </c>
      <c r="L301" s="141" t="n">
        <v>0.4385780260809998</v>
      </c>
      <c r="M301" s="121">
        <f>IF(OR(K301="",L301=""),"",IF(AND(L301&lt;0.05,OR(AND(J301="升高改善",K301&gt;0),AND(J301="降低改善",K301&lt;0))),"校正","不校正"))</f>
        <v/>
      </c>
      <c r="N301" s="119" t="inlineStr">
        <is>
          <t>Figure5，PDF21（在线页码21），自上而下第1面板，Accuracy空心方形/右轴（步骤正确百分比）</t>
        </is>
      </c>
    </row>
    <row r="302" ht="45" customHeight="1" s="111">
      <c r="A302" s="121" t="inlineStr">
        <is>
          <t>K469</t>
        </is>
      </c>
      <c r="B302" s="121" t="inlineStr">
        <is>
          <t>056-滚雪球</t>
        </is>
      </c>
      <c r="C302" s="121" t="inlineStr">
        <is>
          <t>Tony</t>
        </is>
      </c>
      <c r="D302" s="140" t="inlineStr">
        <is>
          <t>维持</t>
        </is>
      </c>
      <c r="E302" s="119" t="inlineStr">
        <is>
          <t>BL vs Maintenance</t>
        </is>
      </c>
      <c r="F302" s="119" t="inlineStr">
        <is>
          <t>0, 0, 50, 0, 0, 0, 0, 0, 0</t>
        </is>
      </c>
      <c r="G302" s="121">
        <f>IF(F302="","",LEN(F302)-LEN(SUBSTITUTE(F302,",",""))+1)</f>
        <v/>
      </c>
      <c r="H302" s="119" t="inlineStr">
        <is>
          <t>100, 100, 50, 100, 100, 100, 100, 75, 100, 100, 100, 100, 100, 100, 100, 100, 100, 100, 100, 100, 100, 100, 100</t>
        </is>
      </c>
      <c r="I302" s="121">
        <f>IF(H302="","",LEN(H302)-LEN(SUBSTITUTE(H302,",",""))+1)</f>
        <v/>
      </c>
      <c r="J302" s="140" t="inlineStr">
        <is>
          <t>升高改善</t>
        </is>
      </c>
      <c r="K302" s="141" t="n">
        <v>-0.2357022603955158</v>
      </c>
      <c r="L302" s="141" t="n">
        <v>0.4385780260809998</v>
      </c>
      <c r="M302" s="121">
        <f>IF(OR(K302="",L302=""),"",IF(AND(L302&lt;0.05,OR(AND(J302="升高改善",K302&gt;0),AND(J302="降低改善",K302&lt;0))),"校正","不校正"))</f>
        <v/>
      </c>
      <c r="N302" s="119" t="inlineStr">
        <is>
          <t>Figure5，PDF21（在线页码21），自上而下第1面板，Accuracy空心方形/右轴（步骤正确百分比）</t>
        </is>
      </c>
    </row>
    <row r="303" ht="45" customHeight="1" s="111">
      <c r="A303" s="121" t="inlineStr">
        <is>
          <t>K470</t>
        </is>
      </c>
      <c r="B303" s="121" t="inlineStr">
        <is>
          <t>056-滚雪球</t>
        </is>
      </c>
      <c r="C303" s="121" t="inlineStr">
        <is>
          <t>Tony</t>
        </is>
      </c>
      <c r="D303" s="140" t="inlineStr">
        <is>
          <t>干预</t>
        </is>
      </c>
      <c r="E303" s="119" t="inlineStr">
        <is>
          <t>BL vs 紧接基线的第一个干预条件</t>
        </is>
      </c>
      <c r="F303" s="119" t="inlineStr">
        <is>
          <t>0, 20, 0, 0, 0, 0, 0, 0, 80, 100, 60, 40, 40, 60, 40, 60</t>
        </is>
      </c>
      <c r="G303" s="121">
        <f>IF(F303="","",LEN(F303)-LEN(SUBSTITUTE(F303,",",""))+1)</f>
        <v/>
      </c>
      <c r="H303" s="119" t="inlineStr">
        <is>
          <t>100, 100, 100, 100, 100, 100, 100, 100, 100</t>
        </is>
      </c>
      <c r="I303" s="121">
        <f>IF(H303="","",LEN(H303)-LEN(SUBSTITUTE(H303,",",""))+1)</f>
        <v/>
      </c>
      <c r="J303" s="140" t="inlineStr">
        <is>
          <t>升高改善</t>
        </is>
      </c>
      <c r="K303" s="141" t="n">
        <v>0.4638354979684363</v>
      </c>
      <c r="L303" s="141" t="n">
        <v>0.01972323605479458</v>
      </c>
      <c r="M303" s="121">
        <f>IF(OR(K303="",L303=""),"",IF(AND(L303&lt;0.05,OR(AND(J303="升高改善",K303&gt;0),AND(J303="降低改善",K303&lt;0))),"校正","不校正"))</f>
        <v/>
      </c>
      <c r="N303" s="119" t="inlineStr">
        <is>
          <t>Figure5，PDF21（在线页码21），自上而下第2面板，Accuracy空心方形/右轴（步骤正确百分比）</t>
        </is>
      </c>
    </row>
    <row r="304" ht="45" customHeight="1" s="111">
      <c r="A304" s="121" t="inlineStr">
        <is>
          <t>K471</t>
        </is>
      </c>
      <c r="B304" s="121" t="inlineStr">
        <is>
          <t>056-滚雪球</t>
        </is>
      </c>
      <c r="C304" s="121" t="inlineStr">
        <is>
          <t>Tony</t>
        </is>
      </c>
      <c r="D304" s="140" t="inlineStr">
        <is>
          <t>维持</t>
        </is>
      </c>
      <c r="E304" s="119" t="inlineStr">
        <is>
          <t>BL vs Maintenance</t>
        </is>
      </c>
      <c r="F304" s="119" t="inlineStr">
        <is>
          <t>0, 20, 0, 0, 0, 0, 0, 0, 80, 100, 60, 40, 40, 60, 40, 60</t>
        </is>
      </c>
      <c r="G304" s="121">
        <f>IF(F304="","",LEN(F304)-LEN(SUBSTITUTE(F304,",",""))+1)</f>
        <v/>
      </c>
      <c r="H304" s="119" t="inlineStr">
        <is>
          <t>80, 100, 100, 100, 80, 100, 100, 100, 100, 100, 100, 100, 100, 100, 100</t>
        </is>
      </c>
      <c r="I304" s="121">
        <f>IF(H304="","",LEN(H304)-LEN(SUBSTITUTE(H304,",",""))+1)</f>
        <v/>
      </c>
      <c r="J304" s="140" t="inlineStr">
        <is>
          <t>升高改善</t>
        </is>
      </c>
      <c r="K304" s="141" t="n">
        <v>0.4638354979684363</v>
      </c>
      <c r="L304" s="141" t="n">
        <v>0.01972323605479458</v>
      </c>
      <c r="M304" s="121">
        <f>IF(OR(K304="",L304=""),"",IF(AND(L304&lt;0.05,OR(AND(J304="升高改善",K304&gt;0),AND(J304="降低改善",K304&lt;0))),"校正","不校正"))</f>
        <v/>
      </c>
      <c r="N304" s="119" t="inlineStr">
        <is>
          <t>Figure5，PDF21（在线页码21），自上而下第2面板，Accuracy空心方形/右轴（步骤正确百分比）</t>
        </is>
      </c>
    </row>
    <row r="305" ht="45" customHeight="1" s="111">
      <c r="A305" s="121" t="inlineStr">
        <is>
          <t>K472</t>
        </is>
      </c>
      <c r="B305" s="121" t="inlineStr">
        <is>
          <t>056-滚雪球</t>
        </is>
      </c>
      <c r="C305" s="121" t="inlineStr">
        <is>
          <t>Tony</t>
        </is>
      </c>
      <c r="D305" s="140" t="inlineStr">
        <is>
          <t>干预</t>
        </is>
      </c>
      <c r="E305" s="119" t="inlineStr">
        <is>
          <t>BL vs 紧接基线的第一个干预条件</t>
        </is>
      </c>
      <c r="F305" s="119" t="inlineStr">
        <is>
          <t>0, 0, 0, 0, 0, 0, 0, 0, 0, 0, 0, 0, 0, 0, 0, 0, 0, 17, 0, 17, 17, 0, 0, 0, 0</t>
        </is>
      </c>
      <c r="G305" s="121">
        <f>IF(F305="","",LEN(F305)-LEN(SUBSTITUTE(F305,",",""))+1)</f>
        <v/>
      </c>
      <c r="H305" s="119" t="inlineStr">
        <is>
          <t>100, 100, 100, 100, 100, 100, 100, 100, 100</t>
        </is>
      </c>
      <c r="I305" s="121">
        <f>IF(H305="","",LEN(H305)-LEN(SUBSTITUTE(H305,",",""))+1)</f>
        <v/>
      </c>
      <c r="J305" s="140" t="inlineStr">
        <is>
          <t>升高改善</t>
        </is>
      </c>
      <c r="K305" s="141" t="n">
        <v>0.2842676218074805</v>
      </c>
      <c r="L305" s="141" t="n">
        <v>0.09442891638007397</v>
      </c>
      <c r="M305" s="121">
        <f>IF(OR(K305="",L305=""),"",IF(AND(L305&lt;0.05,OR(AND(J305="升高改善",K305&gt;0),AND(J305="降低改善",K305&lt;0))),"校正","不校正"))</f>
        <v/>
      </c>
      <c r="N305" s="119" t="inlineStr">
        <is>
          <t>Figure5，PDF21（在线页码21），自上而下第3面板，Accuracy空心方形/右轴（步骤正确百分比）</t>
        </is>
      </c>
    </row>
    <row r="306" ht="45" customHeight="1" s="111">
      <c r="A306" s="121" t="inlineStr">
        <is>
          <t>K473</t>
        </is>
      </c>
      <c r="B306" s="121" t="inlineStr">
        <is>
          <t>056-滚雪球</t>
        </is>
      </c>
      <c r="C306" s="121" t="inlineStr">
        <is>
          <t>Tony</t>
        </is>
      </c>
      <c r="D306" s="140" t="inlineStr">
        <is>
          <t>维持</t>
        </is>
      </c>
      <c r="E306" s="119" t="inlineStr">
        <is>
          <t>BL vs Maintenance</t>
        </is>
      </c>
      <c r="F306" s="119" t="inlineStr">
        <is>
          <t>0, 0, 0, 0, 0, 0, 0, 0, 0, 0, 0, 0, 0, 0, 0, 0, 0, 17, 0, 17, 17, 0, 0, 0, 0</t>
        </is>
      </c>
      <c r="G306" s="121">
        <f>IF(F306="","",LEN(F306)-LEN(SUBSTITUTE(F306,",",""))+1)</f>
        <v/>
      </c>
      <c r="H306" s="119" t="inlineStr">
        <is>
          <t>100, 100, 83, 83, 83, 100, 100, 83, 100</t>
        </is>
      </c>
      <c r="I306" s="121">
        <f>IF(H306="","",LEN(H306)-LEN(SUBSTITUTE(H306,",",""))+1)</f>
        <v/>
      </c>
      <c r="J306" s="140" t="inlineStr">
        <is>
          <t>升高改善</t>
        </is>
      </c>
      <c r="K306" s="141" t="n">
        <v>0.2842676218074805</v>
      </c>
      <c r="L306" s="141" t="n">
        <v>0.09442891638007397</v>
      </c>
      <c r="M306" s="121">
        <f>IF(OR(K306="",L306=""),"",IF(AND(L306&lt;0.05,OR(AND(J306="升高改善",K306&gt;0),AND(J306="降低改善",K306&lt;0))),"校正","不校正"))</f>
        <v/>
      </c>
      <c r="N306" s="119" t="inlineStr">
        <is>
          <t>Figure5，PDF21（在线页码21），自上而下第3面板，Accuracy空心方形/右轴（步骤正确百分比）</t>
        </is>
      </c>
    </row>
    <row r="307" ht="45" customHeight="1" s="111">
      <c r="A307" s="121" t="inlineStr">
        <is>
          <t>K474</t>
        </is>
      </c>
      <c r="B307" s="121" t="inlineStr">
        <is>
          <t>056-滚雪球</t>
        </is>
      </c>
      <c r="C307" s="121" t="inlineStr">
        <is>
          <t>Tony</t>
        </is>
      </c>
      <c r="D307" s="140" t="inlineStr">
        <is>
          <t>干预</t>
        </is>
      </c>
      <c r="E307" s="119" t="inlineStr">
        <is>
          <t>BL vs 紧接基线的第一个干预条件</t>
        </is>
      </c>
      <c r="F307" s="119" t="inlineStr">
        <is>
          <t>0, 20, 20, 0, 0, 0, 0, 40, 60, 40, 0, 0, 0, 40, 0, 0, 0, 0, 0, 40, 40, 80, 0, 80, 80, 0, 0, 0, 0, 0, 0</t>
        </is>
      </c>
      <c r="G307" s="121">
        <f>IF(F307="","",LEN(F307)-LEN(SUBSTITUTE(F307,",",""))+1)</f>
        <v/>
      </c>
      <c r="H307" s="119" t="inlineStr">
        <is>
          <t>100, 100, 100, 100, 100, 100, 100, 100, 100</t>
        </is>
      </c>
      <c r="I307" s="121">
        <f>IF(H307="","",LEN(H307)-LEN(SUBSTITUTE(H307,",",""))+1)</f>
        <v/>
      </c>
      <c r="J307" s="140" t="inlineStr">
        <is>
          <t>升高改善</t>
        </is>
      </c>
      <c r="K307" s="141" t="n">
        <v>-0.008611415107403706</v>
      </c>
      <c r="L307" s="141" t="n">
        <v>0.9520629780628607</v>
      </c>
      <c r="M307" s="121">
        <f>IF(OR(K307="",L307=""),"",IF(AND(L307&lt;0.05,OR(AND(J307="升高改善",K307&gt;0),AND(J307="降低改善",K307&lt;0))),"校正","不校正"))</f>
        <v/>
      </c>
      <c r="N307" s="119" t="inlineStr">
        <is>
          <t>Figure5，PDF21（在线页码21），自上而下第4面板，Accuracy空心方形/右轴（步骤正确百分比）</t>
        </is>
      </c>
    </row>
    <row r="308" ht="45" customHeight="1" s="111">
      <c r="A308" s="121" t="inlineStr">
        <is>
          <t>K477</t>
        </is>
      </c>
      <c r="B308" s="121" t="inlineStr">
        <is>
          <t>057-二次</t>
        </is>
      </c>
      <c r="C308" s="121" t="inlineStr">
        <is>
          <t>Abby（化名）</t>
        </is>
      </c>
      <c r="D308" s="140" t="inlineStr">
        <is>
          <t>干预</t>
        </is>
      </c>
      <c r="E308" s="119" t="inlineStr">
        <is>
          <t>Baseline vs Intervention（自我管理含视频示范）</t>
        </is>
      </c>
      <c r="F308" s="119" t="inlineStr">
        <is>
          <t>33, 17, 29, 33, 29</t>
        </is>
      </c>
      <c r="G308" s="121">
        <f>IF(F308="","",LEN(F308)-LEN(SUBSTITUTE(F308,",",""))+1)</f>
        <v/>
      </c>
      <c r="H308" s="119" t="inlineStr">
        <is>
          <t>75, 80, 100, 71, 64</t>
        </is>
      </c>
      <c r="I308" s="121">
        <f>IF(H308="","",LEN(H308)-LEN(SUBSTITUTE(H308,",",""))+1)</f>
        <v/>
      </c>
      <c r="J308" s="140" t="inlineStr">
        <is>
          <t>升高改善</t>
        </is>
      </c>
      <c r="K308" s="141" t="n">
        <v>0</v>
      </c>
      <c r="L308" s="141" t="n">
        <v>1</v>
      </c>
      <c r="M308" s="121">
        <f>IF(OR(K308="",L308=""),"",IF(AND(L308&lt;0.05,OR(AND(J308="升高改善",K308&gt;0),AND(J308="降低改善",K308&lt;0))),"校正","不校正"))</f>
        <v/>
      </c>
      <c r="N308" s="119" t="inlineStr">
        <is>
          <t>Figure1 PDF8/页280，第2面板，空心圆主曲线</t>
        </is>
      </c>
    </row>
    <row r="309" ht="45" customHeight="1" s="111">
      <c r="A309" s="121" t="inlineStr">
        <is>
          <t>K478</t>
        </is>
      </c>
      <c r="B309" s="121" t="inlineStr">
        <is>
          <t>057-二次</t>
        </is>
      </c>
      <c r="C309" s="121" t="inlineStr">
        <is>
          <t>Abby（化名）</t>
        </is>
      </c>
      <c r="D309" s="140" t="inlineStr">
        <is>
          <t>维持</t>
        </is>
      </c>
      <c r="E309" s="119" t="inlineStr">
        <is>
          <t>Baseline vs Follow-up（1 个月后；Fading 段不用）</t>
        </is>
      </c>
      <c r="F309" s="119" t="inlineStr">
        <is>
          <t>33, 17, 29, 33, 29</t>
        </is>
      </c>
      <c r="G309" s="121">
        <f>IF(F309="","",LEN(F309)-LEN(SUBSTITUTE(F309,",",""))+1)</f>
        <v/>
      </c>
      <c r="H309" s="119" t="inlineStr">
        <is>
          <t>75, 80, 73, 83, 71, 78, 67</t>
        </is>
      </c>
      <c r="I309" s="121">
        <f>IF(H309="","",LEN(H309)-LEN(SUBSTITUTE(H309,",",""))+1)</f>
        <v/>
      </c>
      <c r="J309" s="140" t="inlineStr">
        <is>
          <t>升高改善</t>
        </is>
      </c>
      <c r="K309" s="141" t="n">
        <v>0</v>
      </c>
      <c r="L309" s="141" t="n">
        <v>1</v>
      </c>
      <c r="M309" s="121">
        <f>IF(OR(K309="",L309=""),"",IF(AND(L309&lt;0.05,OR(AND(J309="升高改善",K309&gt;0),AND(J309="降低改善",K309&lt;0))),"校正","不校正"))</f>
        <v/>
      </c>
      <c r="N309" s="119" t="inlineStr">
        <is>
          <t>Figure1 PDF8/页280，第2面板，空心圆主曲线</t>
        </is>
      </c>
    </row>
    <row r="310" ht="45" customHeight="1" s="111">
      <c r="A310" s="121" t="inlineStr">
        <is>
          <t>K479</t>
        </is>
      </c>
      <c r="B310" s="121" t="inlineStr">
        <is>
          <t>057-二次</t>
        </is>
      </c>
      <c r="C310" s="121" t="inlineStr">
        <is>
          <t>Abby（化名）</t>
        </is>
      </c>
      <c r="D310" s="140" t="inlineStr">
        <is>
          <t>干预</t>
        </is>
      </c>
      <c r="E310" s="119" t="inlineStr">
        <is>
          <t>Baseline vs Intervention（自我管理含视频示范）</t>
        </is>
      </c>
      <c r="F310" s="119" t="inlineStr">
        <is>
          <t>33, 29, 29, 71, 67, 67</t>
        </is>
      </c>
      <c r="G310" s="121">
        <f>IF(F310="","",LEN(F310)-LEN(SUBSTITUTE(F310,",",""))+1)</f>
        <v/>
      </c>
      <c r="H310" s="119" t="inlineStr">
        <is>
          <t>67, 100, 100, 71, 100</t>
        </is>
      </c>
      <c r="I310" s="121">
        <f>IF(H310="","",LEN(H310)-LEN(SUBSTITUTE(H310,",",""))+1)</f>
        <v/>
      </c>
      <c r="J310" s="140" t="inlineStr">
        <is>
          <t>升高改善</t>
        </is>
      </c>
      <c r="K310" s="141" t="n">
        <v>0.358057437019716</v>
      </c>
      <c r="L310" s="141" t="n">
        <v>0.329880451788801</v>
      </c>
      <c r="M310" s="121">
        <f>IF(OR(K310="",L310=""),"",IF(AND(L310&lt;0.05,OR(AND(J310="升高改善",K310&gt;0),AND(J310="降低改善",K310&lt;0))),"校正","不校正"))</f>
        <v/>
      </c>
      <c r="N310" s="119" t="inlineStr">
        <is>
          <t>Figure1 PDF8/页280，第3面板，空心圆主曲线</t>
        </is>
      </c>
    </row>
    <row r="311" ht="45" customHeight="1" s="111">
      <c r="A311" s="121" t="inlineStr">
        <is>
          <t>K480</t>
        </is>
      </c>
      <c r="B311" s="121" t="inlineStr">
        <is>
          <t>057-二次</t>
        </is>
      </c>
      <c r="C311" s="121" t="inlineStr">
        <is>
          <t>Abby（化名）</t>
        </is>
      </c>
      <c r="D311" s="140" t="inlineStr">
        <is>
          <t>维持</t>
        </is>
      </c>
      <c r="E311" s="119" t="inlineStr">
        <is>
          <t>Baseline vs Follow-up（1 个月后；Fading 段不用）</t>
        </is>
      </c>
      <c r="F311" s="119" t="inlineStr">
        <is>
          <t>33, 29, 29, 71, 67, 67</t>
        </is>
      </c>
      <c r="G311" s="121">
        <f>IF(F311="","",LEN(F311)-LEN(SUBSTITUTE(F311,",",""))+1)</f>
        <v/>
      </c>
      <c r="H311" s="119" t="inlineStr">
        <is>
          <t>83, 100, 100, 83, 83, 100, 100</t>
        </is>
      </c>
      <c r="I311" s="121">
        <f>IF(H311="","",LEN(H311)-LEN(SUBSTITUTE(H311,",",""))+1)</f>
        <v/>
      </c>
      <c r="J311" s="140" t="inlineStr">
        <is>
          <t>升高改善</t>
        </is>
      </c>
      <c r="K311" s="141" t="n">
        <v>0.358057437019716</v>
      </c>
      <c r="L311" s="141" t="n">
        <v>0.329880451788801</v>
      </c>
      <c r="M311" s="121">
        <f>IF(OR(K311="",L311=""),"",IF(AND(L311&lt;0.05,OR(AND(J311="升高改善",K311&gt;0),AND(J311="降低改善",K311&lt;0))),"校正","不校正"))</f>
        <v/>
      </c>
      <c r="N311" s="119" t="inlineStr">
        <is>
          <t>Figure1 PDF8/页280，第3面板，空心圆主曲线</t>
        </is>
      </c>
    </row>
    <row r="312" ht="45" customHeight="1" s="111">
      <c r="A312" s="121" t="inlineStr">
        <is>
          <t>K481</t>
        </is>
      </c>
      <c r="B312" s="121" t="inlineStr">
        <is>
          <t>065-二次</t>
        </is>
      </c>
      <c r="C312" s="121" t="inlineStr">
        <is>
          <t>Efe</t>
        </is>
      </c>
      <c r="D312" s="140" t="inlineStr">
        <is>
          <t>干预</t>
        </is>
      </c>
      <c r="E312" s="119" t="inlineStr">
        <is>
          <t>Baseline vs Intervention（每日探测）</t>
        </is>
      </c>
      <c r="F312" s="119" t="inlineStr">
        <is>
          <t>0, 0, 0</t>
        </is>
      </c>
      <c r="G312" s="121">
        <f>IF(F312="","",LEN(F312)-LEN(SUBSTITUTE(F312,",",""))+1)</f>
        <v/>
      </c>
      <c r="H312" s="119" t="inlineStr">
        <is>
          <t>0, 50, 83, 67, 67, 83, 100, 100, 100</t>
        </is>
      </c>
      <c r="I312" s="121">
        <f>IF(H312="","",LEN(H312)-LEN(SUBSTITUTE(H312,",",""))+1)</f>
        <v/>
      </c>
      <c r="J312" s="140" t="inlineStr">
        <is>
          <t>升高改善</t>
        </is>
      </c>
      <c r="K312" s="141" t="n">
        <v>0</v>
      </c>
      <c r="L312" s="141" t="n">
        <v>1</v>
      </c>
      <c r="M312" s="121">
        <f>IF(OR(K312="",L312=""),"",IF(AND(L312&lt;0.05,OR(AND(J312="升高改善",K312&gt;0),AND(J312="降低改善",K312&lt;0))),"校正","不校正"))</f>
        <v/>
      </c>
      <c r="N312" s="119" t="inlineStr">
        <is>
          <t>Figure 1，PDF 11 / 印刷页373，第1面板 Efe，实心方形 Probe</t>
        </is>
      </c>
    </row>
    <row r="313" ht="45" customHeight="1" s="111">
      <c r="A313" s="121" t="inlineStr">
        <is>
          <t>K482</t>
        </is>
      </c>
      <c r="B313" s="121" t="inlineStr">
        <is>
          <t>065-二次</t>
        </is>
      </c>
      <c r="C313" s="121" t="inlineStr">
        <is>
          <t>Efe</t>
        </is>
      </c>
      <c r="D313" s="140" t="inlineStr">
        <is>
          <t>维持</t>
        </is>
      </c>
      <c r="E313" s="119" t="inlineStr">
        <is>
          <t>Baseline vs Maintenance（4 周、6 周、7 个月）</t>
        </is>
      </c>
      <c r="F313" s="119" t="inlineStr">
        <is>
          <t>0, 0, 0</t>
        </is>
      </c>
      <c r="G313" s="121">
        <f>IF(F313="","",LEN(F313)-LEN(SUBSTITUTE(F313,",",""))+1)</f>
        <v/>
      </c>
      <c r="H313" s="119" t="inlineStr">
        <is>
          <t>100, 100, 100</t>
        </is>
      </c>
      <c r="I313" s="121">
        <f>IF(H313="","",LEN(H313)-LEN(SUBSTITUTE(H313,",",""))+1)</f>
        <v/>
      </c>
      <c r="J313" s="140" t="inlineStr">
        <is>
          <t>升高改善</t>
        </is>
      </c>
      <c r="K313" s="141" t="n">
        <v>0</v>
      </c>
      <c r="L313" s="141" t="n">
        <v>1</v>
      </c>
      <c r="M313" s="121">
        <f>IF(OR(K313="",L313=""),"",IF(AND(L313&lt;0.05,OR(AND(J313="升高改善",K313&gt;0),AND(J313="降低改善",K313&lt;0))),"校正","不校正"))</f>
        <v/>
      </c>
      <c r="N313" s="119" t="inlineStr">
        <is>
          <t>Figure 1，PDF 11 / 印刷页373，第1面板 Efe，实心方形 Probe</t>
        </is>
      </c>
    </row>
    <row r="314" ht="45" customHeight="1" s="111">
      <c r="A314" s="121" t="inlineStr">
        <is>
          <t>K483</t>
        </is>
      </c>
      <c r="B314" s="121" t="inlineStr">
        <is>
          <t>065-二次</t>
        </is>
      </c>
      <c r="C314" s="121" t="inlineStr">
        <is>
          <t>Uzay</t>
        </is>
      </c>
      <c r="D314" s="140" t="inlineStr">
        <is>
          <t>干预</t>
        </is>
      </c>
      <c r="E314" s="119" t="inlineStr">
        <is>
          <t>Baseline vs Intervention（每日探测）</t>
        </is>
      </c>
      <c r="F314" s="119" t="inlineStr">
        <is>
          <t>0, 0, 0, 0, 0</t>
        </is>
      </c>
      <c r="G314" s="121">
        <f>IF(F314="","",LEN(F314)-LEN(SUBSTITUTE(F314,",",""))+1)</f>
        <v/>
      </c>
      <c r="H314" s="119" t="inlineStr">
        <is>
          <t>0, 17, 33, 50, 100, 100, 100</t>
        </is>
      </c>
      <c r="I314" s="121">
        <f>IF(H314="","",LEN(H314)-LEN(SUBSTITUTE(H314,",",""))+1)</f>
        <v/>
      </c>
      <c r="J314" s="140" t="inlineStr">
        <is>
          <t>升高改善</t>
        </is>
      </c>
      <c r="K314" s="141" t="n">
        <v>0</v>
      </c>
      <c r="L314" s="141" t="n">
        <v>1</v>
      </c>
      <c r="M314" s="121">
        <f>IF(OR(K314="",L314=""),"",IF(AND(L314&lt;0.05,OR(AND(J314="升高改善",K314&gt;0),AND(J314="降低改善",K314&lt;0))),"校正","不校正"))</f>
        <v/>
      </c>
      <c r="N314" s="119" t="inlineStr">
        <is>
          <t>Figure 1，PDF 11 / 印刷页373，第2面板 Uzay，实心方形 Probe</t>
        </is>
      </c>
    </row>
    <row r="315" ht="45" customHeight="1" s="111">
      <c r="A315" s="121" t="inlineStr">
        <is>
          <t>K484</t>
        </is>
      </c>
      <c r="B315" s="121" t="inlineStr">
        <is>
          <t>065-二次</t>
        </is>
      </c>
      <c r="C315" s="121" t="inlineStr">
        <is>
          <t>Uzay</t>
        </is>
      </c>
      <c r="D315" s="140" t="inlineStr">
        <is>
          <t>维持</t>
        </is>
      </c>
      <c r="E315" s="119" t="inlineStr">
        <is>
          <t>Baseline vs Maintenance（4 周、6 周、7 个月）</t>
        </is>
      </c>
      <c r="F315" s="119" t="inlineStr">
        <is>
          <t>0, 0, 0, 0, 0</t>
        </is>
      </c>
      <c r="G315" s="121">
        <f>IF(F315="","",LEN(F315)-LEN(SUBSTITUTE(F315,",",""))+1)</f>
        <v/>
      </c>
      <c r="H315" s="119" t="inlineStr">
        <is>
          <t>100, 100, 100</t>
        </is>
      </c>
      <c r="I315" s="121">
        <f>IF(H315="","",LEN(H315)-LEN(SUBSTITUTE(H315,",",""))+1)</f>
        <v/>
      </c>
      <c r="J315" s="140" t="inlineStr">
        <is>
          <t>升高改善</t>
        </is>
      </c>
      <c r="K315" s="141" t="n">
        <v>0</v>
      </c>
      <c r="L315" s="141" t="n">
        <v>1</v>
      </c>
      <c r="M315" s="121">
        <f>IF(OR(K315="",L315=""),"",IF(AND(L315&lt;0.05,OR(AND(J315="升高改善",K315&gt;0),AND(J315="降低改善",K315&lt;0))),"校正","不校正"))</f>
        <v/>
      </c>
      <c r="N315" s="119" t="inlineStr">
        <is>
          <t>Figure 1，PDF 11 / 印刷页373，第2面板 Uzay，实心方形 Probe</t>
        </is>
      </c>
    </row>
    <row r="316" ht="45" customHeight="1" s="111">
      <c r="A316" s="121" t="inlineStr">
        <is>
          <t>K485</t>
        </is>
      </c>
      <c r="B316" s="121" t="inlineStr">
        <is>
          <t>065-二次</t>
        </is>
      </c>
      <c r="C316" s="121" t="inlineStr">
        <is>
          <t>Eren</t>
        </is>
      </c>
      <c r="D316" s="140" t="inlineStr">
        <is>
          <t>干预</t>
        </is>
      </c>
      <c r="E316" s="119" t="inlineStr">
        <is>
          <t>Baseline vs Intervention（每日探测）</t>
        </is>
      </c>
      <c r="F316" s="119" t="inlineStr">
        <is>
          <t>0, 0, 0, 0, 0, 0</t>
        </is>
      </c>
      <c r="G316" s="121">
        <f>IF(F316="","",LEN(F316)-LEN(SUBSTITUTE(F316,",",""))+1)</f>
        <v/>
      </c>
      <c r="H316" s="119" t="inlineStr">
        <is>
          <t>0, 0, 33, 50, 67, 83, 100, 100, 100</t>
        </is>
      </c>
      <c r="I316" s="121">
        <f>IF(H316="","",LEN(H316)-LEN(SUBSTITUTE(H316,",",""))+1)</f>
        <v/>
      </c>
      <c r="J316" s="140" t="inlineStr">
        <is>
          <t>升高改善</t>
        </is>
      </c>
      <c r="K316" s="141" t="n">
        <v>0</v>
      </c>
      <c r="L316" s="141" t="n">
        <v>1</v>
      </c>
      <c r="M316" s="121">
        <f>IF(OR(K316="",L316=""),"",IF(AND(L316&lt;0.05,OR(AND(J316="升高改善",K316&gt;0),AND(J316="降低改善",K316&lt;0))),"校正","不校正"))</f>
        <v/>
      </c>
      <c r="N316" s="119" t="inlineStr">
        <is>
          <t>Figure 1，PDF 11 / 印刷页373，第3面板 Eren，实心方形 Probe</t>
        </is>
      </c>
    </row>
    <row r="317" ht="45" customHeight="1" s="111">
      <c r="A317" s="121" t="inlineStr">
        <is>
          <t>K486</t>
        </is>
      </c>
      <c r="B317" s="121" t="inlineStr">
        <is>
          <t>065-二次</t>
        </is>
      </c>
      <c r="C317" s="121" t="inlineStr">
        <is>
          <t>Eren</t>
        </is>
      </c>
      <c r="D317" s="140" t="inlineStr">
        <is>
          <t>维持</t>
        </is>
      </c>
      <c r="E317" s="119" t="inlineStr">
        <is>
          <t>Baseline vs Maintenance（4 周、6 周、7 个月）</t>
        </is>
      </c>
      <c r="F317" s="119" t="inlineStr">
        <is>
          <t>0, 0, 0, 0, 0, 0</t>
        </is>
      </c>
      <c r="G317" s="121">
        <f>IF(F317="","",LEN(F317)-LEN(SUBSTITUTE(F317,",",""))+1)</f>
        <v/>
      </c>
      <c r="H317" s="119" t="inlineStr">
        <is>
          <t>100, 100, 83</t>
        </is>
      </c>
      <c r="I317" s="121">
        <f>IF(H317="","",LEN(H317)-LEN(SUBSTITUTE(H317,",",""))+1)</f>
        <v/>
      </c>
      <c r="J317" s="140" t="inlineStr">
        <is>
          <t>升高改善</t>
        </is>
      </c>
      <c r="K317" s="141" t="n">
        <v>0</v>
      </c>
      <c r="L317" s="141" t="n">
        <v>1</v>
      </c>
      <c r="M317" s="121">
        <f>IF(OR(K317="",L317=""),"",IF(AND(L317&lt;0.05,OR(AND(J317="升高改善",K317&gt;0),AND(J317="降低改善",K317&lt;0))),"校正","不校正"))</f>
        <v/>
      </c>
      <c r="N317" s="119" t="inlineStr">
        <is>
          <t>Figure 1，PDF 11 / 印刷页373，第3面板 Eren，实心方形 Probe</t>
        </is>
      </c>
    </row>
    <row r="318" ht="45" customHeight="1" s="111">
      <c r="A318" s="121" t="inlineStr">
        <is>
          <t>K487</t>
        </is>
      </c>
      <c r="B318" s="121" t="inlineStr">
        <is>
          <t>066-二次</t>
        </is>
      </c>
      <c r="C318" s="140" t="inlineStr">
        <is>
          <t>小A</t>
        </is>
      </c>
      <c r="D318" s="140" t="inlineStr">
        <is>
          <t>干预</t>
        </is>
      </c>
      <c r="E318" s="118" t="inlineStr">
        <is>
          <t>基线期 vs PECS 第一至第四阶段合并（每阶段都有对应视频）</t>
        </is>
      </c>
      <c r="F318" s="119" t="inlineStr">
        <is>
          <t>5, 5, 7, 7</t>
        </is>
      </c>
      <c r="G318" s="121">
        <f>IF(F318="","",LEN(F318)-LEN(SUBSTITUTE(F318,",",""))+1)</f>
        <v/>
      </c>
      <c r="H318" s="119" t="inlineStr">
        <is>
          <t>10, 12, 13, 15, 10, 15, 10, 18, 16, 16, 16, 19, 29, 51, 40, 45, 67, 44, 69, 76, 54, 65, 51</t>
        </is>
      </c>
      <c r="I318" s="121">
        <f>IF(H318="","",LEN(H318)-LEN(SUBSTITUTE(H318,",",""))+1)</f>
        <v/>
      </c>
      <c r="J318" s="140" t="inlineStr">
        <is>
          <t>升高改善</t>
        </is>
      </c>
      <c r="K318" s="141" t="n">
        <v>0.816496580927726</v>
      </c>
      <c r="L318" s="141" t="n">
        <v>0.121335250358482</v>
      </c>
      <c r="M318" s="121">
        <f>IF(OR(K318="",L318=""),"",IF(AND(L318&lt;0.05,OR(AND(J318="升高改善",K318&gt;0),AND(J318="降低改善",K318&lt;0))),"校正","不校正"))</f>
        <v/>
      </c>
      <c r="N318" s="118" t="inlineStr">
        <is>
          <t>图1；PDF第5页/印刷48页；小A面板；实心圆</t>
        </is>
      </c>
    </row>
    <row r="319" ht="45" customHeight="1" s="111">
      <c r="A319" s="121" t="inlineStr">
        <is>
          <t>K488</t>
        </is>
      </c>
      <c r="B319" s="121" t="inlineStr">
        <is>
          <t>066-二次</t>
        </is>
      </c>
      <c r="C319" s="140" t="inlineStr">
        <is>
          <t>小A</t>
        </is>
      </c>
      <c r="D319" s="140" t="inlineStr">
        <is>
          <t>维持</t>
        </is>
      </c>
      <c r="E319" s="118" t="inlineStr">
        <is>
          <t>基线期 vs 维持期（每周一次）</t>
        </is>
      </c>
      <c r="F319" s="119" t="inlineStr">
        <is>
          <t>5, 5, 7, 7</t>
        </is>
      </c>
      <c r="G319" s="121">
        <f>IF(F319="","",LEN(F319)-LEN(SUBSTITUTE(F319,",",""))+1)</f>
        <v/>
      </c>
      <c r="H319" s="119" t="inlineStr">
        <is>
          <t>38, 43, 44, 46, 56, 56</t>
        </is>
      </c>
      <c r="I319" s="121">
        <f>IF(H319="","",LEN(H319)-LEN(SUBSTITUTE(H319,",",""))+1)</f>
        <v/>
      </c>
      <c r="J319" s="140" t="inlineStr">
        <is>
          <t>升高改善</t>
        </is>
      </c>
      <c r="K319" s="141" t="n">
        <v>0.816496580927726</v>
      </c>
      <c r="L319" s="141" t="n">
        <v>0.121335250358482</v>
      </c>
      <c r="M319" s="121">
        <f>IF(OR(K319="",L319=""),"",IF(AND(L319&lt;0.05,OR(AND(J319="升高改善",K319&gt;0),AND(J319="降低改善",K319&lt;0))),"校正","不校正"))</f>
        <v/>
      </c>
      <c r="N319" s="118" t="inlineStr">
        <is>
          <t>图1；PDF第5页/印刷48页；小A面板；实心圆</t>
        </is>
      </c>
    </row>
    <row r="320" ht="45" customHeight="1" s="111">
      <c r="A320" s="121" t="inlineStr">
        <is>
          <t>K489</t>
        </is>
      </c>
      <c r="B320" s="121" t="inlineStr">
        <is>
          <t>066-二次</t>
        </is>
      </c>
      <c r="C320" s="140" t="inlineStr">
        <is>
          <t>小B</t>
        </is>
      </c>
      <c r="D320" s="140" t="inlineStr">
        <is>
          <t>干预</t>
        </is>
      </c>
      <c r="E320" s="118" t="inlineStr">
        <is>
          <t>基线期 vs PECS 第一至第四阶段合并（每阶段都有对应视频）</t>
        </is>
      </c>
      <c r="F320" s="119" t="inlineStr">
        <is>
          <t>3, 3, 3, 4, 3</t>
        </is>
      </c>
      <c r="G320" s="121">
        <f>IF(F320="","",LEN(F320)-LEN(SUBSTITUTE(F320,",",""))+1)</f>
        <v/>
      </c>
      <c r="H320" s="119" t="inlineStr">
        <is>
          <t>18, 24, 25, 21, 21, 23, 33, 55, 29, 30, 38, 48, 26, 47, 34, 32, 34, 30, 31, 31, 39, 40, 45</t>
        </is>
      </c>
      <c r="I320" s="121">
        <f>IF(H320="","",LEN(H320)-LEN(SUBSTITUTE(H320,",",""))+1)</f>
        <v/>
      </c>
      <c r="J320" s="140" t="inlineStr">
        <is>
          <t>升高改善</t>
        </is>
      </c>
      <c r="K320" s="141" t="n">
        <v>0.316227766016838</v>
      </c>
      <c r="L320" s="141" t="n">
        <v>0.479500122186953</v>
      </c>
      <c r="M320" s="121">
        <f>IF(OR(K320="",L320=""),"",IF(AND(L320&lt;0.05,OR(AND(J320="升高改善",K320&gt;0),AND(J320="降低改善",K320&lt;0))),"校正","不校正"))</f>
        <v/>
      </c>
      <c r="N320" s="118" t="inlineStr">
        <is>
          <t>图1；PDF第5页/印刷48页；小B面板；实心菱形</t>
        </is>
      </c>
    </row>
    <row r="321" ht="45" customHeight="1" s="111">
      <c r="A321" s="121" t="inlineStr">
        <is>
          <t>K490</t>
        </is>
      </c>
      <c r="B321" s="121" t="inlineStr">
        <is>
          <t>066-二次</t>
        </is>
      </c>
      <c r="C321" s="140" t="inlineStr">
        <is>
          <t>小B</t>
        </is>
      </c>
      <c r="D321" s="140" t="inlineStr">
        <is>
          <t>维持</t>
        </is>
      </c>
      <c r="E321" s="118" t="inlineStr">
        <is>
          <t>基线期 vs 维持期（每周一次）</t>
        </is>
      </c>
      <c r="F321" s="119" t="inlineStr">
        <is>
          <t>3, 3, 3, 4, 3</t>
        </is>
      </c>
      <c r="G321" s="121">
        <f>IF(F321="","",LEN(F321)-LEN(SUBSTITUTE(F321,",",""))+1)</f>
        <v/>
      </c>
      <c r="H321" s="119" t="inlineStr">
        <is>
          <t>41, 54, 43, 48</t>
        </is>
      </c>
      <c r="I321" s="121">
        <f>IF(H321="","",LEN(H321)-LEN(SUBSTITUTE(H321,",",""))+1)</f>
        <v/>
      </c>
      <c r="J321" s="140" t="inlineStr">
        <is>
          <t>升高改善</t>
        </is>
      </c>
      <c r="K321" s="141" t="n">
        <v>0.316227766016838</v>
      </c>
      <c r="L321" s="141" t="n">
        <v>0.479500122186953</v>
      </c>
      <c r="M321" s="121">
        <f>IF(OR(K321="",L321=""),"",IF(AND(L321&lt;0.05,OR(AND(J321="升高改善",K321&gt;0),AND(J321="降低改善",K321&lt;0))),"校正","不校正"))</f>
        <v/>
      </c>
      <c r="N321" s="118" t="inlineStr">
        <is>
          <t>图1；PDF第5页/印刷48页；小B面板；实心菱形</t>
        </is>
      </c>
    </row>
    <row r="322" ht="45" customHeight="1" s="111">
      <c r="A322" s="121" t="inlineStr">
        <is>
          <t>K491</t>
        </is>
      </c>
      <c r="B322" s="121" t="inlineStr">
        <is>
          <t>066-二次</t>
        </is>
      </c>
      <c r="C322" s="140" t="inlineStr">
        <is>
          <t>小C</t>
        </is>
      </c>
      <c r="D322" s="140" t="inlineStr">
        <is>
          <t>干预</t>
        </is>
      </c>
      <c r="E322" s="118" t="inlineStr">
        <is>
          <t>基线期 vs PECS 第一至第四阶段合并（每阶段都有对应视频）</t>
        </is>
      </c>
      <c r="F322" s="119" t="inlineStr">
        <is>
          <t>11, 10, 9, 13, 10, 10</t>
        </is>
      </c>
      <c r="G322" s="121">
        <f>IF(F322="","",LEN(F322)-LEN(SUBSTITUTE(F322,",",""))+1)</f>
        <v/>
      </c>
      <c r="H322" s="119" t="inlineStr">
        <is>
          <t>23, 19, 31, 32, 39, 30, 34, 45, 38, 54, 39, 61, 42, 49, 32, 32, 35, 44, 33, 33, 33, 28, 31, 20</t>
        </is>
      </c>
      <c r="I322" s="121">
        <f>IF(H322="","",LEN(H322)-LEN(SUBSTITUTE(H322,",",""))+1)</f>
        <v/>
      </c>
      <c r="J322" s="140" t="inlineStr">
        <is>
          <t>升高改善</t>
        </is>
      </c>
      <c r="K322" s="141" t="n">
        <v>-0.149071198499986</v>
      </c>
      <c r="L322" s="141" t="n">
        <v>0.687173618309648</v>
      </c>
      <c r="M322" s="121">
        <f>IF(OR(K322="",L322=""),"",IF(AND(L322&lt;0.05,OR(AND(J322="升高改善",K322&gt;0),AND(J322="降低改善",K322&lt;0))),"校正","不校正"))</f>
        <v/>
      </c>
      <c r="N322" s="118" t="inlineStr">
        <is>
          <t>图1；PDF第5页/印刷48页；小C面板；实心三角</t>
        </is>
      </c>
    </row>
    <row r="323" ht="45" customHeight="1" s="111">
      <c r="A323" s="121" t="inlineStr">
        <is>
          <t>K492</t>
        </is>
      </c>
      <c r="B323" s="121" t="inlineStr">
        <is>
          <t>066-二次</t>
        </is>
      </c>
      <c r="C323" s="140" t="inlineStr">
        <is>
          <t>小C</t>
        </is>
      </c>
      <c r="D323" s="140" t="inlineStr">
        <is>
          <t>维持</t>
        </is>
      </c>
      <c r="E323" s="118" t="inlineStr">
        <is>
          <t>基线期 vs 维持期（每周一次）</t>
        </is>
      </c>
      <c r="F323" s="119" t="inlineStr">
        <is>
          <t>11, 10, 9, 13, 10, 10</t>
        </is>
      </c>
      <c r="G323" s="121">
        <f>IF(F323="","",LEN(F323)-LEN(SUBSTITUTE(F323,",",""))+1)</f>
        <v/>
      </c>
      <c r="H323" s="119" t="inlineStr">
        <is>
          <t>44, 56, 54</t>
        </is>
      </c>
      <c r="I323" s="121">
        <f>IF(H323="","",LEN(H323)-LEN(SUBSTITUTE(H323,",",""))+1)</f>
        <v/>
      </c>
      <c r="J323" s="140" t="inlineStr">
        <is>
          <t>升高改善</t>
        </is>
      </c>
      <c r="K323" s="141" t="n">
        <v>-0.149071198499986</v>
      </c>
      <c r="L323" s="141" t="n">
        <v>0.687173618309648</v>
      </c>
      <c r="M323" s="121">
        <f>IF(OR(K323="",L323=""),"",IF(AND(L323&lt;0.05,OR(AND(J323="升高改善",K323&gt;0),AND(J323="降低改善",K323&lt;0))),"校正","不校正"))</f>
        <v/>
      </c>
      <c r="N323" s="118" t="inlineStr">
        <is>
          <t>图1；PDF第5页/印刷48页；小C面板；实心三角</t>
        </is>
      </c>
    </row>
    <row r="324" ht="45" customHeight="1" s="111">
      <c r="A324" s="121" t="inlineStr">
        <is>
          <t>K499</t>
        </is>
      </c>
      <c r="B324" s="121" t="inlineStr">
        <is>
          <t>069-滚雪球</t>
        </is>
      </c>
      <c r="C324" s="121" t="inlineStr">
        <is>
          <t>Delia</t>
        </is>
      </c>
      <c r="D324" s="140" t="inlineStr">
        <is>
          <t>干预</t>
        </is>
      </c>
      <c r="E324" s="118" t="inlineStr">
        <is>
          <t>该情境自然课堂基线 vs 该情境电脑训练开始后的自然课堂</t>
        </is>
      </c>
      <c r="F324" s="119" t="inlineStr">
        <is>
          <t>0, 1, 1, 0</t>
        </is>
      </c>
      <c r="G324" s="121">
        <f>IF(F324="","",LEN(F324)-LEN(SUBSTITUTE(F324,",",""))+1)</f>
        <v/>
      </c>
      <c r="H324" s="119" t="inlineStr">
        <is>
          <t>0, 2, 4, 5, 7, 4, 4, 4, 5, 7, 7, 6, 6, 8, 4, 4, 5, 7</t>
        </is>
      </c>
      <c r="I324" s="121">
        <f>IF(H324="","",LEN(H324)-LEN(SUBSTITUTE(H324,",",""))+1)</f>
        <v/>
      </c>
      <c r="J324" s="140" t="inlineStr">
        <is>
          <t>升高改善</t>
        </is>
      </c>
      <c r="K324" s="141" t="n">
        <v>0</v>
      </c>
      <c r="L324" s="141" t="n">
        <v>1</v>
      </c>
      <c r="M324" s="121">
        <f>IF(OR(K324="",L324=""),"",IF(AND(L324&lt;0.05,OR(AND(J324="升高改善",K324&gt;0),AND(J324="降低改善",K324&lt;0))),"校正","不校正"))</f>
        <v/>
      </c>
      <c r="N324" s="118" t="inlineStr">
        <is>
          <t>Figure 7；PDF第14页/印刷108页；游戏Play面板；实心菱形</t>
        </is>
      </c>
    </row>
    <row r="325" ht="45" customHeight="1" s="111">
      <c r="A325" s="121" t="inlineStr">
        <is>
          <t>K500</t>
        </is>
      </c>
      <c r="B325" s="121" t="inlineStr">
        <is>
          <t>069-滚雪球</t>
        </is>
      </c>
      <c r="C325" s="121" t="inlineStr">
        <is>
          <t>Delia</t>
        </is>
      </c>
      <c r="D325" s="140" t="inlineStr">
        <is>
          <t>干预</t>
        </is>
      </c>
      <c r="E325" s="118" t="inlineStr">
        <is>
          <t>该情境自然课堂基线 vs 该情境电脑训练开始后的自然课堂</t>
        </is>
      </c>
      <c r="F325" s="119" t="inlineStr">
        <is>
          <t>0, 1, 0, 1, 1, 1, 1, 1, 1, 3</t>
        </is>
      </c>
      <c r="G325" s="121">
        <f>IF(F325="","",LEN(F325)-LEN(SUBSTITUTE(F325,",",""))+1)</f>
        <v/>
      </c>
      <c r="H325" s="119" t="inlineStr">
        <is>
          <t>2, 1, 2, 0, 0, 0, 2, 4, 7, 5, 5, 5</t>
        </is>
      </c>
      <c r="I325" s="121">
        <f>IF(H325="","",LEN(H325)-LEN(SUBSTITUTE(H325,",",""))+1)</f>
        <v/>
      </c>
      <c r="J325" s="140" t="inlineStr">
        <is>
          <t>升高改善</t>
        </is>
      </c>
      <c r="K325" s="141" t="n">
        <v>0.65275336576822</v>
      </c>
      <c r="L325" s="141" t="n">
        <v>0.0186337494629338</v>
      </c>
      <c r="M325" s="121">
        <f>IF(OR(K325="",L325=""),"",IF(AND(L325&lt;0.05,OR(AND(J325="升高改善",K325&gt;0),AND(J325="降低改善",K325&lt;0))),"校正","不校正"))</f>
        <v/>
      </c>
      <c r="N325" s="118" t="inlineStr">
        <is>
          <t>Figure 7；PDF第14页/印刷108页；进食Food面板；实心菱形</t>
        </is>
      </c>
    </row>
    <row r="326" ht="45" customHeight="1" s="111">
      <c r="A326" s="121" t="inlineStr">
        <is>
          <t>K501</t>
        </is>
      </c>
      <c r="B326" s="121" t="inlineStr">
        <is>
          <t>069-滚雪球</t>
        </is>
      </c>
      <c r="C326" s="121" t="inlineStr">
        <is>
          <t>Delia</t>
        </is>
      </c>
      <c r="D326" s="140" t="inlineStr">
        <is>
          <t>干预</t>
        </is>
      </c>
      <c r="E326" s="118" t="inlineStr">
        <is>
          <t>该情境自然课堂基线 vs 该情境电脑训练开始后的自然课堂</t>
        </is>
      </c>
      <c r="F326" s="119" t="inlineStr">
        <is>
          <t>1, 0, 0, 0, 1, 0, 0, 0, 1, 0, 1, 0, 1, 0, 0, 1</t>
        </is>
      </c>
      <c r="G326" s="121">
        <f>IF(F326="","",LEN(F326)-LEN(SUBSTITUTE(F326,",",""))+1)</f>
        <v/>
      </c>
      <c r="H326" s="119" t="inlineStr">
        <is>
          <t>1, 2, 2, 2, 1, 2</t>
        </is>
      </c>
      <c r="I326" s="121">
        <f>IF(H326="","",LEN(H326)-LEN(SUBSTITUTE(H326,",",""))+1)</f>
        <v/>
      </c>
      <c r="J326" s="140" t="inlineStr">
        <is>
          <t>升高改善</t>
        </is>
      </c>
      <c r="K326" s="141" t="n">
        <v>0.09428090415820629</v>
      </c>
      <c r="L326" s="141" t="n">
        <v>0.664389443171999</v>
      </c>
      <c r="M326" s="121">
        <f>IF(OR(K326="",L326=""),"",IF(AND(L326&lt;0.05,OR(AND(J326="升高改善",K326&gt;0),AND(J326="降低改善",K326&lt;0))),"校正","不校正"))</f>
        <v/>
      </c>
      <c r="N326" s="118" t="inlineStr">
        <is>
          <t>Figure 7；PDF第14页/印刷108页；卫生Hygiene面板；实心菱形</t>
        </is>
      </c>
    </row>
    <row r="327" ht="45" customHeight="1" s="111">
      <c r="A327" s="121" t="inlineStr">
        <is>
          <t>K502</t>
        </is>
      </c>
      <c r="B327" s="121" t="inlineStr">
        <is>
          <t>069-滚雪球</t>
        </is>
      </c>
      <c r="C327" s="121" t="inlineStr">
        <is>
          <t>Tom</t>
        </is>
      </c>
      <c r="D327" s="140" t="inlineStr">
        <is>
          <t>干预</t>
        </is>
      </c>
      <c r="E327" s="118" t="inlineStr">
        <is>
          <t>该情境自然课堂基线 vs 该情境电脑训练开始后的自然课堂</t>
        </is>
      </c>
      <c r="F327" s="119" t="inlineStr">
        <is>
          <t>4, 2, 3, 3</t>
        </is>
      </c>
      <c r="G327" s="121">
        <f>IF(F327="","",LEN(F327)-LEN(SUBSTITUTE(F327,",",""))+1)</f>
        <v/>
      </c>
      <c r="H327" s="119" t="inlineStr">
        <is>
          <t>4, 5, 6, 8, 9, 9, 7, 10, 11, 12, 7, 7, 6, 7, 7, 5, 8, 9</t>
        </is>
      </c>
      <c r="I327" s="121">
        <f>IF(H327="","",LEN(H327)-LEN(SUBSTITUTE(H327,",",""))+1)</f>
        <v/>
      </c>
      <c r="J327" s="140" t="inlineStr">
        <is>
          <t>升高改善</t>
        </is>
      </c>
      <c r="K327" s="141" t="n">
        <v>-0.182574185835055</v>
      </c>
      <c r="L327" s="141" t="n">
        <v>0.7179816667337769</v>
      </c>
      <c r="M327" s="121">
        <f>IF(OR(K327="",L327=""),"",IF(AND(L327&lt;0.05,OR(AND(J327="升高改善",K327&gt;0),AND(J327="降低改善",K327&lt;0))),"校正","不校正"))</f>
        <v/>
      </c>
      <c r="N327" s="118" t="inlineStr">
        <is>
          <t>Figure 8；PDF第15页/印刷109页；游戏Play面板；实心菱形</t>
        </is>
      </c>
    </row>
    <row r="328" ht="45" customHeight="1" s="111">
      <c r="A328" s="121" t="inlineStr">
        <is>
          <t>K503</t>
        </is>
      </c>
      <c r="B328" s="121" t="inlineStr">
        <is>
          <t>069-滚雪球</t>
        </is>
      </c>
      <c r="C328" s="121" t="inlineStr">
        <is>
          <t>Tom</t>
        </is>
      </c>
      <c r="D328" s="140" t="inlineStr">
        <is>
          <t>干预</t>
        </is>
      </c>
      <c r="E328" s="118" t="inlineStr">
        <is>
          <t>该情境自然课堂基线 vs 该情境电脑训练开始后的自然课堂</t>
        </is>
      </c>
      <c r="F328" s="119" t="inlineStr">
        <is>
          <t>4, 2, 3, 3, 3, 4, 4, 5, 4, 5</t>
        </is>
      </c>
      <c r="G328" s="121">
        <f>IF(F328="","",LEN(F328)-LEN(SUBSTITUTE(F328,",",""))+1)</f>
        <v/>
      </c>
      <c r="H328" s="119" t="inlineStr">
        <is>
          <t>8, 1, 7, 6, 7, 9, 6, 6, 5, 4, 8, 9</t>
        </is>
      </c>
      <c r="I328" s="121">
        <f>IF(H328="","",LEN(H328)-LEN(SUBSTITUTE(H328,",",""))+1)</f>
        <v/>
      </c>
      <c r="J328" s="140" t="inlineStr">
        <is>
          <t>升高改善</t>
        </is>
      </c>
      <c r="K328" s="141" t="n">
        <v>0.629940788348712</v>
      </c>
      <c r="L328" s="141" t="n">
        <v>0.0179911062383214</v>
      </c>
      <c r="M328" s="121">
        <f>IF(OR(K328="",L328=""),"",IF(AND(L328&lt;0.05,OR(AND(J328="升高改善",K328&gt;0),AND(J328="降低改善",K328&lt;0))),"校正","不校正"))</f>
        <v/>
      </c>
      <c r="N328" s="118" t="inlineStr">
        <is>
          <t>Figure 8；PDF第15页/印刷109页；进食Food面板；实心菱形</t>
        </is>
      </c>
    </row>
    <row r="329" ht="45" customHeight="1" s="111">
      <c r="A329" s="121" t="inlineStr">
        <is>
          <t>K504</t>
        </is>
      </c>
      <c r="B329" s="121" t="inlineStr">
        <is>
          <t>069-滚雪球</t>
        </is>
      </c>
      <c r="C329" s="121" t="inlineStr">
        <is>
          <t>Tom</t>
        </is>
      </c>
      <c r="D329" s="140" t="inlineStr">
        <is>
          <t>干预</t>
        </is>
      </c>
      <c r="E329" s="118" t="inlineStr">
        <is>
          <t>该情境自然课堂基线 vs 该情境电脑训练开始后的自然课堂</t>
        </is>
      </c>
      <c r="F329" s="119" t="inlineStr">
        <is>
          <t>0, 0, 0, 0, 0, 0, 0, 0, 0, 0, 1, 0, 0, 1, 0, 0</t>
        </is>
      </c>
      <c r="G329" s="121">
        <f>IF(F329="","",LEN(F329)-LEN(SUBSTITUTE(F329,",",""))+1)</f>
        <v/>
      </c>
      <c r="H329" s="119" t="inlineStr">
        <is>
          <t>0, 0, 1, 2, 2, 2</t>
        </is>
      </c>
      <c r="I329" s="121">
        <f>IF(H329="","",LEN(H329)-LEN(SUBSTITUTE(H329,",",""))+1)</f>
        <v/>
      </c>
      <c r="J329" s="140" t="inlineStr">
        <is>
          <t>升高改善</t>
        </is>
      </c>
      <c r="K329" s="141" t="n">
        <v>0.276026223736942</v>
      </c>
      <c r="L329" s="141" t="n">
        <v>0.204008163620672</v>
      </c>
      <c r="M329" s="121">
        <f>IF(OR(K329="",L329=""),"",IF(AND(L329&lt;0.05,OR(AND(J329="升高改善",K329&gt;0),AND(J329="降低改善",K329&lt;0))),"校正","不校正"))</f>
        <v/>
      </c>
      <c r="N329" s="118" t="inlineStr">
        <is>
          <t>Figure 8；PDF第15页/印刷109页；卫生Hygiene面板；实心菱形</t>
        </is>
      </c>
    </row>
    <row r="330" ht="45" customHeight="1" s="111">
      <c r="A330" s="121" t="inlineStr">
        <is>
          <t>K505</t>
        </is>
      </c>
      <c r="B330" s="121" t="inlineStr">
        <is>
          <t>069-滚雪球</t>
        </is>
      </c>
      <c r="C330" s="121" t="inlineStr">
        <is>
          <t>Sid</t>
        </is>
      </c>
      <c r="D330" s="140" t="inlineStr">
        <is>
          <t>干预</t>
        </is>
      </c>
      <c r="E330" s="118" t="inlineStr">
        <is>
          <t>该情境自然课堂基线 vs 该情境电脑训练开始后的自然课堂</t>
        </is>
      </c>
      <c r="F330" s="119" t="inlineStr">
        <is>
          <t>0, 1, 1, 1</t>
        </is>
      </c>
      <c r="G330" s="121">
        <f>IF(F330="","",LEN(F330)-LEN(SUBSTITUTE(F330,",",""))+1)</f>
        <v/>
      </c>
      <c r="H330" s="119" t="inlineStr">
        <is>
          <t>1, 2, 1, 2, 1, 0, 0, 1, 3, 1, 2, 5, 2, 5, 4, 3, 3, 3</t>
        </is>
      </c>
      <c r="I330" s="121">
        <f>IF(H330="","",LEN(H330)-LEN(SUBSTITUTE(H330,",",""))+1)</f>
        <v/>
      </c>
      <c r="J330" s="140" t="inlineStr">
        <is>
          <t>升高改善</t>
        </is>
      </c>
      <c r="K330" s="141" t="n">
        <v>0.707106781186548</v>
      </c>
      <c r="L330" s="141" t="n">
        <v>0.179712494879</v>
      </c>
      <c r="M330" s="121">
        <f>IF(OR(K330="",L330=""),"",IF(AND(L330&lt;0.05,OR(AND(J330="升高改善",K330&gt;0),AND(J330="降低改善",K330&lt;0))),"校正","不校正"))</f>
        <v/>
      </c>
      <c r="N330" s="118" t="inlineStr">
        <is>
          <t>Figure 9；PDF第16页/印刷110页；游戏Play面板；实心菱形</t>
        </is>
      </c>
    </row>
    <row r="331" ht="45" customHeight="1" s="111">
      <c r="A331" s="121" t="inlineStr">
        <is>
          <t>K506</t>
        </is>
      </c>
      <c r="B331" s="121" t="inlineStr">
        <is>
          <t>069-滚雪球</t>
        </is>
      </c>
      <c r="C331" s="121" t="inlineStr">
        <is>
          <t>Sid</t>
        </is>
      </c>
      <c r="D331" s="140" t="inlineStr">
        <is>
          <t>干预</t>
        </is>
      </c>
      <c r="E331" s="118" t="inlineStr">
        <is>
          <t>该情境自然课堂基线 vs 该情境电脑训练开始后的自然课堂</t>
        </is>
      </c>
      <c r="F331" s="119" t="inlineStr">
        <is>
          <t>0, 0, 0, 0, 1, 0, 0, 1, 0, 0</t>
        </is>
      </c>
      <c r="G331" s="121">
        <f>IF(F331="","",LEN(F331)-LEN(SUBSTITUTE(F331,",",""))+1)</f>
        <v/>
      </c>
      <c r="H331" s="119" t="inlineStr">
        <is>
          <t>0, 0, 0, 0, 0, 0, 0, 0, 0, 0, 1, 2</t>
        </is>
      </c>
      <c r="I331" s="121">
        <f>IF(H331="","",LEN(H331)-LEN(SUBSTITUTE(H331,",",""))+1)</f>
        <v/>
      </c>
      <c r="J331" s="140" t="inlineStr">
        <is>
          <t>升高改善</t>
        </is>
      </c>
      <c r="K331" s="141" t="n">
        <v>0.149071198499986</v>
      </c>
      <c r="L331" s="141" t="n">
        <v>0.60150813444059</v>
      </c>
      <c r="M331" s="121">
        <f>IF(OR(K331="",L331=""),"",IF(AND(L331&lt;0.05,OR(AND(J331="升高改善",K331&gt;0),AND(J331="降低改善",K331&lt;0))),"校正","不校正"))</f>
        <v/>
      </c>
      <c r="N331" s="118" t="inlineStr">
        <is>
          <t>Figure 9；PDF第16页/印刷110页；进食Food面板；实心菱形</t>
        </is>
      </c>
    </row>
    <row r="332" ht="45" customHeight="1" s="111">
      <c r="A332" s="121" t="inlineStr">
        <is>
          <t>K507</t>
        </is>
      </c>
      <c r="B332" s="121" t="inlineStr">
        <is>
          <t>069-滚雪球</t>
        </is>
      </c>
      <c r="C332" s="121" t="inlineStr">
        <is>
          <t>Sid</t>
        </is>
      </c>
      <c r="D332" s="140" t="inlineStr">
        <is>
          <t>干预</t>
        </is>
      </c>
      <c r="E332" s="118" t="inlineStr">
        <is>
          <t>该情境自然课堂基线 vs 该情境电脑训练开始后的自然课堂</t>
        </is>
      </c>
      <c r="F332" s="119" t="inlineStr">
        <is>
          <t>1, 1, 1, 0, 0, 1, 0, 1, 1, 2, 3, 4, 1, 1, 0, 0</t>
        </is>
      </c>
      <c r="G332" s="121">
        <f>IF(F332="","",LEN(F332)-LEN(SUBSTITUTE(F332,",",""))+1)</f>
        <v/>
      </c>
      <c r="H332" s="119" t="inlineStr">
        <is>
          <t>0, 0, 1, 2, 1, 2</t>
        </is>
      </c>
      <c r="I332" s="121">
        <f>IF(H332="","",LEN(H332)-LEN(SUBSTITUTE(H332,",",""))+1)</f>
        <v/>
      </c>
      <c r="J332" s="140" t="inlineStr">
        <is>
          <t>升高改善</t>
        </is>
      </c>
      <c r="K332" s="141" t="n">
        <v>0.0604858378909134</v>
      </c>
      <c r="L332" s="141" t="n">
        <v>0.7673536244633929</v>
      </c>
      <c r="M332" s="121">
        <f>IF(OR(K332="",L332=""),"",IF(AND(L332&lt;0.05,OR(AND(J332="升高改善",K332&gt;0),AND(J332="降低改善",K332&lt;0))),"校正","不校正"))</f>
        <v/>
      </c>
      <c r="N332" s="118" t="inlineStr">
        <is>
          <t>Figure 9；PDF第16页/印刷110页；卫生Hygiene面板；实心菱形</t>
        </is>
      </c>
    </row>
    <row r="333" ht="45" customHeight="1" s="111">
      <c r="A333" s="121" t="inlineStr">
        <is>
          <t>K508</t>
        </is>
      </c>
      <c r="B333" s="121" t="inlineStr">
        <is>
          <t>080-二次</t>
        </is>
      </c>
      <c r="C333" s="121" t="inlineStr">
        <is>
          <t>Samuel</t>
        </is>
      </c>
      <c r="D333" s="140" t="inlineStr">
        <is>
          <t>干预</t>
        </is>
      </c>
      <c r="E333" s="118" t="inlineStr">
        <is>
          <t>两段基线合并 vs Intervention</t>
        </is>
      </c>
      <c r="F333" s="119" t="inlineStr">
        <is>
          <t>0, 0, 0, 0, 0, 0, 0, 0, 0</t>
        </is>
      </c>
      <c r="G333" s="121">
        <f>IF(F333="","",LEN(F333)-LEN(SUBSTITUTE(F333,",",""))+1)</f>
        <v/>
      </c>
      <c r="H333" s="119" t="inlineStr">
        <is>
          <t>0, 0, 0, 0, 0, 1, 0, 0, 0, 1</t>
        </is>
      </c>
      <c r="I333" s="121">
        <f>IF(H333="","",LEN(H333)-LEN(SUBSTITUTE(H333,",",""))+1)</f>
        <v/>
      </c>
      <c r="J333" s="140" t="inlineStr">
        <is>
          <t>升高改善</t>
        </is>
      </c>
      <c r="K333" s="141" t="n">
        <v>0</v>
      </c>
      <c r="L333" s="141" t="n">
        <v>1</v>
      </c>
      <c r="M333" s="121">
        <f>IF(OR(K333="",L333=""),"",IF(AND(L333&lt;0.05,OR(AND(J333="升高改善",K333&gt;0),AND(J333="降低改善",K333&lt;0))),"校正","不校正"))</f>
        <v/>
      </c>
      <c r="N333" s="118" t="inlineStr">
        <is>
          <t>Figure 1，PDF 8 / 印刷页69，自上而下第1面板 Samuel，实心圆单曲线</t>
        </is>
      </c>
    </row>
    <row r="334" ht="45" customHeight="1" s="111">
      <c r="A334" s="121" t="inlineStr">
        <is>
          <t>K509</t>
        </is>
      </c>
      <c r="B334" s="121" t="inlineStr">
        <is>
          <t>080-二次</t>
        </is>
      </c>
      <c r="C334" s="121" t="inlineStr">
        <is>
          <t>Samuel</t>
        </is>
      </c>
      <c r="D334" s="140" t="inlineStr">
        <is>
          <t>维持</t>
        </is>
      </c>
      <c r="E334" s="118" t="inlineStr">
        <is>
          <t>两段基线合并 vs Follow Up（图标 Generalization）</t>
        </is>
      </c>
      <c r="F334" s="119" t="inlineStr">
        <is>
          <t>0, 0, 0, 0, 0, 0, 0, 0, 0</t>
        </is>
      </c>
      <c r="G334" s="121">
        <f>IF(F334="","",LEN(F334)-LEN(SUBSTITUTE(F334,",",""))+1)</f>
        <v/>
      </c>
      <c r="H334" s="119" t="inlineStr">
        <is>
          <t>0, 1, 1, 0, 0, 1, 0, 0, 0</t>
        </is>
      </c>
      <c r="I334" s="121">
        <f>IF(H334="","",LEN(H334)-LEN(SUBSTITUTE(H334,",",""))+1)</f>
        <v/>
      </c>
      <c r="J334" s="140" t="inlineStr">
        <is>
          <t>升高改善</t>
        </is>
      </c>
      <c r="K334" s="141" t="n">
        <v>0</v>
      </c>
      <c r="L334" s="141" t="n">
        <v>1</v>
      </c>
      <c r="M334" s="121">
        <f>IF(OR(K334="",L334=""),"",IF(AND(L334&lt;0.05,OR(AND(J334="升高改善",K334&gt;0),AND(J334="降低改善",K334&lt;0))),"校正","不校正"))</f>
        <v/>
      </c>
      <c r="N334" s="118" t="inlineStr">
        <is>
          <t>Figure 1，PDF 8 / 印刷页69，自上而下第1面板 Samuel，实心圆单曲线</t>
        </is>
      </c>
    </row>
    <row r="335" ht="45" customHeight="1" s="111">
      <c r="A335" s="121" t="inlineStr">
        <is>
          <t>K510</t>
        </is>
      </c>
      <c r="B335" s="121" t="inlineStr">
        <is>
          <t>080-二次</t>
        </is>
      </c>
      <c r="C335" s="121" t="inlineStr">
        <is>
          <t>Katarina</t>
        </is>
      </c>
      <c r="D335" s="140" t="inlineStr">
        <is>
          <t>干预</t>
        </is>
      </c>
      <c r="E335" s="118" t="inlineStr">
        <is>
          <t>两段基线合并 vs Intervention</t>
        </is>
      </c>
      <c r="F335" s="119" t="inlineStr">
        <is>
          <t>0, 1, 0, 0, 0, 0, 0, 0, 0, 0, 0, 0, 0, 0, 0</t>
        </is>
      </c>
      <c r="G335" s="121">
        <f>IF(F335="","",LEN(F335)-LEN(SUBSTITUTE(F335,",",""))+1)</f>
        <v/>
      </c>
      <c r="H335" s="119" t="inlineStr">
        <is>
          <t>0, 1, 0, 0, 0, 0, 0, 0, 0, 0, 0</t>
        </is>
      </c>
      <c r="I335" s="121">
        <f>IF(H335="","",LEN(H335)-LEN(SUBSTITUTE(H335,",",""))+1)</f>
        <v/>
      </c>
      <c r="J335" s="140" t="inlineStr">
        <is>
          <t>升高改善</t>
        </is>
      </c>
      <c r="K335" s="141" t="n">
        <v>-0.312984318574381</v>
      </c>
      <c r="L335" s="141" t="n">
        <v>0.164914822553301</v>
      </c>
      <c r="M335" s="121">
        <f>IF(OR(K335="",L335=""),"",IF(AND(L335&lt;0.05,OR(AND(J335="升高改善",K335&gt;0),AND(J335="降低改善",K335&lt;0))),"校正","不校正"))</f>
        <v/>
      </c>
      <c r="N335" s="118" t="inlineStr">
        <is>
          <t>Figure 1，PDF 8 / 印刷页69，自上而下第2面板 Katarina，实心圆单曲线</t>
        </is>
      </c>
    </row>
    <row r="336" ht="45" customHeight="1" s="111">
      <c r="A336" s="121" t="inlineStr">
        <is>
          <t>K511</t>
        </is>
      </c>
      <c r="B336" s="121" t="inlineStr">
        <is>
          <t>080-二次</t>
        </is>
      </c>
      <c r="C336" s="121" t="inlineStr">
        <is>
          <t>Katarina</t>
        </is>
      </c>
      <c r="D336" s="140" t="inlineStr">
        <is>
          <t>维持</t>
        </is>
      </c>
      <c r="E336" s="118" t="inlineStr">
        <is>
          <t>两段基线合并 vs Follow Up（图标 Generalization）</t>
        </is>
      </c>
      <c r="F336" s="119" t="inlineStr">
        <is>
          <t>0, 1, 0, 0, 0, 0, 0, 0, 0, 0, 0, 0, 0, 0, 0</t>
        </is>
      </c>
      <c r="G336" s="121">
        <f>IF(F336="","",LEN(F336)-LEN(SUBSTITUTE(F336,",",""))+1)</f>
        <v/>
      </c>
      <c r="H336" s="119" t="inlineStr">
        <is>
          <t>0, 0, 0, 0, 0</t>
        </is>
      </c>
      <c r="I336" s="121">
        <f>IF(H336="","",LEN(H336)-LEN(SUBSTITUTE(H336,",",""))+1)</f>
        <v/>
      </c>
      <c r="J336" s="140" t="inlineStr">
        <is>
          <t>升高改善</t>
        </is>
      </c>
      <c r="K336" s="141" t="n">
        <v>-0.312984318574381</v>
      </c>
      <c r="L336" s="141" t="n">
        <v>0.164914822553301</v>
      </c>
      <c r="M336" s="121">
        <f>IF(OR(K336="",L336=""),"",IF(AND(L336&lt;0.05,OR(AND(J336="升高改善",K336&gt;0),AND(J336="降低改善",K336&lt;0))),"校正","不校正"))</f>
        <v/>
      </c>
      <c r="N336" s="118" t="inlineStr">
        <is>
          <t>Figure 1，PDF 8 / 印刷页69，自上而下第2面板 Katarina，实心圆单曲线</t>
        </is>
      </c>
    </row>
    <row r="337" ht="45" customHeight="1" s="111">
      <c r="A337" s="121" t="inlineStr">
        <is>
          <t>K512</t>
        </is>
      </c>
      <c r="B337" s="121" t="inlineStr">
        <is>
          <t>102-滚雪球</t>
        </is>
      </c>
      <c r="C337" s="121" t="inlineStr">
        <is>
          <t>Isaiah</t>
        </is>
      </c>
      <c r="D337" s="140" t="inlineStr">
        <is>
          <t>干预</t>
        </is>
      </c>
      <c r="E337" s="119" t="inlineStr">
        <is>
          <t>Baseline vs 电脑嵌入视频教学期</t>
        </is>
      </c>
      <c r="F337" s="119" t="inlineStr">
        <is>
          <t>4, 4, 4</t>
        </is>
      </c>
      <c r="G337" s="121">
        <f>IF(F337="","",LEN(F337)-LEN(SUBSTITUTE(F337,",",""))+1)</f>
        <v/>
      </c>
      <c r="H337" s="119" t="inlineStr">
        <is>
          <t>7, 4, 7, 10, 10, 12, 12, 12, 12, 12, 12, 12, 12, 12, 12, 12, 12, 12, 12</t>
        </is>
      </c>
      <c r="I337" s="121">
        <f>IF(H337="","",LEN(H337)-LEN(SUBSTITUTE(H337,",",""))+1)</f>
        <v/>
      </c>
      <c r="J337" s="140" t="inlineStr">
        <is>
          <t>升高改善</t>
        </is>
      </c>
      <c r="K337" s="141" t="n">
        <v>0</v>
      </c>
      <c r="L337" s="141" t="n">
        <v>1</v>
      </c>
      <c r="M337" s="121">
        <f>IF(OR(K337="",L337=""),"",IF(AND(L337&lt;0.05,OR(AND(J337="升高改善",K337&gt;0),AND(J337="降低改善",K337&lt;0))),"校正","不校正"))</f>
        <v/>
      </c>
      <c r="N337" s="119" t="inlineStr">
        <is>
          <t>Figure 3；PDF第9页/印刷248页；Isaiah面板；正三角 Sharing</t>
        </is>
      </c>
    </row>
    <row r="338" ht="45" customHeight="1" s="111">
      <c r="A338" s="121" t="inlineStr">
        <is>
          <t>K513</t>
        </is>
      </c>
      <c r="B338" s="121" t="inlineStr">
        <is>
          <t>102-滚雪球</t>
        </is>
      </c>
      <c r="C338" s="121" t="inlineStr">
        <is>
          <t>Isaiah</t>
        </is>
      </c>
      <c r="D338" s="140" t="inlineStr">
        <is>
          <t>干预</t>
        </is>
      </c>
      <c r="E338" s="119" t="inlineStr">
        <is>
          <t>Baseline vs 电脑嵌入视频教学期</t>
        </is>
      </c>
      <c r="F338" s="119" t="inlineStr">
        <is>
          <t>1, 1, 1</t>
        </is>
      </c>
      <c r="G338" s="121">
        <f>IF(F338="","",LEN(F338)-LEN(SUBSTITUTE(F338,",",""))+1)</f>
        <v/>
      </c>
      <c r="H338" s="119" t="inlineStr">
        <is>
          <t>3, 2, 5, 5, 2, 2, 6, 6, 5, 4, 5, 7, 8, 8, 9, 10, 9, 9, 11</t>
        </is>
      </c>
      <c r="I338" s="121">
        <f>IF(H338="","",LEN(H338)-LEN(SUBSTITUTE(H338,",",""))+1)</f>
        <v/>
      </c>
      <c r="J338" s="140" t="inlineStr">
        <is>
          <t>升高改善</t>
        </is>
      </c>
      <c r="K338" s="141" t="n">
        <v>0</v>
      </c>
      <c r="L338" s="141" t="n">
        <v>1</v>
      </c>
      <c r="M338" s="121">
        <f>IF(OR(K338="",L338=""),"",IF(AND(L338&lt;0.05,OR(AND(J338="升高改善",K338&gt;0),AND(J338="降低改善",K338&lt;0))),"校正","不校正"))</f>
        <v/>
      </c>
      <c r="N338" s="119" t="inlineStr">
        <is>
          <t>Figure 3；PDF第9页/印刷248页；Isaiah面板；菱形 Greetings</t>
        </is>
      </c>
    </row>
    <row r="339" ht="45" customHeight="1" s="111">
      <c r="A339" s="121" t="inlineStr">
        <is>
          <t>K514</t>
        </is>
      </c>
      <c r="B339" s="121" t="inlineStr">
        <is>
          <t>102-滚雪球</t>
        </is>
      </c>
      <c r="C339" s="121" t="inlineStr">
        <is>
          <t>Hannah</t>
        </is>
      </c>
      <c r="D339" s="140" t="inlineStr">
        <is>
          <t>干预</t>
        </is>
      </c>
      <c r="E339" s="119" t="inlineStr">
        <is>
          <t>Baseline vs 电脑嵌入视频教学期</t>
        </is>
      </c>
      <c r="F339" s="119" t="inlineStr">
        <is>
          <t>7, 7, 7, 8, 8, 8</t>
        </is>
      </c>
      <c r="G339" s="121">
        <f>IF(F339="","",LEN(F339)-LEN(SUBSTITUTE(F339,",",""))+1)</f>
        <v/>
      </c>
      <c r="H339" s="119" t="inlineStr">
        <is>
          <t>10, 10, 10, 10, 11, 10, 11, 12, 10, 12, 11, 10, 10, 12, 12</t>
        </is>
      </c>
      <c r="I339" s="121">
        <f>IF(H339="","",LEN(H339)-LEN(SUBSTITUTE(H339,",",""))+1)</f>
        <v/>
      </c>
      <c r="J339" s="140" t="inlineStr">
        <is>
          <t>升高改善</t>
        </is>
      </c>
      <c r="K339" s="141" t="n">
        <v>0.774596669241483</v>
      </c>
      <c r="L339" s="141" t="n">
        <v>0.0495346134356268</v>
      </c>
      <c r="M339" s="121">
        <f>IF(OR(K339="",L339=""),"",IF(AND(L339&lt;0.05,OR(AND(J339="升高改善",K339&gt;0),AND(J339="降低改善",K339&lt;0))),"校正","不校正"))</f>
        <v/>
      </c>
      <c r="N339" s="119" t="inlineStr">
        <is>
          <t>Figure 3；PDF第9页/印刷248页；Hannah面板；正三角 Sharing</t>
        </is>
      </c>
    </row>
    <row r="340" ht="45" customHeight="1" s="111">
      <c r="A340" s="121" t="inlineStr">
        <is>
          <t>K515</t>
        </is>
      </c>
      <c r="B340" s="121" t="inlineStr">
        <is>
          <t>102-滚雪球</t>
        </is>
      </c>
      <c r="C340" s="121" t="inlineStr">
        <is>
          <t>Hannah</t>
        </is>
      </c>
      <c r="D340" s="140" t="inlineStr">
        <is>
          <t>干预</t>
        </is>
      </c>
      <c r="E340" s="119" t="inlineStr">
        <is>
          <t>Baseline vs 电脑嵌入视频教学期</t>
        </is>
      </c>
      <c r="F340" s="119" t="inlineStr">
        <is>
          <t>6, 7, 7, 8, 8, 8</t>
        </is>
      </c>
      <c r="G340" s="121">
        <f>IF(F340="","",LEN(F340)-LEN(SUBSTITUTE(F340,",",""))+1)</f>
        <v/>
      </c>
      <c r="H340" s="119" t="inlineStr">
        <is>
          <t>7, 7, 9, 9, 9, 9, 9, 10, 10, 9, 9, 10, 11, 12, 12</t>
        </is>
      </c>
      <c r="I340" s="121">
        <f>IF(H340="","",LEN(H340)-LEN(SUBSTITUTE(H340,",",""))+1)</f>
        <v/>
      </c>
      <c r="J340" s="140" t="inlineStr">
        <is>
          <t>升高改善</t>
        </is>
      </c>
      <c r="K340" s="141" t="n">
        <v>0.856348838577675</v>
      </c>
      <c r="L340" s="141" t="n">
        <v>0.0237516574481045</v>
      </c>
      <c r="M340" s="121">
        <f>IF(OR(K340="",L340=""),"",IF(AND(L340&lt;0.05,OR(AND(J340="升高改善",K340&gt;0),AND(J340="降低改善",K340&lt;0))),"校正","不校正"))</f>
        <v/>
      </c>
      <c r="N340" s="119" t="inlineStr">
        <is>
          <t>Figure 3；PDF第9页/印刷248页；Hannah面板；菱形 Greetings</t>
        </is>
      </c>
    </row>
    <row r="341" ht="45" customHeight="1" s="111">
      <c r="A341" s="121" t="inlineStr">
        <is>
          <t>K516</t>
        </is>
      </c>
      <c r="B341" s="121" t="inlineStr">
        <is>
          <t>102-滚雪球</t>
        </is>
      </c>
      <c r="C341" s="121" t="inlineStr">
        <is>
          <t>Marcus</t>
        </is>
      </c>
      <c r="D341" s="140" t="inlineStr">
        <is>
          <t>干预</t>
        </is>
      </c>
      <c r="E341" s="119" t="inlineStr">
        <is>
          <t>Baseline vs 电脑嵌入视频教学期</t>
        </is>
      </c>
      <c r="F341" s="119" t="inlineStr">
        <is>
          <t>5, 5, 5, 5, 5, 5, 5, 5, 5</t>
        </is>
      </c>
      <c r="G341" s="121">
        <f>IF(F341="","",LEN(F341)-LEN(SUBSTITUTE(F341,",",""))+1)</f>
        <v/>
      </c>
      <c r="H341" s="119" t="inlineStr">
        <is>
          <t>9, 8, 10, 9, 10, 10, 12, 11, 12, 10, 12</t>
        </is>
      </c>
      <c r="I341" s="121">
        <f>IF(H341="","",LEN(H341)-LEN(SUBSTITUTE(H341,",",""))+1)</f>
        <v/>
      </c>
      <c r="J341" s="140" t="inlineStr">
        <is>
          <t>升高改善</t>
        </is>
      </c>
      <c r="K341" s="141" t="n">
        <v>0</v>
      </c>
      <c r="L341" s="141" t="n">
        <v>1</v>
      </c>
      <c r="M341" s="121">
        <f>IF(OR(K341="",L341=""),"",IF(AND(L341&lt;0.05,OR(AND(J341="升高改善",K341&gt;0),AND(J341="降低改善",K341&lt;0))),"校正","不校正"))</f>
        <v/>
      </c>
      <c r="N341" s="119" t="inlineStr">
        <is>
          <t>Figure 3；PDF第9页/印刷248页；Marcus面板；正三角 Sharing</t>
        </is>
      </c>
    </row>
    <row r="342" ht="45" customHeight="1" s="111">
      <c r="A342" s="121" t="inlineStr">
        <is>
          <t>K517</t>
        </is>
      </c>
      <c r="B342" s="121" t="inlineStr">
        <is>
          <t>102-滚雪球</t>
        </is>
      </c>
      <c r="C342" s="121" t="inlineStr">
        <is>
          <t>Marcus</t>
        </is>
      </c>
      <c r="D342" s="140" t="inlineStr">
        <is>
          <t>干预</t>
        </is>
      </c>
      <c r="E342" s="119" t="inlineStr">
        <is>
          <t>Baseline vs 电脑嵌入视频教学期</t>
        </is>
      </c>
      <c r="F342" s="119" t="inlineStr">
        <is>
          <t>8, 8, 8, 8, 8, 8, 9, 8, 8</t>
        </is>
      </c>
      <c r="G342" s="121">
        <f>IF(F342="","",LEN(F342)-LEN(SUBSTITUTE(F342,",",""))+1)</f>
        <v/>
      </c>
      <c r="H342" s="119" t="inlineStr">
        <is>
          <t>10, 10, 12, 12, 12, 12, 12, 12, 12, 12, 12</t>
        </is>
      </c>
      <c r="I342" s="121">
        <f>IF(H342="","",LEN(H342)-LEN(SUBSTITUTE(H342,",",""))+1)</f>
        <v/>
      </c>
      <c r="J342" s="140" t="inlineStr">
        <is>
          <t>升高改善</t>
        </is>
      </c>
      <c r="K342" s="141" t="n">
        <v>0.235702260395516</v>
      </c>
      <c r="L342" s="141" t="n">
        <v>0.438578026081</v>
      </c>
      <c r="M342" s="121">
        <f>IF(OR(K342="",L342=""),"",IF(AND(L342&lt;0.05,OR(AND(J342="升高改善",K342&gt;0),AND(J342="降低改善",K342&lt;0))),"校正","不校正"))</f>
        <v/>
      </c>
      <c r="N342" s="119" t="inlineStr">
        <is>
          <t>Figure 3；PDF第9页/印刷248页；Marcus面板；菱形 Greetings</t>
        </is>
      </c>
    </row>
    <row r="343" ht="45" customHeight="1" s="111">
      <c r="A343" s="121" t="inlineStr">
        <is>
          <t>K518</t>
        </is>
      </c>
      <c r="B343" s="121" t="inlineStr">
        <is>
          <t>102-滚雪球</t>
        </is>
      </c>
      <c r="C343" s="121" t="inlineStr">
        <is>
          <t>Kia</t>
        </is>
      </c>
      <c r="D343" s="140" t="inlineStr">
        <is>
          <t>干预</t>
        </is>
      </c>
      <c r="E343" s="119" t="inlineStr">
        <is>
          <t>Baseline vs 电脑嵌入视频教学期</t>
        </is>
      </c>
      <c r="F343" s="119" t="inlineStr">
        <is>
          <t>3, 3, 3, 4, 4, 3, 4, 4, 4, 4, 3, 4</t>
        </is>
      </c>
      <c r="G343" s="121">
        <f>IF(F343="","",LEN(F343)-LEN(SUBSTITUTE(F343,",",""))+1)</f>
        <v/>
      </c>
      <c r="H343" s="119" t="inlineStr">
        <is>
          <t>7, 7, 7, 9, 10</t>
        </is>
      </c>
      <c r="I343" s="121">
        <f>IF(H343="","",LEN(H343)-LEN(SUBSTITUTE(H343,",",""))+1)</f>
        <v/>
      </c>
      <c r="J343" s="140" t="inlineStr">
        <is>
          <t>升高改善</t>
        </is>
      </c>
      <c r="K343" s="141" t="n">
        <v>0.395318929823828</v>
      </c>
      <c r="L343" s="141" t="n">
        <v>0.122880258088228</v>
      </c>
      <c r="M343" s="121">
        <f>IF(OR(K343="",L343=""),"",IF(AND(L343&lt;0.05,OR(AND(J343="升高改善",K343&gt;0),AND(J343="降低改善",K343&lt;0))),"校正","不校正"))</f>
        <v/>
      </c>
      <c r="N343" s="119" t="inlineStr">
        <is>
          <t>Figure 3；PDF第9页/印刷248页；Kia面板；正三角 Sharing</t>
        </is>
      </c>
    </row>
    <row r="344" ht="45" customHeight="1" s="111">
      <c r="A344" s="121" t="inlineStr">
        <is>
          <t>K519</t>
        </is>
      </c>
      <c r="B344" s="121" t="inlineStr">
        <is>
          <t>102-滚雪球</t>
        </is>
      </c>
      <c r="C344" s="121" t="inlineStr">
        <is>
          <t>Kia</t>
        </is>
      </c>
      <c r="D344" s="140" t="inlineStr">
        <is>
          <t>干预</t>
        </is>
      </c>
      <c r="E344" s="119" t="inlineStr">
        <is>
          <t>Baseline vs 电脑嵌入视频教学期</t>
        </is>
      </c>
      <c r="F344" s="119" t="inlineStr">
        <is>
          <t>8, 10, 9, 9, 9, 9, 10, 10, 10, 10, 10, 9</t>
        </is>
      </c>
      <c r="G344" s="121">
        <f>IF(F344="","",LEN(F344)-LEN(SUBSTITUTE(F344,",",""))+1)</f>
        <v/>
      </c>
      <c r="H344" s="119" t="inlineStr">
        <is>
          <t>11, 11, 11, 11, 10</t>
        </is>
      </c>
      <c r="I344" s="121">
        <f>IF(H344="","",LEN(H344)-LEN(SUBSTITUTE(H344,",",""))+1)</f>
        <v/>
      </c>
      <c r="J344" s="140" t="inlineStr">
        <is>
          <t>升高改善</t>
        </is>
      </c>
      <c r="K344" s="141" t="n">
        <v>0.403696885257116</v>
      </c>
      <c r="L344" s="141" t="n">
        <v>0.104847271453332</v>
      </c>
      <c r="M344" s="121">
        <f>IF(OR(K344="",L344=""),"",IF(AND(L344&lt;0.05,OR(AND(J344="升高改善",K344&gt;0),AND(J344="降低改善",K344&lt;0))),"校正","不校正"))</f>
        <v/>
      </c>
      <c r="N344" s="119" t="inlineStr">
        <is>
          <t>Figure 3；PDF第9页/印刷248页；Kia面板；菱形 Greetings</t>
        </is>
      </c>
    </row>
    <row r="345" ht="45" customHeight="1" s="111">
      <c r="A345" s="121" t="inlineStr">
        <is>
          <t>K520</t>
        </is>
      </c>
      <c r="B345" s="121" t="inlineStr">
        <is>
          <t>110-二次</t>
        </is>
      </c>
      <c r="C345" s="121" t="inlineStr">
        <is>
          <t>Isaac</t>
        </is>
      </c>
      <c r="D345" s="140" t="inlineStr">
        <is>
          <t>干预</t>
        </is>
      </c>
      <c r="E345" s="118" t="inlineStr">
        <is>
          <t>该示范者脚本的基线 vs 该示范者视频示范期</t>
        </is>
      </c>
      <c r="F345" s="136" t="inlineStr">
        <is>
          <t>0, 0, 0, 0, 0, 0, 0, 0, 0, 0, 0, 0, 0, 0, 0</t>
        </is>
      </c>
      <c r="G345" s="127">
        <f>IF(F345="","",LEN(F345)-LEN(SUBSTITUTE(F345,",",""))+1)</f>
        <v/>
      </c>
      <c r="H345" s="136" t="inlineStr">
        <is>
          <t>7, 5, 9, 9, 9</t>
        </is>
      </c>
      <c r="I345" s="127">
        <f>IF(H345="","",LEN(H345)-LEN(SUBSTITUTE(H345,",",""))+1)</f>
        <v/>
      </c>
      <c r="J345" s="144" t="inlineStr">
        <is>
          <t>升高改善</t>
        </is>
      </c>
      <c r="K345" s="145" t="n">
        <v>0</v>
      </c>
      <c r="L345" s="145" t="n">
        <v>1</v>
      </c>
      <c r="M345" s="127">
        <f>IF(OR(K345="",L345=""),"",IF(AND(L345&lt;0.05,OR(AND(J345="升高改善",K345&gt;0),AND(J345="降低改善",K345&lt;0))),"校正","不校正"))</f>
        <v/>
      </c>
      <c r="N345" s="118" t="inlineStr">
        <is>
          <t>Figure 2；PDF第13页/印刷274页；Isaac面板；真人成人；符号见原图图例</t>
        </is>
      </c>
    </row>
    <row r="346" ht="45" customHeight="1" s="111">
      <c r="A346" s="121" t="inlineStr">
        <is>
          <t>K521</t>
        </is>
      </c>
      <c r="B346" s="121" t="inlineStr">
        <is>
          <t>110-二次</t>
        </is>
      </c>
      <c r="C346" s="121" t="inlineStr">
        <is>
          <t>Isaac</t>
        </is>
      </c>
      <c r="D346" s="140" t="inlineStr">
        <is>
          <t>干预</t>
        </is>
      </c>
      <c r="E346" s="118" t="inlineStr">
        <is>
          <t>该示范者脚本的基线 vs 该示范者视频示范期</t>
        </is>
      </c>
      <c r="F346" s="136" t="inlineStr">
        <is>
          <t>0, 0, 0, 0</t>
        </is>
      </c>
      <c r="G346" s="127">
        <f>IF(F346="","",LEN(F346)-LEN(SUBSTITUTE(F346,",",""))+1)</f>
        <v/>
      </c>
      <c r="H346" s="136" t="inlineStr">
        <is>
          <t>4, 1, 1, 2, 2, 2, 0, 4, 1, 3, 4, 3</t>
        </is>
      </c>
      <c r="I346" s="127">
        <f>IF(H346="","",LEN(H346)-LEN(SUBSTITUTE(H346,",",""))+1)</f>
        <v/>
      </c>
      <c r="J346" s="144" t="inlineStr">
        <is>
          <t>升高改善</t>
        </is>
      </c>
      <c r="K346" s="145" t="n">
        <v>0</v>
      </c>
      <c r="L346" s="145" t="n">
        <v>1</v>
      </c>
      <c r="M346" s="127">
        <f>IF(OR(K346="",L346=""),"",IF(AND(L346&lt;0.05,OR(AND(J346="升高改善",K346&gt;0),AND(J346="降低改善",K346&lt;0))),"校正","不校正"))</f>
        <v/>
      </c>
      <c r="N346" s="118" t="inlineStr">
        <is>
          <t>Figure 2；PDF第13页/印刷274页；Isaac面板；转描动画；符号见原图图例</t>
        </is>
      </c>
    </row>
    <row r="347" ht="45" customHeight="1" s="111">
      <c r="A347" s="121" t="inlineStr">
        <is>
          <t>K522</t>
        </is>
      </c>
      <c r="B347" s="121" t="inlineStr">
        <is>
          <t>110-二次</t>
        </is>
      </c>
      <c r="C347" s="121" t="inlineStr">
        <is>
          <t>Mark</t>
        </is>
      </c>
      <c r="D347" s="140" t="inlineStr">
        <is>
          <t>干预</t>
        </is>
      </c>
      <c r="E347" s="118" t="inlineStr">
        <is>
          <t>该示范者脚本的基线 vs 该示范者视频示范期</t>
        </is>
      </c>
      <c r="F347" s="136" t="inlineStr">
        <is>
          <t>0, 0, 0, 0, 0, 0, 0, 0, 0, 0, 0, 0, 0, 0, 0, 0, 0</t>
        </is>
      </c>
      <c r="G347" s="127">
        <f>IF(F347="","",LEN(F347)-LEN(SUBSTITUTE(F347,",",""))+1)</f>
        <v/>
      </c>
      <c r="H347" s="136" t="inlineStr">
        <is>
          <t>2, 4, 5, 6, 6, 8</t>
        </is>
      </c>
      <c r="I347" s="127">
        <f>IF(H347="","",LEN(H347)-LEN(SUBSTITUTE(H347,",",""))+1)</f>
        <v/>
      </c>
      <c r="J347" s="144" t="inlineStr">
        <is>
          <t>升高改善</t>
        </is>
      </c>
      <c r="K347" s="145" t="n">
        <v>0</v>
      </c>
      <c r="L347" s="145" t="n">
        <v>1</v>
      </c>
      <c r="M347" s="127">
        <f>IF(OR(K347="",L347=""),"",IF(AND(L347&lt;0.05,OR(AND(J347="升高改善",K347&gt;0),AND(J347="降低改善",K347&lt;0))),"校正","不校正"))</f>
        <v/>
      </c>
      <c r="N347" s="118" t="inlineStr">
        <is>
          <t>Figure 2；PDF第13页/印刷274页；Mark面板；真人成人；符号见原图图例</t>
        </is>
      </c>
    </row>
    <row r="348" ht="45" customHeight="1" s="111">
      <c r="A348" s="121" t="inlineStr">
        <is>
          <t>K523</t>
        </is>
      </c>
      <c r="B348" s="121" t="inlineStr">
        <is>
          <t>110-二次</t>
        </is>
      </c>
      <c r="C348" s="121" t="inlineStr">
        <is>
          <t>Mark</t>
        </is>
      </c>
      <c r="D348" s="140" t="inlineStr">
        <is>
          <t>干预</t>
        </is>
      </c>
      <c r="E348" s="118" t="inlineStr">
        <is>
          <t>该示范者脚本的基线 vs 该示范者视频示范期</t>
        </is>
      </c>
      <c r="F348" s="136" t="inlineStr">
        <is>
          <t>0, 0, 0, 0, 0, 0, 0, 0, 0</t>
        </is>
      </c>
      <c r="G348" s="127">
        <f>IF(F348="","",LEN(F348)-LEN(SUBSTITUTE(F348,",",""))+1)</f>
        <v/>
      </c>
      <c r="H348" s="136" t="inlineStr">
        <is>
          <t>2, 3, 3, 3, 3, 6, 9</t>
        </is>
      </c>
      <c r="I348" s="127">
        <f>IF(H348="","",LEN(H348)-LEN(SUBSTITUTE(H348,",",""))+1)</f>
        <v/>
      </c>
      <c r="J348" s="144" t="inlineStr">
        <is>
          <t>升高改善</t>
        </is>
      </c>
      <c r="K348" s="145" t="n">
        <v>0</v>
      </c>
      <c r="L348" s="145" t="n">
        <v>1</v>
      </c>
      <c r="M348" s="127">
        <f>IF(OR(K348="",L348=""),"",IF(AND(L348&lt;0.05,OR(AND(J348="升高改善",K348&gt;0),AND(J348="降低改善",K348&lt;0))),"校正","不校正"))</f>
        <v/>
      </c>
      <c r="N348" s="118" t="inlineStr">
        <is>
          <t>Figure 2；PDF第13页/印刷274页；Mark面板；转描动画；符号见原图图例</t>
        </is>
      </c>
    </row>
    <row r="349" ht="45" customHeight="1" s="111">
      <c r="A349" s="121" t="inlineStr">
        <is>
          <t>K524</t>
        </is>
      </c>
      <c r="B349" s="121" t="inlineStr">
        <is>
          <t>110-二次</t>
        </is>
      </c>
      <c r="C349" s="121" t="inlineStr">
        <is>
          <t>Anesha</t>
        </is>
      </c>
      <c r="D349" s="140" t="inlineStr">
        <is>
          <t>干预</t>
        </is>
      </c>
      <c r="E349" s="118" t="inlineStr">
        <is>
          <t>该示范者脚本的基线 vs 该示范者视频示范期</t>
        </is>
      </c>
      <c r="F349" s="136" t="inlineStr">
        <is>
          <t>0, 0, 0, 0, 0, 0, 0, 0, 0, 0, 0, 0, 0, 0, 0, 0, 0, 0, 0, 0, 0, 0</t>
        </is>
      </c>
      <c r="G349" s="127">
        <f>IF(F349="","",LEN(F349)-LEN(SUBSTITUTE(F349,",",""))+1)</f>
        <v/>
      </c>
      <c r="H349" s="136" t="inlineStr">
        <is>
          <t>1, 0, 0, 0, 0, 0, 0, 0, 0, 0</t>
        </is>
      </c>
      <c r="I349" s="127">
        <f>IF(H349="","",LEN(H349)-LEN(SUBSTITUTE(H349,",",""))+1)</f>
        <v/>
      </c>
      <c r="J349" s="144" t="inlineStr">
        <is>
          <t>升高改善</t>
        </is>
      </c>
      <c r="K349" s="145" t="n">
        <v>0</v>
      </c>
      <c r="L349" s="145" t="n">
        <v>1</v>
      </c>
      <c r="M349" s="127">
        <f>IF(OR(K349="",L349=""),"",IF(AND(L349&lt;0.05,OR(AND(J349="升高改善",K349&gt;0),AND(J349="降低改善",K349&lt;0))),"校正","不校正"))</f>
        <v/>
      </c>
      <c r="N349" s="118" t="inlineStr">
        <is>
          <t>Figure 2；PDF第13页/印刷274页；Anesha面板；真人成人；符号见原图图例</t>
        </is>
      </c>
    </row>
    <row r="350" ht="45" customHeight="1" s="111">
      <c r="A350" s="121" t="inlineStr">
        <is>
          <t>K525</t>
        </is>
      </c>
      <c r="B350" s="121" t="inlineStr">
        <is>
          <t>110-二次</t>
        </is>
      </c>
      <c r="C350" s="121" t="inlineStr">
        <is>
          <t>Anesha</t>
        </is>
      </c>
      <c r="D350" s="140" t="inlineStr">
        <is>
          <t>干预</t>
        </is>
      </c>
      <c r="E350" s="118" t="inlineStr">
        <is>
          <t>该示范者脚本的基线 vs 该示范者视频示范期</t>
        </is>
      </c>
      <c r="F350" s="136" t="inlineStr">
        <is>
          <t>0, 0, 0, 0, 0, 0, 0, 0, 0, 0, 0, 0</t>
        </is>
      </c>
      <c r="G350" s="127">
        <f>IF(F350="","",LEN(F350)-LEN(SUBSTITUTE(F350,",",""))+1)</f>
        <v/>
      </c>
      <c r="H350" s="136" t="inlineStr">
        <is>
          <t>0, 0, 2, 0, 0, 0, 0, 1, 0, 2</t>
        </is>
      </c>
      <c r="I350" s="127">
        <f>IF(H350="","",LEN(H350)-LEN(SUBSTITUTE(H350,",",""))+1)</f>
        <v/>
      </c>
      <c r="J350" s="144" t="inlineStr">
        <is>
          <t>升高改善</t>
        </is>
      </c>
      <c r="K350" s="145" t="n">
        <v>0</v>
      </c>
      <c r="L350" s="145" t="n">
        <v>1</v>
      </c>
      <c r="M350" s="127">
        <f>IF(OR(K350="",L350=""),"",IF(AND(L350&lt;0.05,OR(AND(J350="升高改善",K350&gt;0),AND(J350="降低改善",K350&lt;0))),"校正","不校正"))</f>
        <v/>
      </c>
      <c r="N350" s="118" t="inlineStr">
        <is>
          <t>Figure 2；PDF第13页/印刷274页；Anesha面板；转描动画；符号见原图图例</t>
        </is>
      </c>
    </row>
    <row r="351" ht="45" customHeight="1" s="111">
      <c r="A351" s="121" t="inlineStr">
        <is>
          <t>K526</t>
        </is>
      </c>
      <c r="B351" s="121" t="inlineStr">
        <is>
          <t>110-二次</t>
        </is>
      </c>
      <c r="C351" s="121" t="inlineStr">
        <is>
          <t>Maria</t>
        </is>
      </c>
      <c r="D351" s="140" t="inlineStr">
        <is>
          <t>干预</t>
        </is>
      </c>
      <c r="E351" s="118" t="inlineStr">
        <is>
          <t>该示范者脚本的基线 vs 该示范者视频示范期</t>
        </is>
      </c>
      <c r="F351" s="136" t="inlineStr">
        <is>
          <t>0, 0, 0, 0, 0, 0, 0, 0, 0, 0, 0, 0, 0, 0, 0, 0, 0, 0, 0, 0, 0, 0, 0, 0, 0, 0</t>
        </is>
      </c>
      <c r="G351" s="127">
        <f>IF(F351="","",LEN(F351)-LEN(SUBSTITUTE(F351,",",""))+1)</f>
        <v/>
      </c>
      <c r="H351" s="136" t="inlineStr">
        <is>
          <t>0, 2, 1, 5, 3, 4, 3, 3, 4, 3</t>
        </is>
      </c>
      <c r="I351" s="127">
        <f>IF(H351="","",LEN(H351)-LEN(SUBSTITUTE(H351,",",""))+1)</f>
        <v/>
      </c>
      <c r="J351" s="144" t="inlineStr">
        <is>
          <t>升高改善</t>
        </is>
      </c>
      <c r="K351" s="145" t="n">
        <v>0</v>
      </c>
      <c r="L351" s="145" t="n">
        <v>1</v>
      </c>
      <c r="M351" s="127">
        <f>IF(OR(K351="",L351=""),"",IF(AND(L351&lt;0.05,OR(AND(J351="升高改善",K351&gt;0),AND(J351="降低改善",K351&lt;0))),"校正","不校正"))</f>
        <v/>
      </c>
      <c r="N351" s="118" t="inlineStr">
        <is>
          <t>Figure 2；PDF第13页/印刷274页；Maria面板；真人成人；符号见原图图例</t>
        </is>
      </c>
    </row>
    <row r="352" ht="45" customHeight="1" s="111">
      <c r="A352" s="121" t="inlineStr">
        <is>
          <t>K527</t>
        </is>
      </c>
      <c r="B352" s="121" t="inlineStr">
        <is>
          <t>110-二次</t>
        </is>
      </c>
      <c r="C352" s="121" t="inlineStr">
        <is>
          <t>Maria</t>
        </is>
      </c>
      <c r="D352" s="140" t="inlineStr">
        <is>
          <t>干预</t>
        </is>
      </c>
      <c r="E352" s="118" t="inlineStr">
        <is>
          <t>该示范者脚本的基线 vs 该示范者视频示范期</t>
        </is>
      </c>
      <c r="F352" s="136" t="inlineStr">
        <is>
          <t>0, 0, 0, 0, 0, 0, 0, 0, 0, 0, 0, 0, 0, 0, 0, 0</t>
        </is>
      </c>
      <c r="G352" s="127">
        <f>IF(F352="","",LEN(F352)-LEN(SUBSTITUTE(F352,",",""))+1)</f>
        <v/>
      </c>
      <c r="H352" s="136" t="inlineStr">
        <is>
          <t>0, 0, 0, 0, 0, 0, 0, 0, 0, 0</t>
        </is>
      </c>
      <c r="I352" s="127">
        <f>IF(H352="","",LEN(H352)-LEN(SUBSTITUTE(H352,",",""))+1)</f>
        <v/>
      </c>
      <c r="J352" s="144" t="inlineStr">
        <is>
          <t>升高改善</t>
        </is>
      </c>
      <c r="K352" s="145" t="n">
        <v>0</v>
      </c>
      <c r="L352" s="145" t="n">
        <v>1</v>
      </c>
      <c r="M352" s="127">
        <f>IF(OR(K352="",L352=""),"",IF(AND(L352&lt;0.05,OR(AND(J352="升高改善",K352&gt;0),AND(J352="降低改善",K352&lt;0))),"校正","不校正"))</f>
        <v/>
      </c>
      <c r="N352" s="118" t="inlineStr">
        <is>
          <t>Figure 2；PDF第13页/印刷274页；Maria面板；转描动画；符号见原图图例</t>
        </is>
      </c>
    </row>
    <row r="353" ht="45" customHeight="1" s="111">
      <c r="A353" s="121" t="inlineStr">
        <is>
          <t>K528</t>
        </is>
      </c>
      <c r="B353" s="121" t="inlineStr">
        <is>
          <t>110-二次</t>
        </is>
      </c>
      <c r="C353" s="121" t="inlineStr">
        <is>
          <t>Ray</t>
        </is>
      </c>
      <c r="D353" s="140" t="inlineStr">
        <is>
          <t>干预</t>
        </is>
      </c>
      <c r="E353" s="118" t="inlineStr">
        <is>
          <t>该示范者脚本的基线 vs 该示范者视频示范期</t>
        </is>
      </c>
      <c r="F353" s="136" t="inlineStr">
        <is>
          <t>0, 0, 0, 0, 0</t>
        </is>
      </c>
      <c r="G353" s="127">
        <f>IF(F353="","",LEN(F353)-LEN(SUBSTITUTE(F353,",",""))+1)</f>
        <v/>
      </c>
      <c r="H353" s="136" t="inlineStr">
        <is>
          <t>3, 6, 5, 6, 6, 5, 6, 3, 3, 4, 1, 3, 3, 5, 0, 6, 6, 6</t>
        </is>
      </c>
      <c r="I353" s="127">
        <f>IF(H353="","",LEN(H353)-LEN(SUBSTITUTE(H353,",",""))+1)</f>
        <v/>
      </c>
      <c r="J353" s="144" t="inlineStr">
        <is>
          <t>升高改善</t>
        </is>
      </c>
      <c r="K353" s="145" t="n">
        <v>0</v>
      </c>
      <c r="L353" s="145" t="n">
        <v>1</v>
      </c>
      <c r="M353" s="127">
        <f>IF(OR(K353="",L353=""),"",IF(AND(L353&lt;0.05,OR(AND(J353="升高改善",K353&gt;0),AND(J353="降低改善",K353&lt;0))),"校正","不校正"))</f>
        <v/>
      </c>
      <c r="N353" s="118" t="inlineStr">
        <is>
          <t>Figure 3；PDF第14页/印刷275页；Ray面板；真人成人；符号见原图图例</t>
        </is>
      </c>
    </row>
    <row r="354" ht="45" customHeight="1" s="111">
      <c r="A354" s="121" t="inlineStr">
        <is>
          <t>K529</t>
        </is>
      </c>
      <c r="B354" s="121" t="inlineStr">
        <is>
          <t>110-二次</t>
        </is>
      </c>
      <c r="C354" s="121" t="inlineStr">
        <is>
          <t>Ray</t>
        </is>
      </c>
      <c r="D354" s="140" t="inlineStr">
        <is>
          <t>干预</t>
        </is>
      </c>
      <c r="E354" s="118" t="inlineStr">
        <is>
          <t>该示范者脚本的基线 vs 该示范者视频示范期</t>
        </is>
      </c>
      <c r="F354" s="136" t="inlineStr">
        <is>
          <t>0, 0, 0, 0, 0, 0, 0, 0, 0, 0, 0, 0, 0, 0, 0, 0, 0, 0, 0, 0, 0, 0, 0</t>
        </is>
      </c>
      <c r="G354" s="127">
        <f>IF(F354="","",LEN(F354)-LEN(SUBSTITUTE(F354,",",""))+1)</f>
        <v/>
      </c>
      <c r="H354" s="136" t="inlineStr">
        <is>
          <t>0, 0, 0, 0, 4, 4, 4, 7, 7, 6</t>
        </is>
      </c>
      <c r="I354" s="127">
        <f>IF(H354="","",LEN(H354)-LEN(SUBSTITUTE(H354,",",""))+1)</f>
        <v/>
      </c>
      <c r="J354" s="144" t="inlineStr">
        <is>
          <t>升高改善</t>
        </is>
      </c>
      <c r="K354" s="145" t="n">
        <v>0</v>
      </c>
      <c r="L354" s="145" t="n">
        <v>1</v>
      </c>
      <c r="M354" s="127">
        <f>IF(OR(K354="",L354=""),"",IF(AND(L354&lt;0.05,OR(AND(J354="升高改善",K354&gt;0),AND(J354="降低改善",K354&lt;0))),"校正","不校正"))</f>
        <v/>
      </c>
      <c r="N354" s="118" t="inlineStr">
        <is>
          <t>Figure 3；PDF第14页/印刷275页；Ray面板；转描动画；符号见原图图例</t>
        </is>
      </c>
    </row>
    <row r="355" ht="45" customHeight="1" s="111">
      <c r="A355" s="121" t="inlineStr">
        <is>
          <t>K530</t>
        </is>
      </c>
      <c r="B355" s="121" t="inlineStr">
        <is>
          <t>110-二次</t>
        </is>
      </c>
      <c r="C355" s="121" t="inlineStr">
        <is>
          <t>Kadeem</t>
        </is>
      </c>
      <c r="D355" s="140" t="inlineStr">
        <is>
          <t>干预</t>
        </is>
      </c>
      <c r="E355" s="118" t="inlineStr">
        <is>
          <t>该示范者脚本的基线 vs 该示范者视频示范期</t>
        </is>
      </c>
      <c r="F355" s="136" t="inlineStr">
        <is>
          <t>0, 0, 0, 0, 0, 0, 0</t>
        </is>
      </c>
      <c r="G355" s="127">
        <f>IF(F355="","",LEN(F355)-LEN(SUBSTITUTE(F355,",",""))+1)</f>
        <v/>
      </c>
      <c r="H355" s="136" t="inlineStr">
        <is>
          <t>2, 7, 6, 6</t>
        </is>
      </c>
      <c r="I355" s="127">
        <f>IF(H355="","",LEN(H355)-LEN(SUBSTITUTE(H355,",",""))+1)</f>
        <v/>
      </c>
      <c r="J355" s="144" t="inlineStr">
        <is>
          <t>升高改善</t>
        </is>
      </c>
      <c r="K355" s="145" t="n">
        <v>0</v>
      </c>
      <c r="L355" s="145" t="n">
        <v>1</v>
      </c>
      <c r="M355" s="127">
        <f>IF(OR(K355="",L355=""),"",IF(AND(L355&lt;0.05,OR(AND(J355="升高改善",K355&gt;0),AND(J355="降低改善",K355&lt;0))),"校正","不校正"))</f>
        <v/>
      </c>
      <c r="N355" s="118" t="inlineStr">
        <is>
          <t>Figure 3；PDF第14页/印刷275页；Kadeem面板；真人成人；符号见原图图例</t>
        </is>
      </c>
    </row>
    <row r="356" ht="45" customHeight="1" s="111">
      <c r="A356" s="121" t="inlineStr">
        <is>
          <t>K531</t>
        </is>
      </c>
      <c r="B356" s="121" t="inlineStr">
        <is>
          <t>110-二次</t>
        </is>
      </c>
      <c r="C356" s="121" t="inlineStr">
        <is>
          <t>Kadeem</t>
        </is>
      </c>
      <c r="D356" s="140" t="inlineStr">
        <is>
          <t>干预</t>
        </is>
      </c>
      <c r="E356" s="118" t="inlineStr">
        <is>
          <t>该示范者脚本的基线 vs 该示范者视频示范期</t>
        </is>
      </c>
      <c r="F356" s="136" t="inlineStr">
        <is>
          <t>0, 0, 0, 0, 0, 0, 0, 0, 0, 0, 0, 0</t>
        </is>
      </c>
      <c r="G356" s="127">
        <f>IF(F356="","",LEN(F356)-LEN(SUBSTITUTE(F356,",",""))+1)</f>
        <v/>
      </c>
      <c r="H356" s="136" t="inlineStr">
        <is>
          <t>7, 4, 7, 8, 8</t>
        </is>
      </c>
      <c r="I356" s="127">
        <f>IF(H356="","",LEN(H356)-LEN(SUBSTITUTE(H356,",",""))+1)</f>
        <v/>
      </c>
      <c r="J356" s="144" t="inlineStr">
        <is>
          <t>升高改善</t>
        </is>
      </c>
      <c r="K356" s="145" t="n">
        <v>0</v>
      </c>
      <c r="L356" s="145" t="n">
        <v>1</v>
      </c>
      <c r="M356" s="127">
        <f>IF(OR(K356="",L356=""),"",IF(AND(L356&lt;0.05,OR(AND(J356="升高改善",K356&gt;0),AND(J356="降低改善",K356&lt;0))),"校正","不校正"))</f>
        <v/>
      </c>
      <c r="N356" s="118" t="inlineStr">
        <is>
          <t>Figure 3；PDF第14页/印刷275页；Kadeem面板；转描动画；符号见原图图例</t>
        </is>
      </c>
    </row>
    <row r="357" ht="45" customHeight="1" s="111">
      <c r="A357" s="121" t="inlineStr">
        <is>
          <t>K532</t>
        </is>
      </c>
      <c r="B357" s="121" t="inlineStr">
        <is>
          <t>110-二次</t>
        </is>
      </c>
      <c r="C357" s="121" t="inlineStr">
        <is>
          <t>Leon</t>
        </is>
      </c>
      <c r="D357" s="140" t="inlineStr">
        <is>
          <t>干预</t>
        </is>
      </c>
      <c r="E357" s="118" t="inlineStr">
        <is>
          <t>该示范者脚本的基线 vs 该示范者视频示范期</t>
        </is>
      </c>
      <c r="F357" s="136" t="inlineStr">
        <is>
          <t>0, 0, 0, 0, 0, 0, 0, 0, 0, 0, 0</t>
        </is>
      </c>
      <c r="G357" s="127">
        <f>IF(F357="","",LEN(F357)-LEN(SUBSTITUTE(F357,",",""))+1)</f>
        <v/>
      </c>
      <c r="H357" s="136" t="inlineStr">
        <is>
          <t>0, 0, 0, 0, 0, 0, 0, 0, 0, 0</t>
        </is>
      </c>
      <c r="I357" s="127">
        <f>IF(H357="","",LEN(H357)-LEN(SUBSTITUTE(H357,",",""))+1)</f>
        <v/>
      </c>
      <c r="J357" s="144" t="inlineStr">
        <is>
          <t>升高改善</t>
        </is>
      </c>
      <c r="K357" s="145" t="n">
        <v>0</v>
      </c>
      <c r="L357" s="145" t="n">
        <v>1</v>
      </c>
      <c r="M357" s="127">
        <f>IF(OR(K357="",L357=""),"",IF(AND(L357&lt;0.05,OR(AND(J357="升高改善",K357&gt;0),AND(J357="降低改善",K357&lt;0))),"校正","不校正"))</f>
        <v/>
      </c>
      <c r="N357" s="118" t="inlineStr">
        <is>
          <t>Figure 3；PDF第14页/印刷275页；Leon面板；真人成人；符号见原图图例</t>
        </is>
      </c>
    </row>
    <row r="358" ht="45" customHeight="1" s="111">
      <c r="A358" s="121" t="inlineStr">
        <is>
          <t>K533</t>
        </is>
      </c>
      <c r="B358" s="121" t="inlineStr">
        <is>
          <t>110-二次</t>
        </is>
      </c>
      <c r="C358" s="121" t="inlineStr">
        <is>
          <t>Leon</t>
        </is>
      </c>
      <c r="D358" s="140" t="inlineStr">
        <is>
          <t>干预</t>
        </is>
      </c>
      <c r="E358" s="118" t="inlineStr">
        <is>
          <t>该示范者脚本的基线 vs 该示范者视频示范期</t>
        </is>
      </c>
      <c r="F358" s="136" t="inlineStr">
        <is>
          <t>0, 0, 0, 0, 0, 0, 0, 0, 0, 0, 0, 0, 0, 0, 0, 0, 0, 0, 0, 0, 0</t>
        </is>
      </c>
      <c r="G358" s="127">
        <f>IF(F358="","",LEN(F358)-LEN(SUBSTITUTE(F358,",",""))+1)</f>
        <v/>
      </c>
      <c r="H358" s="136" t="inlineStr">
        <is>
          <t>0, 0, 0, 0, 3, 3, 1, 7, 2, 6, 5, 8, 8, 7</t>
        </is>
      </c>
      <c r="I358" s="127">
        <f>IF(H358="","",LEN(H358)-LEN(SUBSTITUTE(H358,",",""))+1)</f>
        <v/>
      </c>
      <c r="J358" s="144" t="inlineStr">
        <is>
          <t>升高改善</t>
        </is>
      </c>
      <c r="K358" s="145" t="n">
        <v>0</v>
      </c>
      <c r="L358" s="145" t="n">
        <v>1</v>
      </c>
      <c r="M358" s="127">
        <f>IF(OR(K358="",L358=""),"",IF(AND(L358&lt;0.05,OR(AND(J358="升高改善",K358&gt;0),AND(J358="降低改善",K358&lt;0))),"校正","不校正"))</f>
        <v/>
      </c>
      <c r="N358" s="118" t="inlineStr">
        <is>
          <t>Figure 3；PDF第14页/印刷275页；Leon面板；转描动画；符号见原图图例</t>
        </is>
      </c>
    </row>
    <row r="359" ht="45" customHeight="1" s="111">
      <c r="A359" s="121" t="inlineStr">
        <is>
          <t>K534</t>
        </is>
      </c>
      <c r="B359" s="121" t="inlineStr">
        <is>
          <t>110-二次</t>
        </is>
      </c>
      <c r="C359" s="121" t="inlineStr">
        <is>
          <t>Gavin</t>
        </is>
      </c>
      <c r="D359" s="140" t="inlineStr">
        <is>
          <t>干预</t>
        </is>
      </c>
      <c r="E359" s="118" t="inlineStr">
        <is>
          <t>该示范者脚本的基线 vs 该示范者视频示范期</t>
        </is>
      </c>
      <c r="F359" s="136" t="inlineStr">
        <is>
          <t>0, 0, 0, 0, 0, 0, 0, 0, 0, 0, 0, 0, 0, 0, 0</t>
        </is>
      </c>
      <c r="G359" s="127">
        <f>IF(F359="","",LEN(F359)-LEN(SUBSTITUTE(F359,",",""))+1)</f>
        <v/>
      </c>
      <c r="H359" s="136" t="inlineStr">
        <is>
          <t>0, 0, 0, 0, 0, 0, 1, 0, 0, 0</t>
        </is>
      </c>
      <c r="I359" s="127">
        <f>IF(H359="","",LEN(H359)-LEN(SUBSTITUTE(H359,",",""))+1)</f>
        <v/>
      </c>
      <c r="J359" s="144" t="inlineStr">
        <is>
          <t>升高改善</t>
        </is>
      </c>
      <c r="K359" s="145" t="n">
        <v>0</v>
      </c>
      <c r="L359" s="145" t="n">
        <v>1</v>
      </c>
      <c r="M359" s="127">
        <f>IF(OR(K359="",L359=""),"",IF(AND(L359&lt;0.05,OR(AND(J359="升高改善",K359&gt;0),AND(J359="降低改善",K359&lt;0))),"校正","不校正"))</f>
        <v/>
      </c>
      <c r="N359" s="118" t="inlineStr">
        <is>
          <t>Figure 3；PDF第14页/印刷275页；Gavin面板；真人成人；符号见原图图例</t>
        </is>
      </c>
    </row>
    <row r="360" ht="45" customHeight="1" s="111">
      <c r="A360" s="121" t="inlineStr">
        <is>
          <t>K535</t>
        </is>
      </c>
      <c r="B360" s="121" t="inlineStr">
        <is>
          <t>110-二次</t>
        </is>
      </c>
      <c r="C360" s="121" t="inlineStr">
        <is>
          <t>Gavin</t>
        </is>
      </c>
      <c r="D360" s="140" t="inlineStr">
        <is>
          <t>干预</t>
        </is>
      </c>
      <c r="E360" s="118" t="inlineStr">
        <is>
          <t>该示范者脚本的基线 vs 该示范者视频示范期</t>
        </is>
      </c>
      <c r="F360" s="136" t="inlineStr">
        <is>
          <t>0, 0, 0, 0, 0, 0, 0, 0, 0, 0, 0, 0, 0, 0, 0, 0, 0, 0, 0, 0, 0, 0, 0, 0, 0</t>
        </is>
      </c>
      <c r="G360" s="127">
        <f>IF(F360="","",LEN(F360)-LEN(SUBSTITUTE(F360,",",""))+1)</f>
        <v/>
      </c>
      <c r="H360" s="136" t="inlineStr">
        <is>
          <t>0, 0, 0, 0, 0, 0, 0, 0, 0, 0</t>
        </is>
      </c>
      <c r="I360" s="127">
        <f>IF(H360="","",LEN(H360)-LEN(SUBSTITUTE(H360,",",""))+1)</f>
        <v/>
      </c>
      <c r="J360" s="144" t="inlineStr">
        <is>
          <t>升高改善</t>
        </is>
      </c>
      <c r="K360" s="145" t="n">
        <v>0</v>
      </c>
      <c r="L360" s="145" t="n">
        <v>1</v>
      </c>
      <c r="M360" s="127">
        <f>IF(OR(K360="",L360=""),"",IF(AND(L360&lt;0.05,OR(AND(J360="升高改善",K360&gt;0),AND(J360="降低改善",K360&lt;0))),"校正","不校正"))</f>
        <v/>
      </c>
      <c r="N360" s="118" t="inlineStr">
        <is>
          <t>Figure 3；PDF第14页/印刷275页；Gavin面板；转描动画；符号见原图图例</t>
        </is>
      </c>
    </row>
    <row r="361" ht="45" customHeight="1" s="111">
      <c r="A361" s="121" t="inlineStr">
        <is>
          <t>K536</t>
        </is>
      </c>
      <c r="B361" s="121" t="inlineStr">
        <is>
          <t>059-二次</t>
        </is>
      </c>
      <c r="C361" s="121" t="inlineStr">
        <is>
          <t>Eleni</t>
        </is>
      </c>
      <c r="D361" s="140" t="inlineStr">
        <is>
          <t>干预</t>
        </is>
      </c>
      <c r="E361" s="118" t="inlineStr">
        <is>
          <t>Baseline II vs Video Modeling（训练试次，实心点）</t>
        </is>
      </c>
      <c r="F361" s="136" t="inlineStr">
        <is>
          <t>70, 70, 50, 40, 10, 20, 10</t>
        </is>
      </c>
      <c r="G361" s="127">
        <f>IF(F361="","",LEN(F361)-LEN(SUBSTITUTE(F361,",",""))+1)</f>
        <v/>
      </c>
      <c r="H361" s="136" t="inlineStr">
        <is>
          <t>60, 70, 90, 70, 100, 50, 90, 90, 100, 100, 100</t>
        </is>
      </c>
      <c r="I361" s="127">
        <f>IF(H361="","",LEN(H361)-LEN(SUBSTITUTE(H361,",",""))+1)</f>
        <v/>
      </c>
      <c r="J361" s="144" t="inlineStr">
        <is>
          <t>升高改善</t>
        </is>
      </c>
      <c r="K361" s="145" t="n">
        <v>-0.851</v>
      </c>
      <c r="L361" s="145" t="n">
        <v>0.008999999999999999</v>
      </c>
      <c r="M361" s="127">
        <f>IF(OR(K361="",L361=""),"",IF(AND(L361&lt;0.05,OR(AND(J361="升高改善",K361&gt;0),AND(J361="降低改善",K361&lt;0))),"校正","不校正"))</f>
        <v/>
      </c>
      <c r="N361" s="118" t="inlineStr">
        <is>
          <t>Fig. 1，PDF第8页/印刷552页，Eleni面板（上）；实心点＝训练试次，空心圆＝探测试次</t>
        </is>
      </c>
    </row>
    <row r="362" ht="45" customHeight="1" s="111">
      <c r="A362" s="121" t="inlineStr">
        <is>
          <t>K537</t>
        </is>
      </c>
      <c r="B362" s="121" t="inlineStr">
        <is>
          <t>059-二次</t>
        </is>
      </c>
      <c r="C362" s="121" t="inlineStr">
        <is>
          <t>Billy</t>
        </is>
      </c>
      <c r="D362" s="140" t="inlineStr">
        <is>
          <t>干预</t>
        </is>
      </c>
      <c r="E362" s="118" t="inlineStr">
        <is>
          <t>Baseline I vs Video Modeling（训练试次，实心点）</t>
        </is>
      </c>
      <c r="F362" s="136" t="inlineStr">
        <is>
          <t>0, 0, 10, 0, 0, 0, 0, 0, 0, 0</t>
        </is>
      </c>
      <c r="G362" s="127">
        <f>IF(F362="","",LEN(F362)-LEN(SUBSTITUTE(F362,",",""))+1)</f>
        <v/>
      </c>
      <c r="H362" s="136" t="inlineStr">
        <is>
          <t>0, 0, 0, 10, 10, 30, 80, 60, 50, 60, 90</t>
        </is>
      </c>
      <c r="I362" s="127">
        <f>IF(H362="","",LEN(H362)-LEN(SUBSTITUTE(H362,",",""))+1)</f>
        <v/>
      </c>
      <c r="J362" s="144" t="inlineStr">
        <is>
          <t>升高改善</t>
        </is>
      </c>
      <c r="K362" s="145" t="n">
        <v>-0.248</v>
      </c>
      <c r="L362" s="145" t="n">
        <v>0.384</v>
      </c>
      <c r="M362" s="127">
        <f>IF(OR(K362="",L362=""),"",IF(AND(L362&lt;0.05,OR(AND(J362="升高改善",K362&gt;0),AND(J362="降低改善",K362&lt;0))),"校正","不校正"))</f>
        <v/>
      </c>
      <c r="N362" s="118" t="inlineStr">
        <is>
          <t>Fig. 1，PDF第8页/印刷552页，Billy面板（中）；实心点＝训练试次，空心圆＝探测试次</t>
        </is>
      </c>
    </row>
    <row r="363" ht="45" customHeight="1" s="111">
      <c r="A363" s="121" t="inlineStr">
        <is>
          <t>K538</t>
        </is>
      </c>
      <c r="B363" s="121" t="inlineStr">
        <is>
          <t>059-二次</t>
        </is>
      </c>
      <c r="C363" s="121" t="inlineStr">
        <is>
          <t>Mike</t>
        </is>
      </c>
      <c r="D363" s="140" t="inlineStr">
        <is>
          <t>干预</t>
        </is>
      </c>
      <c r="E363" s="118" t="inlineStr">
        <is>
          <t>Baseline II vs Video Modeling（训练试次，实心点）</t>
        </is>
      </c>
      <c r="F363" s="136" t="inlineStr">
        <is>
          <t>50, 60, 80, 70, 60, 80, 70, 60, 20, 60, 20, 20, 10, 20</t>
        </is>
      </c>
      <c r="G363" s="127">
        <f>IF(F363="","",LEN(F363)-LEN(SUBSTITUTE(F363,",",""))+1)</f>
        <v/>
      </c>
      <c r="H363" s="136" t="inlineStr">
        <is>
          <t>60, 70, 50, 50, 50, 80, 90</t>
        </is>
      </c>
      <c r="I363" s="127">
        <f>IF(H363="","",LEN(H363)-LEN(SUBSTITUTE(H363,",",""))+1)</f>
        <v/>
      </c>
      <c r="J363" s="144" t="inlineStr">
        <is>
          <t>升高改善</t>
        </is>
      </c>
      <c r="K363" s="145" t="n">
        <v>-0.514</v>
      </c>
      <c r="L363" s="145" t="n">
        <v>0.015</v>
      </c>
      <c r="M363" s="127">
        <f>IF(OR(K363="",L363=""),"",IF(AND(L363&lt;0.05,OR(AND(J363="升高改善",K363&gt;0),AND(J363="降低改善",K363&lt;0))),"校正","不校正"))</f>
        <v/>
      </c>
      <c r="N363" s="118" t="inlineStr">
        <is>
          <t>Fig. 1，PDF第8页/印刷552页，Mike面板（下）；实心点＝训练试次，空心圆＝探测试次</t>
        </is>
      </c>
    </row>
    <row r="364" ht="45" customHeight="1" s="111">
      <c r="A364" s="121" t="inlineStr">
        <is>
          <t>K539</t>
        </is>
      </c>
      <c r="B364" s="121" t="inlineStr">
        <is>
          <t>059-二次</t>
        </is>
      </c>
      <c r="C364" s="121" t="inlineStr">
        <is>
          <t>Eleni</t>
        </is>
      </c>
      <c r="D364" s="140" t="inlineStr">
        <is>
          <t>泛化</t>
        </is>
      </c>
      <c r="E364" s="118" t="inlineStr">
        <is>
          <t>Baseline II vs Video Modeling（探测试次＝未训练情境，空心圆）</t>
        </is>
      </c>
      <c r="F364" s="136" t="inlineStr">
        <is>
          <t>75, 0, 50, 25, 0, 25, 0</t>
        </is>
      </c>
      <c r="G364" s="127">
        <f>IF(F364="","",LEN(F364)-LEN(SUBSTITUTE(F364,",",""))+1)</f>
        <v/>
      </c>
      <c r="H364" s="136" t="inlineStr">
        <is>
          <t>50, 75, 75, 50, 100, 75, 75, 100, 75, 100, 100</t>
        </is>
      </c>
      <c r="I364" s="127">
        <f>IF(H364="","",LEN(H364)-LEN(SUBSTITUTE(H364,",",""))+1)</f>
        <v/>
      </c>
      <c r="J364" s="144" t="inlineStr">
        <is>
          <t>升高改善</t>
        </is>
      </c>
      <c r="K364" s="145" t="n">
        <v>-0.476</v>
      </c>
      <c r="L364" s="145" t="n">
        <v>0.153</v>
      </c>
      <c r="M364" s="127">
        <f>IF(OR(K364="",L364=""),"",IF(AND(L364&lt;0.05,OR(AND(J364="升高改善",K364&gt;0),AND(J364="降低改善",K364&lt;0))),"校正","不校正"))</f>
        <v/>
      </c>
      <c r="N364" s="118" t="inlineStr">
        <is>
          <t>Fig. 1，PDF第8页/印刷552页，Eleni面板（上）；实心点＝训练试次，空心圆＝探测试次</t>
        </is>
      </c>
    </row>
    <row r="365" ht="45" customHeight="1" s="111">
      <c r="A365" s="121" t="inlineStr">
        <is>
          <t>K540</t>
        </is>
      </c>
      <c r="B365" s="121" t="inlineStr">
        <is>
          <t>059-二次</t>
        </is>
      </c>
      <c r="C365" s="121" t="inlineStr">
        <is>
          <t>Billy</t>
        </is>
      </c>
      <c r="D365" s="140" t="inlineStr">
        <is>
          <t>泛化</t>
        </is>
      </c>
      <c r="E365" s="118" t="inlineStr">
        <is>
          <t>Baseline I vs Video Modeling（探测试次＝未训练情境，空心圆）</t>
        </is>
      </c>
      <c r="F365" s="136" t="inlineStr">
        <is>
          <t>0, 0, 10, 0, 0, 0, 0, 0, 0, 0</t>
        </is>
      </c>
      <c r="G365" s="127">
        <f>IF(F365="","",LEN(F365)-LEN(SUBSTITUTE(F365,",",""))+1)</f>
        <v/>
      </c>
      <c r="H365" s="136" t="inlineStr">
        <is>
          <t>0, 0, 0, 0, 25, 0, 100, 75, 75, 75, 100</t>
        </is>
      </c>
      <c r="I365" s="127">
        <f>IF(H365="","",LEN(H365)-LEN(SUBSTITUTE(H365,",",""))+1)</f>
        <v/>
      </c>
      <c r="J365" s="144" t="inlineStr">
        <is>
          <t>升高改善</t>
        </is>
      </c>
      <c r="K365" s="145" t="n">
        <v>-0.248</v>
      </c>
      <c r="L365" s="145" t="n">
        <v>0.384</v>
      </c>
      <c r="M365" s="127">
        <f>IF(OR(K365="",L365=""),"",IF(AND(L365&lt;0.05,OR(AND(J365="升高改善",K365&gt;0),AND(J365="降低改善",K365&lt;0))),"校正","不校正"))</f>
        <v/>
      </c>
      <c r="N365" s="118" t="inlineStr">
        <is>
          <t>Fig. 1，PDF第8页/印刷552页，Billy面板（中）；实心点＝训练试次，空心圆＝探测试次</t>
        </is>
      </c>
    </row>
    <row r="366" ht="45" customHeight="1" s="111">
      <c r="A366" s="121" t="inlineStr">
        <is>
          <t>K541</t>
        </is>
      </c>
      <c r="B366" s="121" t="inlineStr">
        <is>
          <t>059-二次</t>
        </is>
      </c>
      <c r="C366" s="121" t="inlineStr">
        <is>
          <t>Mike</t>
        </is>
      </c>
      <c r="D366" s="140" t="inlineStr">
        <is>
          <t>泛化</t>
        </is>
      </c>
      <c r="E366" s="118" t="inlineStr">
        <is>
          <t>Baseline II vs Video Modeling（探测试次＝未训练情境，空心圆）</t>
        </is>
      </c>
      <c r="F366" s="136" t="inlineStr">
        <is>
          <t>75, 0, 25, 100, 25, 25, 50, 100, 25, 0, 0, 0, 25, 0</t>
        </is>
      </c>
      <c r="G366" s="127">
        <f>IF(F366="","",LEN(F366)-LEN(SUBSTITUTE(F366,",",""))+1)</f>
        <v/>
      </c>
      <c r="H366" s="136" t="inlineStr">
        <is>
          <t>50, 75, 0, 100, 50, 75, 100</t>
        </is>
      </c>
      <c r="I366" s="127">
        <f>IF(H366="","",LEN(H366)-LEN(SUBSTITUTE(H366,",",""))+1)</f>
        <v/>
      </c>
      <c r="J366" s="144" t="inlineStr">
        <is>
          <t>升高改善</t>
        </is>
      </c>
      <c r="K366" s="145" t="n">
        <v>-0.351</v>
      </c>
      <c r="L366" s="145" t="n">
        <v>0.106</v>
      </c>
      <c r="M366" s="127">
        <f>IF(OR(K366="",L366=""),"",IF(AND(L366&lt;0.05,OR(AND(J366="升高改善",K366&gt;0),AND(J366="降低改善",K366&lt;0))),"校正","不校正"))</f>
        <v/>
      </c>
      <c r="N366" s="118" t="inlineStr">
        <is>
          <t>Fig. 1，PDF第8页/印刷552页，Mike面板（下）；实心点＝训练试次，空心圆＝探测试次</t>
        </is>
      </c>
    </row>
    <row r="367" ht="45" customHeight="1" s="111">
      <c r="A367" s="121" t="inlineStr">
        <is>
          <t>K542</t>
        </is>
      </c>
      <c r="B367" s="121" t="inlineStr">
        <is>
          <t>068-二次</t>
        </is>
      </c>
      <c r="C367" s="121" t="inlineStr">
        <is>
          <t>Z</t>
        </is>
      </c>
      <c r="D367" s="140" t="inlineStr">
        <is>
          <t>干预</t>
        </is>
      </c>
      <c r="E367" s="118" t="inlineStr">
        <is>
          <t>基线期A vs 交替处理期B中的录像示范点（实线）</t>
        </is>
      </c>
      <c r="F367" s="136" t="inlineStr">
        <is>
          <t>3, 2, 2</t>
        </is>
      </c>
      <c r="G367" s="127">
        <f>IF(F367="","",LEN(F367)-LEN(SUBSTITUTE(F367,",",""))+1)</f>
        <v/>
      </c>
      <c r="H367" s="136" t="inlineStr">
        <is>
          <t>6, 11, 9, 11, 10</t>
        </is>
      </c>
      <c r="I367" s="127">
        <f>IF(H367="","",LEN(H367)-LEN(SUBSTITUTE(H367,",",""))+1)</f>
        <v/>
      </c>
      <c r="J367" s="144" t="inlineStr">
        <is>
          <t>升高改善</t>
        </is>
      </c>
      <c r="K367" s="145" t="n">
        <v>-0.8159999999999999</v>
      </c>
      <c r="L367" s="145" t="n">
        <v>0.221</v>
      </c>
      <c r="M367" s="127">
        <f>IF(OR(K367="",L367=""),"",IF(AND(L367&lt;0.05,OR(AND(J367="升高改善",K367&gt;0),AND(J367="降低改善",K367&lt;0))),"校正","不校正"))</f>
        <v/>
      </c>
      <c r="N367" s="118" t="inlineStr">
        <is>
          <t>图3，PDF第5页/印刷19页，被试Z面板（上）；实线圆点＝VM（取），虚线圆点＝in-vivo（不取）</t>
        </is>
      </c>
    </row>
    <row r="368" ht="45" customHeight="1" s="111">
      <c r="A368" s="121" t="inlineStr">
        <is>
          <t>K543</t>
        </is>
      </c>
      <c r="B368" s="121" t="inlineStr">
        <is>
          <t>068-二次</t>
        </is>
      </c>
      <c r="C368" s="121" t="inlineStr">
        <is>
          <t>M</t>
        </is>
      </c>
      <c r="D368" s="140" t="inlineStr">
        <is>
          <t>干预</t>
        </is>
      </c>
      <c r="E368" s="118" t="inlineStr">
        <is>
          <t>基线期A vs 交替处理期B中的录像示范点（实线）</t>
        </is>
      </c>
      <c r="F368" s="136" t="inlineStr">
        <is>
          <t>2, 2, 2, 3, 3</t>
        </is>
      </c>
      <c r="G368" s="127">
        <f>IF(F368="","",LEN(F368)-LEN(SUBSTITUTE(F368,",",""))+1)</f>
        <v/>
      </c>
      <c r="H368" s="136" t="inlineStr">
        <is>
          <t>4, 6, 9, 10, 9</t>
        </is>
      </c>
      <c r="I368" s="127">
        <f>IF(H368="","",LEN(H368)-LEN(SUBSTITUTE(H368,",",""))+1)</f>
        <v/>
      </c>
      <c r="J368" s="144" t="inlineStr">
        <is>
          <t>升高改善</t>
        </is>
      </c>
      <c r="K368" s="145" t="n">
        <v>0.775</v>
      </c>
      <c r="L368" s="145" t="n">
        <v>0.083</v>
      </c>
      <c r="M368" s="127">
        <f>IF(OR(K368="",L368=""),"",IF(AND(L368&lt;0.05,OR(AND(J368="升高改善",K368&gt;0),AND(J368="降低改善",K368&lt;0))),"校正","不校正"))</f>
        <v/>
      </c>
      <c r="N368" s="118" t="inlineStr">
        <is>
          <t>图3，PDF第5页/印刷19页，被试M面板（中）；实线圆点＝VM（取），虚线圆点＝in-vivo（不取）</t>
        </is>
      </c>
    </row>
    <row r="369" ht="45" customHeight="1" s="111">
      <c r="A369" s="121" t="inlineStr">
        <is>
          <t>K544</t>
        </is>
      </c>
      <c r="B369" s="121" t="inlineStr">
        <is>
          <t>068-二次</t>
        </is>
      </c>
      <c r="C369" s="121" t="inlineStr">
        <is>
          <t>Y</t>
        </is>
      </c>
      <c r="D369" s="140" t="inlineStr">
        <is>
          <t>干预</t>
        </is>
      </c>
      <c r="E369" s="118" t="inlineStr">
        <is>
          <t>基线期A vs 交替处理期B中的录像示范点（实线）</t>
        </is>
      </c>
      <c r="F369" s="136" t="inlineStr">
        <is>
          <t>1, 1, 1, 2, 1</t>
        </is>
      </c>
      <c r="G369" s="127">
        <f>IF(F369="","",LEN(F369)-LEN(SUBSTITUTE(F369,",",""))+1)</f>
        <v/>
      </c>
      <c r="H369" s="136" t="inlineStr">
        <is>
          <t>3, 4, 4, 5, 9</t>
        </is>
      </c>
      <c r="I369" s="127">
        <f>IF(H369="","",LEN(H369)-LEN(SUBSTITUTE(H369,",",""))+1)</f>
        <v/>
      </c>
      <c r="J369" s="144" t="inlineStr">
        <is>
          <t>升高改善</t>
        </is>
      </c>
      <c r="K369" s="145" t="n">
        <v>0.316</v>
      </c>
      <c r="L369" s="145" t="n">
        <v>0.48</v>
      </c>
      <c r="M369" s="127">
        <f>IF(OR(K369="",L369=""),"",IF(AND(L369&lt;0.05,OR(AND(J369="升高改善",K369&gt;0),AND(J369="降低改善",K369&lt;0))),"校正","不校正"))</f>
        <v/>
      </c>
      <c r="N369" s="118" t="inlineStr">
        <is>
          <t>图3，PDF第5页/印刷19页，被试Y面板（下）；实线圆点＝VM（取），虚线圆点＝in-vivo（不取）</t>
        </is>
      </c>
    </row>
    <row r="370" ht="45" customHeight="1" s="111">
      <c r="A370" s="121" t="inlineStr">
        <is>
          <t>K545</t>
        </is>
      </c>
      <c r="B370" s="121" t="inlineStr">
        <is>
          <t>068-二次</t>
        </is>
      </c>
      <c r="C370" s="121" t="inlineStr">
        <is>
          <t>Z</t>
        </is>
      </c>
      <c r="D370" s="140" t="inlineStr">
        <is>
          <t>维持</t>
        </is>
      </c>
      <c r="E370" s="118" t="inlineStr">
        <is>
          <t>基线期A vs 维持期G（在最佳处理期录像示范之后）</t>
        </is>
      </c>
      <c r="F370" s="136" t="inlineStr">
        <is>
          <t>3, 2, 2</t>
        </is>
      </c>
      <c r="G370" s="127">
        <f>IF(F370="","",LEN(F370)-LEN(SUBSTITUTE(F370,",",""))+1)</f>
        <v/>
      </c>
      <c r="H370" s="136" t="inlineStr">
        <is>
          <t>30, 25, 29</t>
        </is>
      </c>
      <c r="I370" s="127">
        <f>IF(H370="","",LEN(H370)-LEN(SUBSTITUTE(H370,",",""))+1)</f>
        <v/>
      </c>
      <c r="J370" s="144" t="inlineStr">
        <is>
          <t>升高改善</t>
        </is>
      </c>
      <c r="K370" s="145" t="n">
        <v>-0.8159999999999999</v>
      </c>
      <c r="L370" s="145" t="n">
        <v>0.221</v>
      </c>
      <c r="M370" s="127">
        <f>IF(OR(K370="",L370=""),"",IF(AND(L370&lt;0.05,OR(AND(J370="升高改善",K370&gt;0),AND(J370="降低改善",K370&lt;0))),"校正","不校正"))</f>
        <v/>
      </c>
      <c r="N370" s="118" t="inlineStr">
        <is>
          <t>图3，PDF第5页/印刷19页，被试Z面板（上）；维持期G方块</t>
        </is>
      </c>
    </row>
    <row r="371" ht="45" customHeight="1" s="111">
      <c r="A371" s="121" t="inlineStr">
        <is>
          <t>K546</t>
        </is>
      </c>
      <c r="B371" s="121" t="inlineStr">
        <is>
          <t>068-二次</t>
        </is>
      </c>
      <c r="C371" s="121" t="inlineStr">
        <is>
          <t>M</t>
        </is>
      </c>
      <c r="D371" s="140" t="inlineStr">
        <is>
          <t>维持</t>
        </is>
      </c>
      <c r="E371" s="118" t="inlineStr">
        <is>
          <t>基线期A vs 维持期G（在最佳处理期录像示范之后）</t>
        </is>
      </c>
      <c r="F371" s="136" t="inlineStr">
        <is>
          <t>2, 2, 2, 3, 3</t>
        </is>
      </c>
      <c r="G371" s="127">
        <f>IF(F371="","",LEN(F371)-LEN(SUBSTITUTE(F371,",",""))+1)</f>
        <v/>
      </c>
      <c r="H371" s="136" t="inlineStr">
        <is>
          <t>23, 21, 25</t>
        </is>
      </c>
      <c r="I371" s="127">
        <f>IF(H371="","",LEN(H371)-LEN(SUBSTITUTE(H371,",",""))+1)</f>
        <v/>
      </c>
      <c r="J371" s="144" t="inlineStr">
        <is>
          <t>升高改善</t>
        </is>
      </c>
      <c r="K371" s="145" t="n">
        <v>0.775</v>
      </c>
      <c r="L371" s="145" t="n">
        <v>0.083</v>
      </c>
      <c r="M371" s="127">
        <f>IF(OR(K371="",L371=""),"",IF(AND(L371&lt;0.05,OR(AND(J371="升高改善",K371&gt;0),AND(J371="降低改善",K371&lt;0))),"校正","不校正"))</f>
        <v/>
      </c>
      <c r="N371" s="118" t="inlineStr">
        <is>
          <t>图3，PDF第5页/印刷19页，被试M面板（中）；维持期G方块</t>
        </is>
      </c>
    </row>
    <row r="372" ht="45" customHeight="1" s="111">
      <c r="A372" s="121" t="inlineStr">
        <is>
          <t>K547</t>
        </is>
      </c>
      <c r="B372" s="121" t="inlineStr">
        <is>
          <t>068-二次</t>
        </is>
      </c>
      <c r="C372" s="121" t="inlineStr">
        <is>
          <t>Y</t>
        </is>
      </c>
      <c r="D372" s="140" t="inlineStr">
        <is>
          <t>维持</t>
        </is>
      </c>
      <c r="E372" s="118" t="inlineStr">
        <is>
          <t>基线期A vs 维持期G（在最佳处理期录像示范之后）</t>
        </is>
      </c>
      <c r="F372" s="136" t="inlineStr">
        <is>
          <t>1, 1, 1, 2, 1</t>
        </is>
      </c>
      <c r="G372" s="127">
        <f>IF(F372="","",LEN(F372)-LEN(SUBSTITUTE(F372,",",""))+1)</f>
        <v/>
      </c>
      <c r="H372" s="136" t="inlineStr">
        <is>
          <t>14, 12, 15</t>
        </is>
      </c>
      <c r="I372" s="127">
        <f>IF(H372="","",LEN(H372)-LEN(SUBSTITUTE(H372,",",""))+1)</f>
        <v/>
      </c>
      <c r="J372" s="144" t="inlineStr">
        <is>
          <t>升高改善</t>
        </is>
      </c>
      <c r="K372" s="145" t="n">
        <v>0.316</v>
      </c>
      <c r="L372" s="145" t="n">
        <v>0.48</v>
      </c>
      <c r="M372" s="127">
        <f>IF(OR(K372="",L372=""),"",IF(AND(L372&lt;0.05,OR(AND(J372="升高改善",K372&gt;0),AND(J372="降低改善",K372&lt;0))),"校正","不校正"))</f>
        <v/>
      </c>
      <c r="N372" s="118" t="inlineStr">
        <is>
          <t>图3，PDF第5页/印刷19页，被试Y面板（下）；维持期G方块</t>
        </is>
      </c>
    </row>
    <row r="373" ht="45" customHeight="1" s="111">
      <c r="A373" s="121" t="inlineStr">
        <is>
          <t>K548</t>
        </is>
      </c>
      <c r="B373" s="121" t="inlineStr">
        <is>
          <t>01-补充</t>
        </is>
      </c>
      <c r="C373" s="121" t="inlineStr">
        <is>
          <t>Anan</t>
        </is>
      </c>
      <c r="D373" s="140" t="inlineStr">
        <is>
          <t>干预</t>
        </is>
      </c>
      <c r="E373" s="118" t="inlineStr">
        <is>
          <t>基线 vs 第一次交替期中的动画视频点（实心方块）</t>
        </is>
      </c>
      <c r="F373" s="136" t="inlineStr">
        <is>
          <t>1, 2, 2, 2, 2</t>
        </is>
      </c>
      <c r="G373" s="127">
        <f>IF(F373="","",LEN(F373)-LEN(SUBSTITUTE(F373,",",""))+1)</f>
        <v/>
      </c>
      <c r="H373" s="136" t="inlineStr">
        <is>
          <t>5, 4, 6, 5, 6, 7</t>
        </is>
      </c>
      <c r="I373" s="127">
        <f>IF(H373="","",LEN(H373)-LEN(SUBSTITUTE(H373,",",""))+1)</f>
        <v/>
      </c>
      <c r="J373" s="144" t="inlineStr">
        <is>
          <t>升高改善</t>
        </is>
      </c>
      <c r="K373" s="145" t="n">
        <v>0.632</v>
      </c>
      <c r="L373" s="145" t="n">
        <v>0.157</v>
      </c>
      <c r="M373" s="127">
        <f>IF(OR(K373="",L373=""),"",IF(AND(L373&lt;0.05,OR(AND(J373="升高改善",K373&gt;0),AND(J373="降低改善",K373&lt;0))),"校正","不校正"))</f>
        <v/>
      </c>
      <c r="N373" s="118" t="inlineStr">
        <is>
          <t>Figure 5，PDF第16页/印刷227页，Anan面板（上）；实心圆＝基线，实心方块＝动画视频，实心三角＝成人视频</t>
        </is>
      </c>
    </row>
    <row r="374" ht="45" customHeight="1" s="111">
      <c r="A374" s="121" t="inlineStr">
        <is>
          <t>K549</t>
        </is>
      </c>
      <c r="B374" s="121" t="inlineStr">
        <is>
          <t>01-补充</t>
        </is>
      </c>
      <c r="C374" s="121" t="inlineStr">
        <is>
          <t>Anan</t>
        </is>
      </c>
      <c r="D374" s="140" t="inlineStr">
        <is>
          <t>干预</t>
        </is>
      </c>
      <c r="E374" s="118" t="inlineStr">
        <is>
          <t>基线 vs 第一次交替期中的成人视频点（实心三角）</t>
        </is>
      </c>
      <c r="F374" s="136" t="inlineStr">
        <is>
          <t>1, 2, 2, 2, 2</t>
        </is>
      </c>
      <c r="G374" s="127">
        <f>IF(F374="","",LEN(F374)-LEN(SUBSTITUTE(F374,",",""))+1)</f>
        <v/>
      </c>
      <c r="H374" s="136" t="inlineStr">
        <is>
          <t>4, 4, 5, 4, 7, 6</t>
        </is>
      </c>
      <c r="I374" s="127">
        <f>IF(H374="","",LEN(H374)-LEN(SUBSTITUTE(H374,",",""))+1)</f>
        <v/>
      </c>
      <c r="J374" s="144" t="inlineStr">
        <is>
          <t>升高改善</t>
        </is>
      </c>
      <c r="K374" s="145" t="n">
        <v>0.632</v>
      </c>
      <c r="L374" s="145" t="n">
        <v>0.157</v>
      </c>
      <c r="M374" s="127">
        <f>IF(OR(K374="",L374=""),"",IF(AND(L374&lt;0.05,OR(AND(J374="升高改善",K374&gt;0),AND(J374="降低改善",K374&lt;0))),"校正","不校正"))</f>
        <v/>
      </c>
      <c r="N374" s="118" t="inlineStr">
        <is>
          <t>Figure 5，PDF第16页/印刷227页，Anan面板（上）；实心圆＝基线，实心方块＝动画视频，实心三角＝成人视频</t>
        </is>
      </c>
    </row>
    <row r="375" ht="45" customHeight="1" s="111">
      <c r="A375" s="121" t="inlineStr">
        <is>
          <t>K550</t>
        </is>
      </c>
      <c r="B375" s="121" t="inlineStr">
        <is>
          <t>01-补充</t>
        </is>
      </c>
      <c r="C375" s="121" t="inlineStr">
        <is>
          <t>Bobo</t>
        </is>
      </c>
      <c r="D375" s="140" t="inlineStr">
        <is>
          <t>干预</t>
        </is>
      </c>
      <c r="E375" s="118" t="inlineStr">
        <is>
          <t>基线 vs 第一次交替期中的动画视频点（实心方块）</t>
        </is>
      </c>
      <c r="F375" s="136" t="inlineStr">
        <is>
          <t>2, 3, 3, 3, 3</t>
        </is>
      </c>
      <c r="G375" s="127">
        <f>IF(F375="","",LEN(F375)-LEN(SUBSTITUTE(F375,",",""))+1)</f>
        <v/>
      </c>
      <c r="H375" s="136" t="inlineStr">
        <is>
          <t>9, 3, 6, 11, 11, 12</t>
        </is>
      </c>
      <c r="I375" s="127">
        <f>IF(H375="","",LEN(H375)-LEN(SUBSTITUTE(H375,",",""))+1)</f>
        <v/>
      </c>
      <c r="J375" s="144" t="inlineStr">
        <is>
          <t>升高改善</t>
        </is>
      </c>
      <c r="K375" s="145" t="n">
        <v>0.632</v>
      </c>
      <c r="L375" s="145" t="n">
        <v>0.157</v>
      </c>
      <c r="M375" s="127">
        <f>IF(OR(K375="",L375=""),"",IF(AND(L375&lt;0.05,OR(AND(J375="升高改善",K375&gt;0),AND(J375="降低改善",K375&lt;0))),"校正","不校正"))</f>
        <v/>
      </c>
      <c r="N375" s="118" t="inlineStr">
        <is>
          <t>Figure 5，PDF第16页/印刷227页，Bobo面板（中）；实心圆＝基线，实心方块＝动画视频，实心三角＝成人视频</t>
        </is>
      </c>
    </row>
    <row r="376" ht="45" customHeight="1" s="111">
      <c r="A376" s="121" t="inlineStr">
        <is>
          <t>K551</t>
        </is>
      </c>
      <c r="B376" s="121" t="inlineStr">
        <is>
          <t>01-补充</t>
        </is>
      </c>
      <c r="C376" s="121" t="inlineStr">
        <is>
          <t>Bobo</t>
        </is>
      </c>
      <c r="D376" s="140" t="inlineStr">
        <is>
          <t>干预</t>
        </is>
      </c>
      <c r="E376" s="118" t="inlineStr">
        <is>
          <t>基线 vs 第一次交替期中的成人视频点（实心三角）</t>
        </is>
      </c>
      <c r="F376" s="136" t="inlineStr">
        <is>
          <t>2, 3, 3, 3, 3</t>
        </is>
      </c>
      <c r="G376" s="127">
        <f>IF(F376="","",LEN(F376)-LEN(SUBSTITUTE(F376,",",""))+1)</f>
        <v/>
      </c>
      <c r="H376" s="136" t="inlineStr">
        <is>
          <t>3, 2, 6, 5, 9, 12</t>
        </is>
      </c>
      <c r="I376" s="127">
        <f>IF(H376="","",LEN(H376)-LEN(SUBSTITUTE(H376,",",""))+1)</f>
        <v/>
      </c>
      <c r="J376" s="144" t="inlineStr">
        <is>
          <t>升高改善</t>
        </is>
      </c>
      <c r="K376" s="145" t="n">
        <v>0.632</v>
      </c>
      <c r="L376" s="145" t="n">
        <v>0.157</v>
      </c>
      <c r="M376" s="127">
        <f>IF(OR(K376="",L376=""),"",IF(AND(L376&lt;0.05,OR(AND(J376="升高改善",K376&gt;0),AND(J376="降低改善",K376&lt;0))),"校正","不校正"))</f>
        <v/>
      </c>
      <c r="N376" s="118" t="inlineStr">
        <is>
          <t>Figure 5，PDF第16页/印刷227页，Bobo面板（中）；实心圆＝基线，实心方块＝动画视频，实心三角＝成人视频</t>
        </is>
      </c>
    </row>
    <row r="377" ht="45" customHeight="1" s="111">
      <c r="A377" s="121" t="inlineStr">
        <is>
          <t>K552</t>
        </is>
      </c>
      <c r="B377" s="121" t="inlineStr">
        <is>
          <t>01-补充</t>
        </is>
      </c>
      <c r="C377" s="121" t="inlineStr">
        <is>
          <t>Cici</t>
        </is>
      </c>
      <c r="D377" s="140" t="inlineStr">
        <is>
          <t>干预</t>
        </is>
      </c>
      <c r="E377" s="118" t="inlineStr">
        <is>
          <t>基线 vs 第一次交替期中的动画视频点（实心方块）</t>
        </is>
      </c>
      <c r="F377" s="136" t="inlineStr">
        <is>
          <t>1, 0, 1, 2, 1, 1, 1, 1</t>
        </is>
      </c>
      <c r="G377" s="127">
        <f>IF(F377="","",LEN(F377)-LEN(SUBSTITUTE(F377,",",""))+1)</f>
        <v/>
      </c>
      <c r="H377" s="136" t="inlineStr">
        <is>
          <t>4, 3, 4, 5, 5, 7</t>
        </is>
      </c>
      <c r="I377" s="127">
        <f>IF(H377="","",LEN(H377)-LEN(SUBSTITUTE(H377,",",""))+1)</f>
        <v/>
      </c>
      <c r="J377" s="144" t="inlineStr">
        <is>
          <t>升高改善</t>
        </is>
      </c>
      <c r="K377" s="145" t="n">
        <v>0.157</v>
      </c>
      <c r="L377" s="145" t="n">
        <v>0.622</v>
      </c>
      <c r="M377" s="127">
        <f>IF(OR(K377="",L377=""),"",IF(AND(L377&lt;0.05,OR(AND(J377="升高改善",K377&gt;0),AND(J377="降低改善",K377&lt;0))),"校正","不校正"))</f>
        <v/>
      </c>
      <c r="N377" s="118" t="inlineStr">
        <is>
          <t>Figure 5，PDF第16页/印刷227页，Cici面板（下）；实心圆＝基线，实心方块＝动画视频，实心三角＝成人视频</t>
        </is>
      </c>
    </row>
    <row r="378" ht="45" customHeight="1" s="111">
      <c r="A378" s="121" t="inlineStr">
        <is>
          <t>K553</t>
        </is>
      </c>
      <c r="B378" s="121" t="inlineStr">
        <is>
          <t>01-补充</t>
        </is>
      </c>
      <c r="C378" s="121" t="inlineStr">
        <is>
          <t>Cici</t>
        </is>
      </c>
      <c r="D378" s="140" t="inlineStr">
        <is>
          <t>干预</t>
        </is>
      </c>
      <c r="E378" s="118" t="inlineStr">
        <is>
          <t>基线 vs 第一次交替期中的成人视频点（实心三角）</t>
        </is>
      </c>
      <c r="F378" s="136" t="inlineStr">
        <is>
          <t>1, 0, 1, 2, 1, 1, 1, 1</t>
        </is>
      </c>
      <c r="G378" s="127">
        <f>IF(F378="","",LEN(F378)-LEN(SUBSTITUTE(F378,",",""))+1)</f>
        <v/>
      </c>
      <c r="H378" s="136" t="inlineStr">
        <is>
          <t>3, 3, 4, 3, 5, 4</t>
        </is>
      </c>
      <c r="I378" s="127">
        <f>IF(H378="","",LEN(H378)-LEN(SUBSTITUTE(H378,",",""))+1)</f>
        <v/>
      </c>
      <c r="J378" s="144" t="inlineStr">
        <is>
          <t>升高改善</t>
        </is>
      </c>
      <c r="K378" s="145" t="n">
        <v>0.157</v>
      </c>
      <c r="L378" s="145" t="n">
        <v>0.622</v>
      </c>
      <c r="M378" s="127">
        <f>IF(OR(K378="",L378=""),"",IF(AND(L378&lt;0.05,OR(AND(J378="升高改善",K378&gt;0),AND(J378="降低改善",K378&lt;0))),"校正","不校正"))</f>
        <v/>
      </c>
      <c r="N378" s="118" t="inlineStr">
        <is>
          <t>Figure 5，PDF第16页/印刷227页，Cici面板（下）；实心圆＝基线，实心方块＝动画视频，实心三角＝成人视频</t>
        </is>
      </c>
    </row>
    <row r="379" ht="45" customHeight="1" s="111">
      <c r="A379" s="121" t="inlineStr">
        <is>
          <t>K554</t>
        </is>
      </c>
      <c r="B379" s="121" t="inlineStr">
        <is>
          <t>01-补充</t>
        </is>
      </c>
      <c r="C379" s="121" t="inlineStr">
        <is>
          <t>Anan</t>
        </is>
      </c>
      <c r="D379" s="140" t="inlineStr">
        <is>
          <t>干预</t>
        </is>
      </c>
      <c r="E379" s="118" t="inlineStr">
        <is>
          <t>基线 vs 第一次交替期中的动画视频点（实心方块）</t>
        </is>
      </c>
      <c r="F379" s="136" t="inlineStr">
        <is>
          <t>0, 0, 0, 1, 0</t>
        </is>
      </c>
      <c r="G379" s="127">
        <f>IF(F379="","",LEN(F379)-LEN(SUBSTITUTE(F379,",",""))+1)</f>
        <v/>
      </c>
      <c r="H379" s="136" t="inlineStr">
        <is>
          <t>3, 3, 2, 3, 2, 3</t>
        </is>
      </c>
      <c r="I379" s="127">
        <f>IF(H379="","",LEN(H379)-LEN(SUBSTITUTE(H379,",",""))+1)</f>
        <v/>
      </c>
      <c r="J379" s="144" t="inlineStr">
        <is>
          <t>升高改善</t>
        </is>
      </c>
      <c r="K379" s="145" t="n">
        <v>0.316</v>
      </c>
      <c r="L379" s="145" t="n">
        <v>0.48</v>
      </c>
      <c r="M379" s="127">
        <f>IF(OR(K379="",L379=""),"",IF(AND(L379&lt;0.05,OR(AND(J379="升高改善",K379&gt;0),AND(J379="降低改善",K379&lt;0))),"校正","不校正"))</f>
        <v/>
      </c>
      <c r="N379" s="118" t="inlineStr">
        <is>
          <t>Figure 6，PDF第17页/印刷228页，Anan面板（上）；实心圆＝基线，实心方块＝动画视频，实心三角＝成人视频</t>
        </is>
      </c>
    </row>
    <row r="380" ht="45" customHeight="1" s="111">
      <c r="A380" s="121" t="inlineStr">
        <is>
          <t>K555</t>
        </is>
      </c>
      <c r="B380" s="121" t="inlineStr">
        <is>
          <t>01-补充</t>
        </is>
      </c>
      <c r="C380" s="121" t="inlineStr">
        <is>
          <t>Anan</t>
        </is>
      </c>
      <c r="D380" s="140" t="inlineStr">
        <is>
          <t>干预</t>
        </is>
      </c>
      <c r="E380" s="118" t="inlineStr">
        <is>
          <t>基线 vs 第一次交替期中的成人视频点（实心三角）</t>
        </is>
      </c>
      <c r="F380" s="136" t="inlineStr">
        <is>
          <t>0, 0, 0, 1, 0</t>
        </is>
      </c>
      <c r="G380" s="127">
        <f>IF(F380="","",LEN(F380)-LEN(SUBSTITUTE(F380,",",""))+1)</f>
        <v/>
      </c>
      <c r="H380" s="136" t="inlineStr">
        <is>
          <t>0, 0, 1, 3, 1, 2</t>
        </is>
      </c>
      <c r="I380" s="127">
        <f>IF(H380="","",LEN(H380)-LEN(SUBSTITUTE(H380,",",""))+1)</f>
        <v/>
      </c>
      <c r="J380" s="144" t="inlineStr">
        <is>
          <t>升高改善</t>
        </is>
      </c>
      <c r="K380" s="145" t="n">
        <v>0.316</v>
      </c>
      <c r="L380" s="145" t="n">
        <v>0.48</v>
      </c>
      <c r="M380" s="127">
        <f>IF(OR(K380="",L380=""),"",IF(AND(L380&lt;0.05,OR(AND(J380="升高改善",K380&gt;0),AND(J380="降低改善",K380&lt;0))),"校正","不校正"))</f>
        <v/>
      </c>
      <c r="N380" s="118" t="inlineStr">
        <is>
          <t>Figure 6，PDF第17页/印刷228页，Anan面板（上）；实心圆＝基线，实心方块＝动画视频，实心三角＝成人视频</t>
        </is>
      </c>
    </row>
    <row r="381" ht="45" customHeight="1" s="111">
      <c r="A381" s="121" t="inlineStr">
        <is>
          <t>K556</t>
        </is>
      </c>
      <c r="B381" s="121" t="inlineStr">
        <is>
          <t>01-补充</t>
        </is>
      </c>
      <c r="C381" s="121" t="inlineStr">
        <is>
          <t>Bobo</t>
        </is>
      </c>
      <c r="D381" s="140" t="inlineStr">
        <is>
          <t>干预</t>
        </is>
      </c>
      <c r="E381" s="118" t="inlineStr">
        <is>
          <t>基线 vs 第一次交替期中的动画视频点（实心方块）</t>
        </is>
      </c>
      <c r="F381" s="136" t="inlineStr">
        <is>
          <t>0, 1, 0, 0, 0</t>
        </is>
      </c>
      <c r="G381" s="127">
        <f>IF(F381="","",LEN(F381)-LEN(SUBSTITUTE(F381,",",""))+1)</f>
        <v/>
      </c>
      <c r="H381" s="136" t="inlineStr">
        <is>
          <t>1, 5, 3, 3, 5, 4</t>
        </is>
      </c>
      <c r="I381" s="127">
        <f>IF(H381="","",LEN(H381)-LEN(SUBSTITUTE(H381,",",""))+1)</f>
        <v/>
      </c>
      <c r="J381" s="144" t="inlineStr">
        <is>
          <t>升高改善</t>
        </is>
      </c>
      <c r="K381" s="145" t="n">
        <v>-0.316</v>
      </c>
      <c r="L381" s="145" t="n">
        <v>0.48</v>
      </c>
      <c r="M381" s="127">
        <f>IF(OR(K381="",L381=""),"",IF(AND(L381&lt;0.05,OR(AND(J381="升高改善",K381&gt;0),AND(J381="降低改善",K381&lt;0))),"校正","不校正"))</f>
        <v/>
      </c>
      <c r="N381" s="118" t="inlineStr">
        <is>
          <t>Figure 6，PDF第17页/印刷228页，Bobo面板（中）；实心圆＝基线，实心方块＝动画视频，实心三角＝成人视频</t>
        </is>
      </c>
    </row>
    <row r="382" ht="45" customHeight="1" s="111">
      <c r="A382" s="121" t="inlineStr">
        <is>
          <t>K557</t>
        </is>
      </c>
      <c r="B382" s="121" t="inlineStr">
        <is>
          <t>01-补充</t>
        </is>
      </c>
      <c r="C382" s="121" t="inlineStr">
        <is>
          <t>Bobo</t>
        </is>
      </c>
      <c r="D382" s="140" t="inlineStr">
        <is>
          <t>干预</t>
        </is>
      </c>
      <c r="E382" s="118" t="inlineStr">
        <is>
          <t>基线 vs 第一次交替期中的成人视频点（实心三角）</t>
        </is>
      </c>
      <c r="F382" s="136" t="inlineStr">
        <is>
          <t>0, 1, 0, 0, 0</t>
        </is>
      </c>
      <c r="G382" s="127">
        <f>IF(F382="","",LEN(F382)-LEN(SUBSTITUTE(F382,",",""))+1)</f>
        <v/>
      </c>
      <c r="H382" s="136" t="inlineStr">
        <is>
          <t>1, 3, 3, 2, 4, 2</t>
        </is>
      </c>
      <c r="I382" s="127">
        <f>IF(H382="","",LEN(H382)-LEN(SUBSTITUTE(H382,",",""))+1)</f>
        <v/>
      </c>
      <c r="J382" s="144" t="inlineStr">
        <is>
          <t>升高改善</t>
        </is>
      </c>
      <c r="K382" s="145" t="n">
        <v>-0.316</v>
      </c>
      <c r="L382" s="145" t="n">
        <v>0.48</v>
      </c>
      <c r="M382" s="127">
        <f>IF(OR(K382="",L382=""),"",IF(AND(L382&lt;0.05,OR(AND(J382="升高改善",K382&gt;0),AND(J382="降低改善",K382&lt;0))),"校正","不校正"))</f>
        <v/>
      </c>
      <c r="N382" s="118" t="inlineStr">
        <is>
          <t>Figure 6，PDF第17页/印刷228页，Bobo面板（中）；实心圆＝基线，实心方块＝动画视频，实心三角＝成人视频</t>
        </is>
      </c>
    </row>
    <row r="383" ht="45" customHeight="1" s="111">
      <c r="A383" s="121" t="inlineStr">
        <is>
          <t>K558</t>
        </is>
      </c>
      <c r="B383" s="121" t="inlineStr">
        <is>
          <t>01-补充</t>
        </is>
      </c>
      <c r="C383" s="121" t="inlineStr">
        <is>
          <t>Cici</t>
        </is>
      </c>
      <c r="D383" s="140" t="inlineStr">
        <is>
          <t>干预</t>
        </is>
      </c>
      <c r="E383" s="118" t="inlineStr">
        <is>
          <t>基线 vs 第一次交替期中的动画视频点（实心方块）</t>
        </is>
      </c>
      <c r="F383" s="136" t="inlineStr">
        <is>
          <t>0, 0, 0, 0, 0, 0, 0, 0</t>
        </is>
      </c>
      <c r="G383" s="127">
        <f>IF(F383="","",LEN(F383)-LEN(SUBSTITUTE(F383,",",""))+1)</f>
        <v/>
      </c>
      <c r="H383" s="136" t="inlineStr">
        <is>
          <t>0, 1, 2, 3, 3, 2</t>
        </is>
      </c>
      <c r="I383" s="127">
        <f>IF(H383="","",LEN(H383)-LEN(SUBSTITUTE(H383,",",""))+1)</f>
        <v/>
      </c>
      <c r="J383" s="144" t="inlineStr">
        <is>
          <t>升高改善</t>
        </is>
      </c>
      <c r="K383" s="145" t="n">
        <v>0</v>
      </c>
      <c r="L383" s="145" t="n">
        <v>1</v>
      </c>
      <c r="M383" s="127">
        <f>IF(OR(K383="",L383=""),"",IF(AND(L383&lt;0.05,OR(AND(J383="升高改善",K383&gt;0),AND(J383="降低改善",K383&lt;0))),"校正","不校正"))</f>
        <v/>
      </c>
      <c r="N383" s="118" t="inlineStr">
        <is>
          <t>Figure 6，PDF第17页/印刷228页，Cici面板（下）；实心圆＝基线，实心方块＝动画视频，实心三角＝成人视频</t>
        </is>
      </c>
    </row>
    <row r="384" ht="45" customHeight="1" s="111">
      <c r="A384" s="121" t="inlineStr">
        <is>
          <t>K559</t>
        </is>
      </c>
      <c r="B384" s="121" t="inlineStr">
        <is>
          <t>01-补充</t>
        </is>
      </c>
      <c r="C384" s="121" t="inlineStr">
        <is>
          <t>Cici</t>
        </is>
      </c>
      <c r="D384" s="140" t="inlineStr">
        <is>
          <t>干预</t>
        </is>
      </c>
      <c r="E384" s="118" t="inlineStr">
        <is>
          <t>基线 vs 第一次交替期中的成人视频点（实心三角）</t>
        </is>
      </c>
      <c r="F384" s="136" t="inlineStr">
        <is>
          <t>0, 0, 0, 0, 0, 0, 0, 0</t>
        </is>
      </c>
      <c r="G384" s="127">
        <f>IF(F384="","",LEN(F384)-LEN(SUBSTITUTE(F384,",",""))+1)</f>
        <v/>
      </c>
      <c r="H384" s="136" t="inlineStr">
        <is>
          <t>1, 2, 3, 3, 3, 3</t>
        </is>
      </c>
      <c r="I384" s="127">
        <f>IF(H384="","",LEN(H384)-LEN(SUBSTITUTE(H384,",",""))+1)</f>
        <v/>
      </c>
      <c r="J384" s="144" t="inlineStr">
        <is>
          <t>升高改善</t>
        </is>
      </c>
      <c r="K384" s="145" t="n">
        <v>0</v>
      </c>
      <c r="L384" s="145" t="n">
        <v>1</v>
      </c>
      <c r="M384" s="127">
        <f>IF(OR(K384="",L384=""),"",IF(AND(L384&lt;0.05,OR(AND(J384="升高改善",K384&gt;0),AND(J384="降低改善",K384&lt;0))),"校正","不校正"))</f>
        <v/>
      </c>
      <c r="N384" s="118" t="inlineStr">
        <is>
          <t>Figure 6，PDF第17页/印刷228页，Cici面板（下）；实心圆＝基线，实心方块＝动画视频，实心三角＝成人视频</t>
        </is>
      </c>
    </row>
    <row r="385" ht="45" customHeight="1" s="111">
      <c r="A385" s="129" t="inlineStr">
        <is>
          <t>K564</t>
        </is>
      </c>
      <c r="B385" s="129" t="inlineStr">
        <is>
          <t>002-滚雪球</t>
        </is>
      </c>
      <c r="C385" s="129" t="inlineStr">
        <is>
          <t>Nick</t>
        </is>
      </c>
      <c r="D385" s="153" t="inlineStr">
        <is>
          <t>干预</t>
        </is>
      </c>
      <c r="E385" s="154" t="inlineStr">
        <is>
          <t>原购物店Baseline vs 视频示范+言语提示Intervention</t>
        </is>
      </c>
      <c r="F385" s="155" t="inlineStr">
        <is>
          <t>2, 2, 1, 1, 1, 1, 2, 1, 1, 1</t>
        </is>
      </c>
      <c r="G385" s="129">
        <f>IF(F385="","",LEN(F385)-LEN(SUBSTITUTE(F385,",",""))+1)</f>
        <v/>
      </c>
      <c r="H385" s="155" t="inlineStr">
        <is>
          <t>3, 4, 3, 4, 3, 4</t>
        </is>
      </c>
      <c r="I385" s="129">
        <f>IF(H385="","",LEN(H385)-LEN(SUBSTITUTE(H385,",",""))+1)</f>
        <v/>
      </c>
      <c r="J385" s="153" t="inlineStr">
        <is>
          <t>升高改善</t>
        </is>
      </c>
      <c r="K385" s="156" t="n">
        <v>-0.4228900316110311</v>
      </c>
      <c r="L385" s="156" t="n">
        <v>0.1384767150321172</v>
      </c>
      <c r="M385" s="129">
        <f>IF(OR(K385="",L385=""),"",IF(AND(L385&lt;0.05,OR(AND(J385="升高改善",K385&gt;0),AND(J385="降低改善",K385&lt;0))),"校正","不校正"))</f>
        <v/>
      </c>
      <c r="N385" s="154" t="inlineStr">
        <is>
          <t>Figure 1，PDF第8页/印刷42页，Nick面板，实心菱形；Baseline 1–10，Intervention 11–16</t>
        </is>
      </c>
    </row>
    <row r="386" ht="45" customHeight="1" s="111">
      <c r="A386" s="129" t="inlineStr">
        <is>
          <t>K565</t>
        </is>
      </c>
      <c r="B386" s="129" t="inlineStr">
        <is>
          <t>002-滚雪球</t>
        </is>
      </c>
      <c r="C386" s="129" t="inlineStr">
        <is>
          <t>Nick</t>
        </is>
      </c>
      <c r="D386" s="153" t="inlineStr">
        <is>
          <t>泛化</t>
        </is>
      </c>
      <c r="E386" s="154" t="inlineStr">
        <is>
          <t>原购物店Baseline vs 第二家未训练店Generalization</t>
        </is>
      </c>
      <c r="F386" s="155" t="inlineStr">
        <is>
          <t>2, 2, 1, 1, 1, 1, 2, 1, 1, 1</t>
        </is>
      </c>
      <c r="G386" s="129">
        <f>IF(F386="","",LEN(F386)-LEN(SUBSTITUTE(F386,",",""))+1)</f>
        <v/>
      </c>
      <c r="H386" s="155" t="inlineStr">
        <is>
          <t>3, 3, 3</t>
        </is>
      </c>
      <c r="I386" s="129">
        <f>IF(H386="","",LEN(H386)-LEN(SUBSTITUTE(H386,",",""))+1)</f>
        <v/>
      </c>
      <c r="J386" s="153" t="inlineStr">
        <is>
          <t>升高改善</t>
        </is>
      </c>
      <c r="K386" s="156" t="n">
        <v>-0.4228900316110311</v>
      </c>
      <c r="L386" s="156" t="n">
        <v>0.1384767150321172</v>
      </c>
      <c r="M386" s="129">
        <f>IF(OR(K386="",L386=""),"",IF(AND(L386&lt;0.05,OR(AND(J386="升高改善",K386&gt;0),AND(J386="降低改善",K386&lt;0))),"校正","不校正"))</f>
        <v/>
      </c>
      <c r="N386" s="154" t="inlineStr">
        <is>
          <t>Figure 1，PDF第8页/印刷42页，Nick面板，实心菱形；Baseline 1–10，Generalization 17–19</t>
        </is>
      </c>
    </row>
    <row r="387" ht="45" customHeight="1" s="111">
      <c r="A387" s="129" t="inlineStr">
        <is>
          <t>K566</t>
        </is>
      </c>
      <c r="B387" s="129" t="inlineStr">
        <is>
          <t>061-二次</t>
        </is>
      </c>
      <c r="C387" s="129" t="inlineStr">
        <is>
          <t>Kevin</t>
        </is>
      </c>
      <c r="D387" s="153" t="inlineStr">
        <is>
          <t>干预</t>
        </is>
      </c>
      <c r="E387" s="154" t="inlineStr">
        <is>
          <t>第一次Baseline A（会话1–5）vs第一次Treatment B（会话6–10）；第二轮A/B不另增加K。</t>
        </is>
      </c>
      <c r="F387" s="155" t="inlineStr">
        <is>
          <t>0, 0, 0, 0, 0</t>
        </is>
      </c>
      <c r="G387" s="129">
        <f>IF(F387="","",LEN(F387)-LEN(SUBSTITUTE(F387,",",""))+1)</f>
        <v/>
      </c>
      <c r="H387" s="155" t="inlineStr">
        <is>
          <t>0, 66.67, 66.67, 33.33, 100</t>
        </is>
      </c>
      <c r="I387" s="129">
        <f>IF(H387="","",LEN(H387)-LEN(SUBSTITUTE(H387,",",""))+1)</f>
        <v/>
      </c>
      <c r="J387" s="153" t="inlineStr">
        <is>
          <t>升高改善</t>
        </is>
      </c>
      <c r="K387" s="156" t="n">
        <v>0</v>
      </c>
      <c r="L387" s="156" t="n">
        <v>1</v>
      </c>
      <c r="M387" s="129">
        <f>IF(OR(K387="",L387=""),"",IF(AND(L387&lt;0.05,OR(AND(J387="升高改善",K387&gt;0),AND(J387="降低改善",K387&lt;0))),"校正","不校正"))</f>
        <v/>
      </c>
      <c r="N387" s="154" t="inlineStr">
        <is>
          <t>Figure 1，PDF第13页/印刷526页，第1面板（Kevin），实心圆；第一次Baseline A（会话1–5）vs第一次Treatment B（会话6–10）；第二轮A/B不另增加K。</t>
        </is>
      </c>
    </row>
    <row r="388" ht="45" customHeight="1" s="111">
      <c r="A388" s="129" t="inlineStr">
        <is>
          <t>K567</t>
        </is>
      </c>
      <c r="B388" s="129" t="inlineStr">
        <is>
          <t>061-二次</t>
        </is>
      </c>
      <c r="C388" s="129" t="inlineStr">
        <is>
          <t>Ricky</t>
        </is>
      </c>
      <c r="D388" s="153" t="inlineStr">
        <is>
          <t>干预</t>
        </is>
      </c>
      <c r="E388" s="154" t="inlineStr">
        <is>
          <t>第一次Baseline A（会话1–5）vs第一次Treatment B（会话6–10）；第二轮A/B不另增加K。</t>
        </is>
      </c>
      <c r="F388" s="155" t="inlineStr">
        <is>
          <t>0, 33.33, 33.33, 33.33, 0</t>
        </is>
      </c>
      <c r="G388" s="129">
        <f>IF(F388="","",LEN(F388)-LEN(SUBSTITUTE(F388,",",""))+1)</f>
        <v/>
      </c>
      <c r="H388" s="155" t="inlineStr">
        <is>
          <t>33.33, 0, 33.33, 0, 66.67</t>
        </is>
      </c>
      <c r="I388" s="129">
        <f>IF(H388="","",LEN(H388)-LEN(SUBSTITUTE(H388,",",""))+1)</f>
        <v/>
      </c>
      <c r="J388" s="153" t="inlineStr">
        <is>
          <t>升高改善</t>
        </is>
      </c>
      <c r="K388" s="156" t="n">
        <v>0</v>
      </c>
      <c r="L388" s="156" t="n">
        <v>1</v>
      </c>
      <c r="M388" s="129">
        <f>IF(OR(K388="",L388=""),"",IF(AND(L388&lt;0.05,OR(AND(J388="升高改善",K388&gt;0),AND(J388="降低改善",K388&lt;0))),"校正","不校正"))</f>
        <v/>
      </c>
      <c r="N388" s="154" t="inlineStr">
        <is>
          <t>Figure 1，PDF第13页/印刷526页，第2面板（Ricky），实心圆；第一次Baseline A（会话1–5）vs第一次Treatment B（会话6–10）；第二轮A/B不另增加K。</t>
        </is>
      </c>
    </row>
    <row r="389" ht="45" customHeight="1" s="111">
      <c r="A389" s="129" t="inlineStr">
        <is>
          <t>K568</t>
        </is>
      </c>
      <c r="B389" s="129" t="inlineStr">
        <is>
          <t>061-二次</t>
        </is>
      </c>
      <c r="C389" s="129" t="inlineStr">
        <is>
          <t>Andy</t>
        </is>
      </c>
      <c r="D389" s="153" t="inlineStr">
        <is>
          <t>干预</t>
        </is>
      </c>
      <c r="E389" s="154" t="inlineStr">
        <is>
          <t>第一次Baseline A（会话1–5）vs第一次Treatment B（会话6–10）；第二轮A/B不另增加K。</t>
        </is>
      </c>
      <c r="F389" s="155" t="inlineStr">
        <is>
          <t>0, 33.33, 33.33, 0, 0</t>
        </is>
      </c>
      <c r="G389" s="129">
        <f>IF(F389="","",LEN(F389)-LEN(SUBSTITUTE(F389,",",""))+1)</f>
        <v/>
      </c>
      <c r="H389" s="155" t="inlineStr">
        <is>
          <t>33.33, 33.33, 66.67, 33.33, 33.33</t>
        </is>
      </c>
      <c r="I389" s="129">
        <f>IF(H389="","",LEN(H389)-LEN(SUBSTITUTE(H389,",",""))+1)</f>
        <v/>
      </c>
      <c r="J389" s="153" t="inlineStr">
        <is>
          <t>升高改善</t>
        </is>
      </c>
      <c r="K389" s="156" t="n">
        <v>-0.2581988897471611</v>
      </c>
      <c r="L389" s="156" t="n">
        <v>0.5637028616507731</v>
      </c>
      <c r="M389" s="129">
        <f>IF(OR(K389="",L389=""),"",IF(AND(L389&lt;0.05,OR(AND(J389="升高改善",K389&gt;0),AND(J389="降低改善",K389&lt;0))),"校正","不校正"))</f>
        <v/>
      </c>
      <c r="N389" s="154" t="inlineStr">
        <is>
          <t>Figure 1，PDF第13页/印刷526页，第3面板（Andy），实心圆；第一次Baseline A（会话1–5）vs第一次Treatment B（会话6–10）；第二轮A/B不另增加K。</t>
        </is>
      </c>
    </row>
    <row r="390" ht="45" customHeight="1" s="111">
      <c r="A390" s="129" t="inlineStr">
        <is>
          <t>K569</t>
        </is>
      </c>
      <c r="B390" s="129" t="inlineStr">
        <is>
          <t>061-二次</t>
        </is>
      </c>
      <c r="C390" s="129" t="inlineStr">
        <is>
          <t>Adrian</t>
        </is>
      </c>
      <c r="D390" s="153" t="inlineStr">
        <is>
          <t>干预</t>
        </is>
      </c>
      <c r="E390" s="154" t="inlineStr">
        <is>
          <t>第一次Baseline A（会话1–5）vs第一次Treatment B（会话6–10）；第二轮A/B不另增加K。</t>
        </is>
      </c>
      <c r="F390" s="155" t="inlineStr">
        <is>
          <t>33.33, 0, 33.33, 0, 0</t>
        </is>
      </c>
      <c r="G390" s="129">
        <f>IF(F390="","",LEN(F390)-LEN(SUBSTITUTE(F390,",",""))+1)</f>
        <v/>
      </c>
      <c r="H390" s="155" t="inlineStr">
        <is>
          <t>0, 0, 66.67, 33.33, 66.67</t>
        </is>
      </c>
      <c r="I390" s="129">
        <f>IF(H390="","",LEN(H390)-LEN(SUBSTITUTE(H390,",",""))+1)</f>
        <v/>
      </c>
      <c r="J390" s="153" t="inlineStr">
        <is>
          <t>升高改善</t>
        </is>
      </c>
      <c r="K390" s="156" t="n">
        <v>-0.5163977794943222</v>
      </c>
      <c r="L390" s="156" t="n">
        <v>0.2482130789899236</v>
      </c>
      <c r="M390" s="129">
        <f>IF(OR(K390="",L390=""),"",IF(AND(L390&lt;0.05,OR(AND(J390="升高改善",K390&gt;0),AND(J390="降低改善",K390&lt;0))),"校正","不校正"))</f>
        <v/>
      </c>
      <c r="N390" s="154" t="inlineStr">
        <is>
          <t>Figure 1，PDF第13页/印刷526页，第4面板（Adrian），实心圆；第一次Baseline A（会话1–5）vs第一次Treatment B（会话6–10）；第二轮A/B不另增加K。</t>
        </is>
      </c>
    </row>
    <row r="391" ht="45" customHeight="1" s="111">
      <c r="A391" s="129" t="inlineStr">
        <is>
          <t>K570</t>
        </is>
      </c>
      <c r="B391" s="129" t="inlineStr">
        <is>
          <t>061-二次</t>
        </is>
      </c>
      <c r="C391" s="129" t="inlineStr">
        <is>
          <t>Sue</t>
        </is>
      </c>
      <c r="D391" s="153" t="inlineStr">
        <is>
          <t>干预</t>
        </is>
      </c>
      <c r="E391" s="154" t="inlineStr">
        <is>
          <t>第一次Baseline A（会话1–5）vs第一次Treatment B（会话6–10）；第二轮A/B不另增加K。</t>
        </is>
      </c>
      <c r="F391" s="155" t="inlineStr">
        <is>
          <t>33.33, 0, 33.33, 0, 0</t>
        </is>
      </c>
      <c r="G391" s="129">
        <f>IF(F391="","",LEN(F391)-LEN(SUBSTITUTE(F391,",",""))+1)</f>
        <v/>
      </c>
      <c r="H391" s="155" t="inlineStr">
        <is>
          <t>66.67, 33.33, 33.33, 33.33, 66.67</t>
        </is>
      </c>
      <c r="I391" s="129">
        <f>IF(H391="","",LEN(H391)-LEN(SUBSTITUTE(H391,",",""))+1)</f>
        <v/>
      </c>
      <c r="J391" s="153" t="inlineStr">
        <is>
          <t>升高改善</t>
        </is>
      </c>
      <c r="K391" s="156" t="n">
        <v>-0.5163977794943222</v>
      </c>
      <c r="L391" s="156" t="n">
        <v>0.2482130789899236</v>
      </c>
      <c r="M391" s="129">
        <f>IF(OR(K391="",L391=""),"",IF(AND(L391&lt;0.05,OR(AND(J391="升高改善",K391&gt;0),AND(J391="降低改善",K391&lt;0))),"校正","不校正"))</f>
        <v/>
      </c>
      <c r="N391" s="154" t="inlineStr">
        <is>
          <t>Figure 1，PDF第13页/印刷526页，第5面板（Sue），实心圆；第一次Baseline A（会话1–5）vs第一次Treatment B（会话6–10）；第二轮A/B不另增加K。</t>
        </is>
      </c>
    </row>
    <row r="392" ht="45" customHeight="1" s="111">
      <c r="A392" s="129" t="inlineStr">
        <is>
          <t>K571</t>
        </is>
      </c>
      <c r="B392" s="129" t="inlineStr">
        <is>
          <t>061-二次</t>
        </is>
      </c>
      <c r="C392" s="129" t="inlineStr">
        <is>
          <t>Wes</t>
        </is>
      </c>
      <c r="D392" s="153" t="inlineStr">
        <is>
          <t>干预</t>
        </is>
      </c>
      <c r="E392" s="154" t="inlineStr">
        <is>
          <t>第一次Baseline A（会话1–5）vs第一次Treatment B（会话6–10）；第二轮A/B不另增加K。</t>
        </is>
      </c>
      <c r="F392" s="155" t="inlineStr">
        <is>
          <t>33.33, 33.33, 33.33, 0, 0</t>
        </is>
      </c>
      <c r="G392" s="129">
        <f>IF(F392="","",LEN(F392)-LEN(SUBSTITUTE(F392,",",""))+1)</f>
        <v/>
      </c>
      <c r="H392" s="155" t="inlineStr">
        <is>
          <t>100, 100, 100, 100, 100</t>
        </is>
      </c>
      <c r="I392" s="129">
        <f>IF(H392="","",LEN(H392)-LEN(SUBSTITUTE(H392,",",""))+1)</f>
        <v/>
      </c>
      <c r="J392" s="153" t="inlineStr">
        <is>
          <t>升高改善</t>
        </is>
      </c>
      <c r="K392" s="156" t="n">
        <v>-0.7745966692414834</v>
      </c>
      <c r="L392" s="156" t="n">
        <v>0.08326451666355043</v>
      </c>
      <c r="M392" s="129">
        <f>IF(OR(K392="",L392=""),"",IF(AND(L392&lt;0.05,OR(AND(J392="升高改善",K392&gt;0),AND(J392="降低改善",K392&lt;0))),"校正","不校正"))</f>
        <v/>
      </c>
      <c r="N392" s="154" t="inlineStr">
        <is>
          <t>Figure 1，PDF第13页/印刷526页，第6面板（Wes），实心圆；第一次Baseline A（会话1–5）vs第一次Treatment B（会话6–10）；第二轮A/B不另增加K。</t>
        </is>
      </c>
    </row>
    <row r="393" ht="45" customHeight="1" s="111">
      <c r="A393" s="129" t="inlineStr">
        <is>
          <t>K572</t>
        </is>
      </c>
      <c r="B393" s="129" t="inlineStr">
        <is>
          <t>061-二次</t>
        </is>
      </c>
      <c r="C393" s="129" t="inlineStr">
        <is>
          <t>Kade</t>
        </is>
      </c>
      <c r="D393" s="153" t="inlineStr">
        <is>
          <t>干预</t>
        </is>
      </c>
      <c r="E393" s="154" t="inlineStr">
        <is>
          <t>两个首次VM前Baseline A（会话1–10）vs连续两个Treatment B（会话11–19）；B1五点、B2四点。</t>
        </is>
      </c>
      <c r="F393" s="155" t="inlineStr">
        <is>
          <t>33.33, 0, 33.33, 66.67, 33.33, 0, 33.33, 33.33, 33.33, 33.33</t>
        </is>
      </c>
      <c r="G393" s="129">
        <f>IF(F393="","",LEN(F393)-LEN(SUBSTITUTE(F393,",",""))+1)</f>
        <v/>
      </c>
      <c r="H393" s="155" t="inlineStr">
        <is>
          <t>33.33, 100, 100, 100, 100, 100, 100, 100, 100</t>
        </is>
      </c>
      <c r="I393" s="129">
        <f>IF(H393="","",LEN(H393)-LEN(SUBSTITUTE(H393,",",""))+1)</f>
        <v/>
      </c>
      <c r="J393" s="153" t="inlineStr">
        <is>
          <t>升高改善</t>
        </is>
      </c>
      <c r="K393" s="156" t="n">
        <v>0.09325048082403138</v>
      </c>
      <c r="L393" s="156" t="n">
        <v>0.7367870436916689</v>
      </c>
      <c r="M393" s="129">
        <f>IF(OR(K393="",L393=""),"",IF(AND(L393&lt;0.05,OR(AND(J393="升高改善",K393&gt;0),AND(J393="降低改善",K393&lt;0))),"校正","不校正"))</f>
        <v/>
      </c>
      <c r="N393" s="154" t="inlineStr">
        <is>
          <t>Figure 2，PDF第14页/印刷527页，第1面板（Kade），实心圆；两个首次VM前Baseline A（会话1–10）vs连续两个Treatment B（会话11–19）；B1五点、B2四点。</t>
        </is>
      </c>
    </row>
    <row r="394" ht="45" customHeight="1" s="111">
      <c r="A394" s="129" t="inlineStr">
        <is>
          <t>K573</t>
        </is>
      </c>
      <c r="B394" s="129" t="inlineStr">
        <is>
          <t>061-二次</t>
        </is>
      </c>
      <c r="C394" s="129" t="inlineStr">
        <is>
          <t>Hank</t>
        </is>
      </c>
      <c r="D394" s="153" t="inlineStr">
        <is>
          <t>干预</t>
        </is>
      </c>
      <c r="E394" s="154" t="inlineStr">
        <is>
          <t>两个首次VM前Baseline A（会话1–10）vs连续两个Treatment B（会话11–19）；B1五点、B2四点。</t>
        </is>
      </c>
      <c r="F394" s="155" t="inlineStr">
        <is>
          <t>33.33, 0, 0, 33.33, 33.33, 33.33, 33.33, 0, 0, 33.33</t>
        </is>
      </c>
      <c r="G394" s="129">
        <f>IF(F394="","",LEN(F394)-LEN(SUBSTITUTE(F394,",",""))+1)</f>
        <v/>
      </c>
      <c r="H394" s="155" t="inlineStr">
        <is>
          <t>66.67, 100, 66.67, 66.67, 66.67, 66.67, 66.67, 100, 100</t>
        </is>
      </c>
      <c r="I394" s="129">
        <f>IF(H394="","",LEN(H394)-LEN(SUBSTITUTE(H394,",",""))+1)</f>
        <v/>
      </c>
      <c r="J394" s="153" t="inlineStr">
        <is>
          <t>升高改善</t>
        </is>
      </c>
      <c r="K394" s="156" t="n">
        <v>0</v>
      </c>
      <c r="L394" s="156" t="n">
        <v>1</v>
      </c>
      <c r="M394" s="129">
        <f>IF(OR(K394="",L394=""),"",IF(AND(L394&lt;0.05,OR(AND(J394="升高改善",K394&gt;0),AND(J394="降低改善",K394&lt;0))),"校正","不校正"))</f>
        <v/>
      </c>
      <c r="N394" s="154" t="inlineStr">
        <is>
          <t>Figure 2，PDF第14页/印刷527页，第2面板（Hank），实心圆；两个首次VM前Baseline A（会话1–10）vs连续两个Treatment B（会话11–19）；B1五点、B2四点。</t>
        </is>
      </c>
    </row>
    <row r="395" ht="45" customHeight="1" s="111"/>
    <row r="396" ht="45" customHeight="1" s="111"/>
    <row r="397" ht="29.25" customHeight="1" s="111"/>
    <row r="398" ht="29.25" customHeight="1" s="111"/>
    <row r="399" ht="29.25" customHeight="1" s="111"/>
    <row r="400" ht="29.25" customHeight="1" s="111"/>
    <row r="401" ht="29.25" customHeight="1" s="111"/>
    <row r="402" ht="29.25" customHeight="1" s="111"/>
    <row r="403" ht="29.25" customHeight="1" s="111"/>
    <row r="404" ht="29.25" customHeight="1" s="111"/>
    <row r="405" ht="29.25" customHeight="1" s="111"/>
    <row r="406" ht="29.25" customHeight="1" s="111"/>
    <row r="407" ht="29.25" customHeight="1" s="111"/>
    <row r="408" ht="29.25" customHeight="1" s="111"/>
    <row r="409" ht="29.25" customHeight="1" s="111"/>
    <row r="410" ht="29.25" customHeight="1" s="111"/>
    <row r="411" ht="29.25" customHeight="1" s="111"/>
    <row r="412" ht="29.25" customHeight="1" s="111"/>
    <row r="413" ht="29.25" customHeight="1" s="111"/>
    <row r="414" ht="29.25" customHeight="1" s="111"/>
    <row r="415" ht="29.25" customHeight="1" s="111"/>
    <row r="416" ht="29.25" customHeight="1" s="111"/>
    <row r="417" ht="29.25" customHeight="1" s="111"/>
    <row r="418" ht="29.25" customHeight="1" s="111"/>
    <row r="419" ht="29.25" customHeight="1" s="111"/>
    <row r="420" ht="29.25" customHeight="1" s="111"/>
    <row r="421" ht="72" customHeight="1" s="111"/>
    <row r="422" ht="72" customHeight="1" s="111"/>
    <row r="423" ht="72" customHeight="1" s="111"/>
    <row r="424" ht="72" customHeight="1" s="111"/>
    <row r="425" ht="72" customHeight="1" s="111"/>
    <row r="426" ht="72" customHeight="1" s="111"/>
    <row r="427" ht="72" customHeight="1" s="111"/>
    <row r="428" ht="72" customHeight="1" s="111"/>
    <row r="429" ht="72" customHeight="1" s="111"/>
    <row r="430" ht="72" customHeight="1" s="111"/>
  </sheetData>
  <autoFilter ref="A1:N394"/>
  <dataValidations count="1">
    <dataValidation sqref="J2:J394" showDropDown="0" showInputMessage="0" showErrorMessage="0" allowBlank="1" type="list" errorStyle="stop" operator="between">
      <formula1>"升高改善,降低改善"</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110" min="1" max="1"/>
    <col width="110" customWidth="1" style="110" min="2" max="2"/>
  </cols>
  <sheetData>
    <row r="1" ht="36.75" customHeight="1" s="111">
      <c r="A1" s="157" t="inlineStr">
        <is>
          <t>Tau-U数据填写说明</t>
        </is>
      </c>
      <c r="B1" s="119" t="n"/>
    </row>
    <row r="2" ht="15" customHeight="1" s="111">
      <c r="A2" s="158" t="n"/>
      <c r="B2" s="119" t="n"/>
    </row>
    <row r="3" ht="15" customHeight="1" s="111">
      <c r="A3" s="117" t="inlineStr">
        <is>
          <t>用途</t>
        </is>
      </c>
      <c r="B3" s="119" t="inlineStr">
        <is>
          <t>“Tau-U数据”表每个K一行，填算Tau-U要用的三样：前后两段的数值、改善方向、基线趋势校正判断。本表不算Tau-U本身。</t>
        </is>
      </c>
    </row>
    <row r="4" ht="108" customHeight="1" s="111">
      <c r="A4" s="117" t="inlineStr">
        <is>
          <t>已填范围</t>
        </is>
      </c>
      <c r="B4" s="119" t="inlineStr">
        <is>
          <t>001-二次、002-二次原有30个K保持原样；GPT另补263个。详见“取点核查记录”。 2026-10-17新增002-滚雪球、061-二次共14K（K560–K573）：干预11、泛化3；逐点数据、基线趋势及图页定位已补齐。 本次按年龄排除Tom、Steve共4K（K560–K563）后，补充部分现保留10K（K564–K573）：干预9、泛化1。 2026-10-18同步为429K：删除013二次、040二次，恢复018二次、080二次。 2026-10-24同步为393K：删除031滚雪球20K；044二次泛化合并（删除16K）；056滚雪球35K改取Accuracy，前后段数值与基线趋势τ、p已重算。</t>
        </is>
      </c>
    </row>
    <row r="5" ht="24" customHeight="1" s="111">
      <c r="A5" s="117" t="inlineStr">
        <is>
          <t>前段、后段数值</t>
        </is>
      </c>
      <c r="B5" s="118" t="inlineStr">
        <is>
          <t>前段、后段按本表“比较的两段”和原文阶段定义确定。旧清单只用于K对应文献、参与者、指标、图页和面板的定位；不采用旧点数或旧数值。原文有疑点则整条暂不补入并记录。</t>
        </is>
      </c>
    </row>
    <row r="6" ht="15" customHeight="1" s="111">
      <c r="A6" s="158" t="n"/>
      <c r="B6" s="118" t="inlineStr">
        <is>
          <t>按横轴会话顺序从左到右写，英文逗号加空格分隔，如“0, 0, 40, 20”。</t>
        </is>
      </c>
    </row>
    <row r="7" ht="24" customHeight="1" s="111">
      <c r="A7" s="158" t="n"/>
      <c r="B7" s="118" t="inlineStr">
        <is>
          <t>同一高度的点记同一个值，不同高度的点保持可区分。百分比一般取整；若不同水平取整后会合并，则多保留一位。不将标记形状造成的微小坐标偏差当作真实差异。</t>
        </is>
      </c>
    </row>
    <row r="8" ht="15" customHeight="1" s="111">
      <c r="A8" s="158" t="n"/>
      <c r="B8" s="118" t="inlineStr">
        <is>
          <t>同一会话训练点和泛化点重叠时，被盖住的点也要取。矢量图可从PDF坐标算出精确值（001、002都是这样取的）。</t>
        </is>
      </c>
    </row>
    <row r="9" ht="15" customHeight="1" s="111">
      <c r="A9" s="158" t="n"/>
      <c r="B9" s="118" t="inlineStr">
        <is>
          <t>维持K的前段与对应干预K的前段完全相同。</t>
        </is>
      </c>
    </row>
    <row r="10" ht="15" customHeight="1" s="111">
      <c r="A10" s="158" t="n"/>
      <c r="B10" s="118" t="inlineStr">
        <is>
          <t>“前段点数”“后段点数”是公式，按逗号自动计数，不用手填。</t>
        </is>
      </c>
    </row>
    <row r="11" ht="15" customHeight="1" s="111">
      <c r="A11" s="117" t="inlineStr">
        <is>
          <t>改善方向</t>
        </is>
      </c>
      <c r="B11" s="118" t="inlineStr">
        <is>
          <t>依指标定义和原文填写“升高改善”或“降低改善”；潜伏期越短越好，适当行为频率、正确率、时长或多样性按原文目标核定。</t>
        </is>
      </c>
    </row>
    <row r="12" ht="29.25" customHeight="1" s="111">
      <c r="A12" s="117" t="inlineStr">
        <is>
          <t>反向K（降低改善）</t>
        </is>
      </c>
      <c r="B12" s="118" t="inlineStr">
        <is>
          <t>共33个（2026-10-24合并044泛化后由41个减为33个），都是社会发起潜伏期（从得到机会到主动发起互动的秒数，越短越好）。已在“Tau-U数据”表填好“降低改善”，整行标橙色。</t>
        </is>
      </c>
    </row>
    <row r="13" ht="29.25" customHeight="1" s="111">
      <c r="A13" s="158" t="n"/>
      <c r="B13" s="119" t="inlineStr">
        <is>
          <t>039-二次（18个）：J. 干预K285、K287、K289，维持K286、K288、K290；P. 干预K293、K295、K297，维持K294、K296、K298；S. 干预K301、K303、K305，维持K302、K304、K306。</t>
        </is>
      </c>
    </row>
    <row r="14" ht="29.25" customHeight="1" s="111">
      <c r="A14" s="158" t="n"/>
      <c r="B14" s="119" t="inlineStr">
        <is>
          <t>043-二次（6个）：Daniel K341（干预）、K342（维持）；Christopher K345（干预）、K346（维持）；Andrew K349（干预）、K350（维持）。</t>
        </is>
      </c>
    </row>
    <row r="15" ht="29.25" customHeight="1" s="111">
      <c r="A15" s="158" t="n"/>
      <c r="B15" s="119" t="inlineStr">
        <is>
          <t>044-二次（9个）：Kirsty K353（干预）、K354（维持）、泛化K355（条件C–F合并）；Niko K365（干预）、K366（维持）、泛化K367（条件C–F合并）；Jamie K377（干预）、K378（维持）、泛化K380（条件D–F合并）。2026-10-24前为17个，K356–K358、K368–K370、K381、K382已并入。</t>
        </is>
      </c>
    </row>
    <row r="16" ht="15" customHeight="1" s="111">
      <c r="A16" s="158" t="n"/>
      <c r="B16" s="118" t="inlineStr">
        <is>
          <t>其中40个在469K表“改善方向”列已标降低改善；K380是后来新增的，不在469K表里，见“新增K取点”说明（降低改善，先乘-1）。 （历史说明，现以“Tau-U数据”表为准。）</t>
        </is>
      </c>
    </row>
    <row r="17" ht="15" customHeight="1" s="111">
      <c r="A17" s="158" t="n"/>
      <c r="B17" s="118" t="inlineStr">
        <is>
          <t>同文献里的互惠游戏时长（如039的K291、K292，043的K343、K344，044的B2相互游戏总时长）是越长越好，不是反向，不要翻转。</t>
        </is>
      </c>
    </row>
    <row r="18" ht="29.25" customHeight="1" s="111">
      <c r="A18" s="158" t="n"/>
      <c r="B18" s="118" t="inlineStr">
        <is>
          <t>这33个K：基线趋势τ为负且p＜.05才算与改善方向一致、需要校正（“是否校正”公式已按此判断）；正式算Tau-U时，把数值都乘以−1，或在计算器里选“降低”，效应量才是正的。</t>
        </is>
      </c>
    </row>
    <row r="19" ht="24" customHeight="1" s="111">
      <c r="A19" s="117" t="inlineStr">
        <is>
          <t>基线趋势τ、p</t>
        </is>
      </c>
      <c r="B19" s="118" t="inlineStr">
        <is>
          <t>用前段数值与会话序号1,2,…,n计算Kendall τ-b及双侧p，算法口径参照scipy.stats.kendalltau默认auto。新增值存完整精度、仅显示三位小数，“是否校正”按完整值判断。原有001、002保持不动。</t>
        </is>
      </c>
    </row>
    <row r="20" ht="15" customHeight="1" s="111">
      <c r="A20" s="158" t="n"/>
      <c r="B20" s="118" t="inlineStr">
        <is>
          <t>前段数值全部相同时，τ记0，p记1。</t>
        </is>
      </c>
    </row>
    <row r="21" ht="15" customHeight="1" s="111">
      <c r="A21" s="117" t="inlineStr">
        <is>
          <t>是否校正</t>
        </is>
      </c>
      <c r="B21" s="118" t="inlineStr">
        <is>
          <t>公式自动判断，不用手填：p＜.05，且趋势方向与改善方向一致（升高改善时τ＞0，降低改善时τ＜0）→“校正”；其余→“不校正”。</t>
        </is>
      </c>
    </row>
    <row r="22" ht="29.25" customHeight="1" s="111">
      <c r="A22" s="158" t="n"/>
      <c r="B22" s="118" t="inlineStr">
        <is>
          <t>依据：Fingerhut、Xu和Moeyaert（2021）的Tau-U选择流程图，先检验每个个案的基线趋势是否显著且与预期干预效果同向，是则校正；显著性水平.05参照Tarlow（2017）。</t>
        </is>
      </c>
    </row>
    <row r="23" ht="15" customHeight="1" s="111">
      <c r="A23" s="158" t="n"/>
      <c r="B23" s="118" t="inlineStr">
        <is>
          <t>示例：K019 基线τ＝−0.788，p＝.032，显著但为下降，与改善方向相反，不校正。001、002的30个K都不需要校正。</t>
        </is>
      </c>
    </row>
    <row r="24" ht="36" customHeight="1" s="111">
      <c r="A24" s="158" t="n"/>
      <c r="B24" s="118" t="inlineStr">
        <is>
          <t>需要校正的K统一采用Parker等（2011）的“A vs B − Trend A”，对应singlecaseresearch.org同名结果，不用Tarlow（2017）的基线校正Tau。若超出±1照实报告并说明局限；标准误按计算器输出。正式计算前挑2–3个K核对网页。本表仅判断是否校正，尚未计算Tau-U或校正后的效应量。</t>
        </is>
      </c>
    </row>
    <row r="25" ht="43.5" customHeight="1" s="111">
      <c r="A25" s="117" t="inlineStr">
        <is>
          <t>与K清单点数不同</t>
        </is>
      </c>
      <c r="B25" s="118" t="inlineStr">
        <is>
          <t>以本表为准：K004 前段12（清单11）；K014 后段5（清单4）；K016 前段4（清单3）；K019 前段6（清单5）；K020 前段11（清单8）；K021 前段9（清单4）；K027 前段5（清单4）；K032 前段8（清单7）。K004、K020是清单漏数基线点，K014漏数干预点；其余5个是被训练点盖住的泛化前测点。</t>
        </is>
      </c>
    </row>
    <row r="26" ht="15" customHeight="1" s="111">
      <c r="A26" s="117" t="inlineStr">
        <is>
          <t>数值核对</t>
        </is>
      </c>
      <c r="B26" s="119" t="inlineStr">
        <is>
          <t>002：按本表数值算出的NAP与原文Table 2对照，22个K中21个一致；K028按图为0.91，原文为0.93，以图为准。</t>
        </is>
      </c>
    </row>
    <row r="27" ht="29.25" customHeight="1" s="111">
      <c r="A27" s="158" t="n"/>
      <c r="B27" s="119" t="inlineStr">
        <is>
          <t>001：与正文报告的均值、范围对照，大多一致；K004后段均值按图40%、正文55%，K009后段按图60%、正文65%，K005前段范围按图0–50%、正文0–25%，均以图为准。</t>
        </is>
      </c>
    </row>
    <row r="28" ht="34.5" customHeight="1" s="111">
      <c r="A28" s="117" t="inlineStr">
        <is>
          <t>参考文献</t>
        </is>
      </c>
      <c r="B28" s="119" t="inlineStr">
        <is>
          <t>Fingerhut, J., Xu, X., &amp; Moeyaert, M. (2021). Selecting the proper Tau-U measure for single-case experimental designs: Development and application of a decision flowchart. Evidence-Based Communication Assessment and Intervention, 15(3), 99–114. https://doi.org/10.1080/17489539.2021.1937851</t>
        </is>
      </c>
    </row>
    <row r="29" ht="23.25" customHeight="1" s="111">
      <c r="A29" s="158" t="n"/>
      <c r="B29" s="119" t="inlineStr">
        <is>
          <t>Tarlow, K. R. (2017). An improved rank correlation effect size statistic for single-case designs: Baseline corrected Tau. Behavior Modification, 41(4), 427–467. https://doi.org/10.1177/0145445516676750</t>
        </is>
      </c>
    </row>
    <row r="30" ht="24" customHeight="1" s="111">
      <c r="A30" s="117" t="inlineStr">
        <is>
          <t>本次检验核验</t>
        </is>
      </c>
      <c r="B30" s="118" t="inlineStr">
        <is>
          <t>新增基线统计按默认auto算法同口径实现；与既有30条保存的三位小数结果逐条一致。算法参考：https://docs.scipy.org/doc/scipy/reference/generated/scipy.stats.kendalltau.html</t>
        </is>
      </c>
    </row>
    <row r="31" ht="15" customHeight="1" s="111">
      <c r="A31" s="117" t="inlineStr">
        <is>
          <t>图位置</t>
        </is>
      </c>
      <c r="B31" s="119" t="inlineStr">
        <is>
          <t>“Tau-U数据”N列给出图号／PDF页／面板／符号定位；原始PDF文件路径见“取点核查记录”。未完成核查或原文缺失会注明。</t>
        </is>
      </c>
    </row>
    <row r="32" ht="29.25" customHeight="1" s="111">
      <c r="A32" s="158" t="inlineStr">
        <is>
          <t>Claude补入的判断（需用户留意）</t>
        </is>
      </c>
      <c r="B32" s="119" t="inlineStr">
        <is>
          <t>026、027：图中与阶段均值相等的非整数点判定为作者画的均值标记，已剔除；027各儿童按表3三阶段均值与PND划分阶段（Helen的虚线比实际晚约3次）。</t>
        </is>
      </c>
    </row>
    <row r="33" ht="15" customHeight="1" s="111">
      <c r="A33" s="158" t="n"/>
      <c r="B33" s="119" t="inlineStr">
        <is>
          <t>039：SI-Table、SI-Rags按已定规则从首次出现在录像中起算干预，此前为基线；GPT已填的J.、P.、S.相关9个K据此修正（浅紫色）。</t>
        </is>
      </c>
    </row>
    <row r="34" ht="29.25" customHeight="1" s="111">
      <c r="A34" s="158" t="n"/>
      <c r="B34" s="119" t="inlineStr">
        <is>
          <t>040：BSL|VM虚线与场次标记对不齐，前段取第一个非零点之前的全部0，后段从第一个非零点起；有口头提示的K截止到B箭头所指点之前。</t>
        </is>
      </c>
    </row>
    <row r="35" ht="15" customHeight="1" s="111">
      <c r="A35" s="158" t="n"/>
      <c r="B35" s="118" t="inlineStr">
        <is>
          <t>其余：正文与图不一致处（均值、范围、基线次数、提示引入场次）一律按规则8以图为准，具体写在各K的核查记录里。</t>
        </is>
      </c>
    </row>
    <row r="36" ht="132" customHeight="1" s="111">
      <c r="A36" s="159" t="inlineStr">
        <is>
          <t>002滚雪球、061取点口径</t>
        </is>
      </c>
      <c r="B36" s="160" t="inlineStr">
        <is>
          <t>002取Figure 1完整6步骤总分，泛化沿用原训练店基线，不另计维持。061取三目标总分：6名Later Gators首次A1–B1各5点；Kade/Hank首次VM前10点对图示9个干预点。061百分比序列保留2位小数（1/3=33.33%，2/3=66.67%），保持大小顺序和并列关系；第二轮、C及不足3点的M/G不另取K。</t>
        </is>
      </c>
    </row>
    <row r="37">
      <c r="A37" s="158" t="inlineStr">
        <is>
          <t>2026-10-24修订</t>
        </is>
      </c>
      <c r="B37" s="119" t="inlineStr">
        <is>
          <t>056滚雪球：改取Figure 1–5右轴Accuracy空心方形（任务分析步骤正确百分比），不再取左轴Variability（不重复正确反应连续计数）。前段BL，干预K后段为紧接BL的第一个干预条件，维持K后段为最后一条阶段线后的Maintenance；从PDF矢量坐标读取，按各技能步数（回答问题4步、维持交谈5步、表达需求6步、参与5步）对齐到合法百分比；8个不在网格上的点（K441、K457、K458、K459、K466）按图保留。K473原后段误抄K472干预段，已更正。</t>
        </is>
      </c>
    </row>
    <row r="38">
      <c r="A38" s="158" t="n"/>
      <c r="B38" s="119" t="inlineStr">
        <is>
          <t>044二次：条件C–F依次换玩具、不看视频，按达标规则顺序推进、共用同一基线，同属跨玩具泛化；每名儿童每个因变量只取1个泛化K，后段按条件顺序拼接（Jamie条件C未取，为D–F）。</t>
        </is>
      </c>
    </row>
    <row r="39">
      <c r="A39" s="158" t="n"/>
      <c r="B39" s="119" t="inlineStr">
        <is>
          <t>031滚雪球整篇排除（视频反馈，非视频示范）。039二次复核：SI-Table、SI-Rags已按规则取段，干预段开头的300秒来自首次视频3未达标及其后回到视频1的会话，未改。</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25"/>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31" customWidth="1" style="110" min="1" max="1"/>
    <col width="23" customWidth="1" style="110" min="2" max="2"/>
    <col width="8" customWidth="1" style="110" min="3" max="9"/>
  </cols>
  <sheetData>
    <row r="1" ht="17.15" customHeight="1" s="111">
      <c r="A1" s="161" t="inlineStr">
        <is>
          <t>各组K数与篇数（公式按“K分组表”实时计算）</t>
        </is>
      </c>
    </row>
    <row r="2" ht="15" customHeight="1" s="111">
      <c r="A2" s="162" t="inlineStr">
        <is>
          <t>“篇”为该组在该效果类型下的不同文献数。</t>
        </is>
      </c>
    </row>
    <row r="4" ht="30" customHeight="1" s="111">
      <c r="A4" s="120" t="inlineStr">
        <is>
          <t>层级</t>
        </is>
      </c>
      <c r="B4" s="120" t="inlineStr">
        <is>
          <t>组</t>
        </is>
      </c>
      <c r="C4" s="120" t="inlineStr">
        <is>
          <t>干预 K</t>
        </is>
      </c>
      <c r="D4" s="120" t="inlineStr">
        <is>
          <t>干预 篇</t>
        </is>
      </c>
      <c r="E4" s="120" t="inlineStr">
        <is>
          <t>维持 K</t>
        </is>
      </c>
      <c r="F4" s="120" t="inlineStr">
        <is>
          <t>维持 篇</t>
        </is>
      </c>
      <c r="G4" s="120" t="inlineStr">
        <is>
          <t>泛化 K</t>
        </is>
      </c>
      <c r="H4" s="120" t="inlineStr">
        <is>
          <t>泛化 篇</t>
        </is>
      </c>
      <c r="I4" s="120" t="inlineStr">
        <is>
          <t>K合计</t>
        </is>
      </c>
    </row>
    <row r="5" ht="15" customHeight="1" s="111">
      <c r="A5" s="163" t="inlineStr">
        <is>
          <t>领域（A1）</t>
        </is>
      </c>
      <c r="B5" s="163" t="inlineStr">
        <is>
          <t>社交情感互惠</t>
        </is>
      </c>
      <c r="C5" s="164">
        <f>COUNTIFS(K分组表!$F$2:$F$394,$B5,K分组表!$D$2:$D$394,"干预")</f>
        <v/>
      </c>
      <c r="D5" s="164">
        <f>SUMPRODUCT((K分组表!$F$2:$F$394=$B5)*(K分组表!$D$2:$D$394="干预")/COUNTIFS(K分组表!$B$2:$B$394,K分组表!$B$2:$B$394,K分组表!$F$2:$F$394,K分组表!$F$2:$F$394,K分组表!$D$2:$D$394,K分组表!$D$2:$D$394))</f>
        <v/>
      </c>
      <c r="E5" s="164">
        <f>COUNTIFS(K分组表!$F$2:$F$394,$B5,K分组表!$D$2:$D$394,"维持")</f>
        <v/>
      </c>
      <c r="F5" s="164">
        <f>SUMPRODUCT((K分组表!$F$2:$F$394=$B5)*(K分组表!$D$2:$D$394="维持")/COUNTIFS(K分组表!$B$2:$B$394,K分组表!$B$2:$B$394,K分组表!$F$2:$F$394,K分组表!$F$2:$F$394,K分组表!$D$2:$D$394,K分组表!$D$2:$D$394))</f>
        <v/>
      </c>
      <c r="G5" s="164">
        <f>COUNTIFS(K分组表!$F$2:$F$394,$B5,K分组表!$D$2:$D$394,"泛化")</f>
        <v/>
      </c>
      <c r="H5" s="164">
        <f>SUMPRODUCT((K分组表!$F$2:$F$394=$B5)*(K分组表!$D$2:$D$394="泛化")/COUNTIFS(K分组表!$B$2:$B$394,K分组表!$B$2:$B$394,K分组表!$F$2:$F$394,K分组表!$F$2:$F$394,K分组表!$D$2:$D$394,K分组表!$D$2:$D$394))</f>
        <v/>
      </c>
      <c r="I5" s="164">
        <f>COUNTIF(K分组表!$F$2:$F$394,$B5)</f>
        <v/>
      </c>
    </row>
    <row r="6" ht="15" customHeight="1" s="111">
      <c r="A6" s="165" t="inlineStr">
        <is>
          <t>领域（A2）</t>
        </is>
      </c>
      <c r="B6" s="165" t="inlineStr">
        <is>
          <t>非言语沟通</t>
        </is>
      </c>
      <c r="C6" s="164">
        <f>COUNTIFS(K分组表!$F$2:$F$394,$B6,K分组表!$D$2:$D$394,"干预")</f>
        <v/>
      </c>
      <c r="D6" s="164">
        <f>SUMPRODUCT((K分组表!$F$2:$F$394=$B6)*(K分组表!$D$2:$D$394="干预")/COUNTIFS(K分组表!$B$2:$B$394,K分组表!$B$2:$B$394,K分组表!$F$2:$F$394,K分组表!$F$2:$F$394,K分组表!$D$2:$D$394,K分组表!$D$2:$D$394))</f>
        <v/>
      </c>
      <c r="E6" s="164">
        <f>COUNTIFS(K分组表!$F$2:$F$394,$B6,K分组表!$D$2:$D$394,"维持")</f>
        <v/>
      </c>
      <c r="F6" s="164">
        <f>SUMPRODUCT((K分组表!$F$2:$F$394=$B6)*(K分组表!$D$2:$D$394="维持")/COUNTIFS(K分组表!$B$2:$B$394,K分组表!$B$2:$B$394,K分组表!$F$2:$F$394,K分组表!$F$2:$F$394,K分组表!$D$2:$D$394,K分组表!$D$2:$D$394))</f>
        <v/>
      </c>
      <c r="G6" s="164">
        <f>COUNTIFS(K分组表!$F$2:$F$394,$B6,K分组表!$D$2:$D$394,"泛化")</f>
        <v/>
      </c>
      <c r="H6" s="164">
        <f>SUMPRODUCT((K分组表!$F$2:$F$394=$B6)*(K分组表!$D$2:$D$394="泛化")/COUNTIFS(K分组表!$B$2:$B$394,K分组表!$B$2:$B$394,K分组表!$F$2:$F$394,K分组表!$F$2:$F$394,K分组表!$D$2:$D$394,K分组表!$D$2:$D$394))</f>
        <v/>
      </c>
      <c r="I6" s="164">
        <f>COUNTIF(K分组表!$F$2:$F$394,$B6)</f>
        <v/>
      </c>
    </row>
    <row r="7" ht="15" customHeight="1" s="111">
      <c r="A7" s="166" t="inlineStr">
        <is>
          <t>领域（A3）</t>
        </is>
      </c>
      <c r="B7" s="166" t="inlineStr">
        <is>
          <t>人际关系发展</t>
        </is>
      </c>
      <c r="C7" s="164">
        <f>COUNTIFS(K分组表!$F$2:$F$394,$B7,K分组表!$D$2:$D$394,"干预")</f>
        <v/>
      </c>
      <c r="D7" s="164">
        <f>SUMPRODUCT((K分组表!$F$2:$F$394=$B7)*(K分组表!$D$2:$D$394="干预")/COUNTIFS(K分组表!$B$2:$B$394,K分组表!$B$2:$B$394,K分组表!$F$2:$F$394,K分组表!$F$2:$F$394,K分组表!$D$2:$D$394,K分组表!$D$2:$D$394))</f>
        <v/>
      </c>
      <c r="E7" s="164">
        <f>COUNTIFS(K分组表!$F$2:$F$394,$B7,K分组表!$D$2:$D$394,"维持")</f>
        <v/>
      </c>
      <c r="F7" s="164">
        <f>SUMPRODUCT((K分组表!$F$2:$F$394=$B7)*(K分组表!$D$2:$D$394="维持")/COUNTIFS(K分组表!$B$2:$B$394,K分组表!$B$2:$B$394,K分组表!$F$2:$F$394,K分组表!$F$2:$F$394,K分组表!$D$2:$D$394,K分组表!$D$2:$D$394))</f>
        <v/>
      </c>
      <c r="G7" s="164">
        <f>COUNTIFS(K分组表!$F$2:$F$394,$B7,K分组表!$D$2:$D$394,"泛化")</f>
        <v/>
      </c>
      <c r="H7" s="164">
        <f>SUMPRODUCT((K分组表!$F$2:$F$394=$B7)*(K分组表!$D$2:$D$394="泛化")/COUNTIFS(K分组表!$B$2:$B$394,K分组表!$B$2:$B$394,K分组表!$F$2:$F$394,K分组表!$F$2:$F$394,K分组表!$D$2:$D$394,K分组表!$D$2:$D$394))</f>
        <v/>
      </c>
      <c r="I7" s="164">
        <f>COUNTIF(K分组表!$F$2:$F$394,$B7)</f>
        <v/>
      </c>
    </row>
    <row r="9" ht="15" customHeight="1" s="111">
      <c r="A9" s="163" t="inlineStr">
        <is>
          <t>类型（社交情感互惠）</t>
        </is>
      </c>
      <c r="B9" s="163" t="inlineStr">
        <is>
          <t>社交发起</t>
        </is>
      </c>
      <c r="C9" s="164">
        <f>COUNTIFS(K分组表!$G$2:$G$394,$B9,K分组表!$D$2:$D$394,"干预")</f>
        <v/>
      </c>
      <c r="D9" s="164">
        <f>SUMPRODUCT((K分组表!$G$2:$G$394=$B9)*(K分组表!$D$2:$D$394="干预")/COUNTIFS(K分组表!$B$2:$B$394,K分组表!$B$2:$B$394,K分组表!$G$2:$G$394,K分组表!$G$2:$G$394,K分组表!$D$2:$D$394,K分组表!$D$2:$D$394))</f>
        <v/>
      </c>
      <c r="E9" s="164">
        <f>COUNTIFS(K分组表!$G$2:$G$394,$B9,K分组表!$D$2:$D$394,"维持")</f>
        <v/>
      </c>
      <c r="F9" s="164">
        <f>SUMPRODUCT((K分组表!$G$2:$G$394=$B9)*(K分组表!$D$2:$D$394="维持")/COUNTIFS(K分组表!$B$2:$B$394,K分组表!$B$2:$B$394,K分组表!$G$2:$G$394,K分组表!$G$2:$G$394,K分组表!$D$2:$D$394,K分组表!$D$2:$D$394))</f>
        <v/>
      </c>
      <c r="G9" s="164">
        <f>COUNTIFS(K分组表!$G$2:$G$394,$B9,K分组表!$D$2:$D$394,"泛化")</f>
        <v/>
      </c>
      <c r="H9" s="164">
        <f>SUMPRODUCT((K分组表!$G$2:$G$394=$B9)*(K分组表!$D$2:$D$394="泛化")/COUNTIFS(K分组表!$B$2:$B$394,K分组表!$B$2:$B$394,K分组表!$G$2:$G$394,K分组表!$G$2:$G$394,K分组表!$D$2:$D$394,K分组表!$D$2:$D$394))</f>
        <v/>
      </c>
      <c r="I9" s="164">
        <f>COUNTIF(K分组表!$G$2:$G$394,$B9)</f>
        <v/>
      </c>
    </row>
    <row r="10" ht="15" customHeight="1" s="111">
      <c r="A10" s="163" t="inlineStr">
        <is>
          <t>类型（社交情感互惠）</t>
        </is>
      </c>
      <c r="B10" s="163" t="inlineStr">
        <is>
          <t>社交应答</t>
        </is>
      </c>
      <c r="C10" s="164">
        <f>COUNTIFS(K分组表!$G$2:$G$394,$B10,K分组表!$D$2:$D$394,"干预")</f>
        <v/>
      </c>
      <c r="D10" s="164">
        <f>SUMPRODUCT((K分组表!$G$2:$G$394=$B10)*(K分组表!$D$2:$D$394="干预")/COUNTIFS(K分组表!$B$2:$B$394,K分组表!$B$2:$B$394,K分组表!$G$2:$G$394,K分组表!$G$2:$G$394,K分组表!$D$2:$D$394,K分组表!$D$2:$D$394))</f>
        <v/>
      </c>
      <c r="E10" s="164">
        <f>COUNTIFS(K分组表!$G$2:$G$394,$B10,K分组表!$D$2:$D$394,"维持")</f>
        <v/>
      </c>
      <c r="F10" s="164">
        <f>SUMPRODUCT((K分组表!$G$2:$G$394=$B10)*(K分组表!$D$2:$D$394="维持")/COUNTIFS(K分组表!$B$2:$B$394,K分组表!$B$2:$B$394,K分组表!$G$2:$G$394,K分组表!$G$2:$G$394,K分组表!$D$2:$D$394,K分组表!$D$2:$D$394))</f>
        <v/>
      </c>
      <c r="G10" s="164">
        <f>COUNTIFS(K分组表!$G$2:$G$394,$B10,K分组表!$D$2:$D$394,"泛化")</f>
        <v/>
      </c>
      <c r="H10" s="164">
        <f>SUMPRODUCT((K分组表!$G$2:$G$394=$B10)*(K分组表!$D$2:$D$394="泛化")/COUNTIFS(K分组表!$B$2:$B$394,K分组表!$B$2:$B$394,K分组表!$G$2:$G$394,K分组表!$G$2:$G$394,K分组表!$D$2:$D$394,K分组表!$D$2:$D$394))</f>
        <v/>
      </c>
      <c r="I10" s="164">
        <f>COUNTIF(K分组表!$G$2:$G$394,$B10)</f>
        <v/>
      </c>
    </row>
    <row r="11" ht="15" customHeight="1" s="111">
      <c r="A11" s="163" t="inlineStr">
        <is>
          <t>类型（社交情感互惠）</t>
        </is>
      </c>
      <c r="B11" s="163" t="inlineStr">
        <is>
          <t>会话维持</t>
        </is>
      </c>
      <c r="C11" s="164">
        <f>COUNTIFS(K分组表!$G$2:$G$394,$B11,K分组表!$D$2:$D$394,"干预")</f>
        <v/>
      </c>
      <c r="D11" s="164">
        <f>SUMPRODUCT((K分组表!$G$2:$G$394=$B11)*(K分组表!$D$2:$D$394="干预")/COUNTIFS(K分组表!$B$2:$B$394,K分组表!$B$2:$B$394,K分组表!$G$2:$G$394,K分组表!$G$2:$G$394,K分组表!$D$2:$D$394,K分组表!$D$2:$D$394))</f>
        <v/>
      </c>
      <c r="E11" s="164">
        <f>COUNTIFS(K分组表!$G$2:$G$394,$B11,K分组表!$D$2:$D$394,"维持")</f>
        <v/>
      </c>
      <c r="F11" s="164">
        <f>SUMPRODUCT((K分组表!$G$2:$G$394=$B11)*(K分组表!$D$2:$D$394="维持")/COUNTIFS(K分组表!$B$2:$B$394,K分组表!$B$2:$B$394,K分组表!$G$2:$G$394,K分组表!$G$2:$G$394,K分组表!$D$2:$D$394,K分组表!$D$2:$D$394))</f>
        <v/>
      </c>
      <c r="G11" s="164">
        <f>COUNTIFS(K分组表!$G$2:$G$394,$B11,K分组表!$D$2:$D$394,"泛化")</f>
        <v/>
      </c>
      <c r="H11" s="164">
        <f>SUMPRODUCT((K分组表!$G$2:$G$394=$B11)*(K分组表!$D$2:$D$394="泛化")/COUNTIFS(K分组表!$B$2:$B$394,K分组表!$B$2:$B$394,K分组表!$G$2:$G$394,K分组表!$G$2:$G$394,K分组表!$D$2:$D$394,K分组表!$D$2:$D$394))</f>
        <v/>
      </c>
      <c r="I11" s="164">
        <f>COUNTIF(K分组表!$G$2:$G$394,$B11)</f>
        <v/>
      </c>
    </row>
    <row r="12" ht="15" customHeight="1" s="111">
      <c r="A12" s="163" t="inlineStr">
        <is>
          <t>类型（社交情感互惠）</t>
        </is>
      </c>
      <c r="B12" s="163" t="inlineStr">
        <is>
          <t>需求表达</t>
        </is>
      </c>
      <c r="C12" s="164">
        <f>COUNTIFS(K分组表!$G$2:$G$394,$B12,K分组表!$D$2:$D$394,"干预")</f>
        <v/>
      </c>
      <c r="D12" s="164">
        <f>SUMPRODUCT((K分组表!$G$2:$G$394=$B12)*(K分组表!$D$2:$D$394="干预")/COUNTIFS(K分组表!$B$2:$B$394,K分组表!$B$2:$B$394,K分组表!$G$2:$G$394,K分组表!$G$2:$G$394,K分组表!$D$2:$D$394,K分组表!$D$2:$D$394))</f>
        <v/>
      </c>
      <c r="E12" s="164">
        <f>COUNTIFS(K分组表!$G$2:$G$394,$B12,K分组表!$D$2:$D$394,"维持")</f>
        <v/>
      </c>
      <c r="F12" s="164">
        <f>SUMPRODUCT((K分组表!$G$2:$G$394=$B12)*(K分组表!$D$2:$D$394="维持")/COUNTIFS(K分组表!$B$2:$B$394,K分组表!$B$2:$B$394,K分组表!$G$2:$G$394,K分组表!$G$2:$G$394,K分组表!$D$2:$D$394,K分组表!$D$2:$D$394))</f>
        <v/>
      </c>
      <c r="G12" s="164">
        <f>COUNTIFS(K分组表!$G$2:$G$394,$B12,K分组表!$D$2:$D$394,"泛化")</f>
        <v/>
      </c>
      <c r="H12" s="164">
        <f>SUMPRODUCT((K分组表!$G$2:$G$394=$B12)*(K分组表!$D$2:$D$394="泛化")/COUNTIFS(K分组表!$B$2:$B$394,K分组表!$B$2:$B$394,K分组表!$G$2:$G$394,K分组表!$G$2:$G$394,K分组表!$D$2:$D$394,K分组表!$D$2:$D$394))</f>
        <v/>
      </c>
      <c r="I12" s="164">
        <f>COUNTIF(K分组表!$G$2:$G$394,$B12)</f>
        <v/>
      </c>
    </row>
    <row r="13" ht="15" customHeight="1" s="111">
      <c r="A13" s="163" t="inlineStr">
        <is>
          <t>类型（社交情感互惠）</t>
        </is>
      </c>
      <c r="B13" s="163" t="inlineStr">
        <is>
          <t>情感分享</t>
        </is>
      </c>
      <c r="C13" s="164">
        <f>COUNTIFS(K分组表!$G$2:$G$394,$B13,K分组表!$D$2:$D$394,"干预")</f>
        <v/>
      </c>
      <c r="D13" s="164">
        <f>SUMPRODUCT((K分组表!$G$2:$G$394=$B13)*(K分组表!$D$2:$D$394="干预")/COUNTIFS(K分组表!$B$2:$B$394,K分组表!$B$2:$B$394,K分组表!$G$2:$G$394,K分组表!$G$2:$G$394,K分组表!$D$2:$D$394,K分组表!$D$2:$D$394))</f>
        <v/>
      </c>
      <c r="E13" s="164">
        <f>COUNTIFS(K分组表!$G$2:$G$394,$B13,K分组表!$D$2:$D$394,"维持")</f>
        <v/>
      </c>
      <c r="F13" s="164">
        <f>SUMPRODUCT((K分组表!$G$2:$G$394=$B13)*(K分组表!$D$2:$D$394="维持")/COUNTIFS(K分组表!$B$2:$B$394,K分组表!$B$2:$B$394,K分组表!$G$2:$G$394,K分组表!$G$2:$G$394,K分组表!$D$2:$D$394,K分组表!$D$2:$D$394))</f>
        <v/>
      </c>
      <c r="G13" s="164">
        <f>COUNTIFS(K分组表!$G$2:$G$394,$B13,K分组表!$D$2:$D$394,"泛化")</f>
        <v/>
      </c>
      <c r="H13" s="164">
        <f>SUMPRODUCT((K分组表!$G$2:$G$394=$B13)*(K分组表!$D$2:$D$394="泛化")/COUNTIFS(K分组表!$B$2:$B$394,K分组表!$B$2:$B$394,K分组表!$G$2:$G$394,K分组表!$G$2:$G$394,K分组表!$D$2:$D$394,K分组表!$D$2:$D$394))</f>
        <v/>
      </c>
      <c r="I13" s="164">
        <f>COUNTIF(K分组表!$G$2:$G$394,$B13)</f>
        <v/>
      </c>
    </row>
    <row r="14" ht="15" customHeight="1" s="111">
      <c r="A14" s="165" t="inlineStr">
        <is>
          <t>类型（非言语沟通）</t>
        </is>
      </c>
      <c r="B14" s="165" t="inlineStr">
        <is>
          <t>交往仪态</t>
        </is>
      </c>
      <c r="C14" s="164">
        <f>COUNTIFS(K分组表!$G$2:$G$394,$B14,K分组表!$D$2:$D$394,"干预")</f>
        <v/>
      </c>
      <c r="D14" s="164">
        <f>SUMPRODUCT((K分组表!$G$2:$G$394=$B14)*(K分组表!$D$2:$D$394="干预")/COUNTIFS(K分组表!$B$2:$B$394,K分组表!$B$2:$B$394,K分组表!$G$2:$G$394,K分组表!$G$2:$G$394,K分组表!$D$2:$D$394,K分组表!$D$2:$D$394))</f>
        <v/>
      </c>
      <c r="E14" s="164">
        <f>COUNTIFS(K分组表!$G$2:$G$394,$B14,K分组表!$D$2:$D$394,"维持")</f>
        <v/>
      </c>
      <c r="F14" s="164">
        <f>SUMPRODUCT((K分组表!$G$2:$G$394=$B14)*(K分组表!$D$2:$D$394="维持")/COUNTIFS(K分组表!$B$2:$B$394,K分组表!$B$2:$B$394,K分组表!$G$2:$G$394,K分组表!$G$2:$G$394,K分组表!$D$2:$D$394,K分组表!$D$2:$D$394))</f>
        <v/>
      </c>
      <c r="G14" s="164">
        <f>COUNTIFS(K分组表!$G$2:$G$394,$B14,K分组表!$D$2:$D$394,"泛化")</f>
        <v/>
      </c>
      <c r="H14" s="164">
        <f>SUMPRODUCT((K分组表!$G$2:$G$394=$B14)*(K分组表!$D$2:$D$394="泛化")/COUNTIFS(K分组表!$B$2:$B$394,K分组表!$B$2:$B$394,K分组表!$G$2:$G$394,K分组表!$G$2:$G$394,K分组表!$D$2:$D$394,K分组表!$D$2:$D$394))</f>
        <v/>
      </c>
      <c r="I14" s="164">
        <f>COUNTIF(K分组表!$G$2:$G$394,$B14)</f>
        <v/>
      </c>
    </row>
    <row r="15" ht="15" customHeight="1" s="111">
      <c r="A15" s="165" t="inlineStr">
        <is>
          <t>类型（非言语沟通）</t>
        </is>
      </c>
      <c r="B15" s="165" t="inlineStr">
        <is>
          <t>表情与手势</t>
        </is>
      </c>
      <c r="C15" s="164">
        <f>COUNTIFS(K分组表!$G$2:$G$394,$B15,K分组表!$D$2:$D$394,"干预")</f>
        <v/>
      </c>
      <c r="D15" s="164">
        <f>SUMPRODUCT((K分组表!$G$2:$G$394=$B15)*(K分组表!$D$2:$D$394="干预")/COUNTIFS(K分组表!$B$2:$B$394,K分组表!$B$2:$B$394,K分组表!$G$2:$G$394,K分组表!$G$2:$G$394,K分组表!$D$2:$D$394,K分组表!$D$2:$D$394))</f>
        <v/>
      </c>
      <c r="E15" s="164">
        <f>COUNTIFS(K分组表!$G$2:$G$394,$B15,K分组表!$D$2:$D$394,"维持")</f>
        <v/>
      </c>
      <c r="F15" s="164">
        <f>SUMPRODUCT((K分组表!$G$2:$G$394=$B15)*(K分组表!$D$2:$D$394="维持")/COUNTIFS(K分组表!$B$2:$B$394,K分组表!$B$2:$B$394,K分组表!$G$2:$G$394,K分组表!$G$2:$G$394,K分组表!$D$2:$D$394,K分组表!$D$2:$D$394))</f>
        <v/>
      </c>
      <c r="G15" s="164">
        <f>COUNTIFS(K分组表!$G$2:$G$394,$B15,K分组表!$D$2:$D$394,"泛化")</f>
        <v/>
      </c>
      <c r="H15" s="164">
        <f>SUMPRODUCT((K分组表!$G$2:$G$394=$B15)*(K分组表!$D$2:$D$394="泛化")/COUNTIFS(K分组表!$B$2:$B$394,K分组表!$B$2:$B$394,K分组表!$G$2:$G$394,K分组表!$G$2:$G$394,K分组表!$D$2:$D$394,K分组表!$D$2:$D$394))</f>
        <v/>
      </c>
      <c r="I15" s="164">
        <f>COUNTIF(K分组表!$G$2:$G$394,$B15)</f>
        <v/>
      </c>
    </row>
    <row r="16" ht="15" customHeight="1" s="111">
      <c r="A16" s="165" t="inlineStr">
        <is>
          <t>类型（非言语沟通）</t>
        </is>
      </c>
      <c r="B16" s="165" t="inlineStr">
        <is>
          <t>情绪表达</t>
        </is>
      </c>
      <c r="C16" s="164">
        <f>COUNTIFS(K分组表!$G$2:$G$394,$B16,K分组表!$D$2:$D$394,"干预")</f>
        <v/>
      </c>
      <c r="D16" s="164">
        <f>SUMPRODUCT((K分组表!$G$2:$G$394=$B16)*(K分组表!$D$2:$D$394="干预")/COUNTIFS(K分组表!$B$2:$B$394,K分组表!$B$2:$B$394,K分组表!$G$2:$G$394,K分组表!$G$2:$G$394,K分组表!$D$2:$D$394,K分组表!$D$2:$D$394))</f>
        <v/>
      </c>
      <c r="E16" s="164">
        <f>COUNTIFS(K分组表!$G$2:$G$394,$B16,K分组表!$D$2:$D$394,"维持")</f>
        <v/>
      </c>
      <c r="F16" s="164">
        <f>SUMPRODUCT((K分组表!$G$2:$G$394=$B16)*(K分组表!$D$2:$D$394="维持")/COUNTIFS(K分组表!$B$2:$B$394,K分组表!$B$2:$B$394,K分组表!$G$2:$G$394,K分组表!$G$2:$G$394,K分组表!$D$2:$D$394,K分组表!$D$2:$D$394))</f>
        <v/>
      </c>
      <c r="G16" s="164">
        <f>COUNTIFS(K分组表!$G$2:$G$394,$B16,K分组表!$D$2:$D$394,"泛化")</f>
        <v/>
      </c>
      <c r="H16" s="164">
        <f>SUMPRODUCT((K分组表!$G$2:$G$394=$B16)*(K分组表!$D$2:$D$394="泛化")/COUNTIFS(K分组表!$B$2:$B$394,K分组表!$B$2:$B$394,K分组表!$G$2:$G$394,K分组表!$G$2:$G$394,K分组表!$D$2:$D$394,K分组表!$D$2:$D$394))</f>
        <v/>
      </c>
      <c r="I16" s="164">
        <f>COUNTIF(K分组表!$G$2:$G$394,$B16)</f>
        <v/>
      </c>
    </row>
    <row r="17" ht="15" customHeight="1" s="111">
      <c r="A17" s="165" t="inlineStr">
        <is>
          <t>类型（非言语沟通）</t>
        </is>
      </c>
      <c r="B17" s="165" t="inlineStr">
        <is>
          <t>综合沟通</t>
        </is>
      </c>
      <c r="C17" s="164">
        <f>COUNTIFS(K分组表!$G$2:$G$394,$B17,K分组表!$D$2:$D$394,"干预")</f>
        <v/>
      </c>
      <c r="D17" s="164">
        <f>SUMPRODUCT((K分组表!$G$2:$G$394=$B17)*(K分组表!$D$2:$D$394="干预")/COUNTIFS(K分组表!$B$2:$B$394,K分组表!$B$2:$B$394,K分组表!$G$2:$G$394,K分组表!$G$2:$G$394,K分组表!$D$2:$D$394,K分组表!$D$2:$D$394))</f>
        <v/>
      </c>
      <c r="E17" s="164">
        <f>COUNTIFS(K分组表!$G$2:$G$394,$B17,K分组表!$D$2:$D$394,"维持")</f>
        <v/>
      </c>
      <c r="F17" s="164">
        <f>SUMPRODUCT((K分组表!$G$2:$G$394=$B17)*(K分组表!$D$2:$D$394="维持")/COUNTIFS(K分组表!$B$2:$B$394,K分组表!$B$2:$B$394,K分组表!$G$2:$G$394,K分组表!$G$2:$G$394,K分组表!$D$2:$D$394,K分组表!$D$2:$D$394))</f>
        <v/>
      </c>
      <c r="G17" s="164">
        <f>COUNTIFS(K分组表!$G$2:$G$394,$B17,K分组表!$D$2:$D$394,"泛化")</f>
        <v/>
      </c>
      <c r="H17" s="164">
        <f>SUMPRODUCT((K分组表!$G$2:$G$394=$B17)*(K分组表!$D$2:$D$394="泛化")/COUNTIFS(K分组表!$B$2:$B$394,K分组表!$B$2:$B$394,K分组表!$G$2:$G$394,K分组表!$G$2:$G$394,K分组表!$D$2:$D$394,K分组表!$D$2:$D$394))</f>
        <v/>
      </c>
      <c r="I17" s="164">
        <f>COUNTIF(K分组表!$G$2:$G$394,$B17)</f>
        <v/>
      </c>
    </row>
    <row r="18" ht="15" customHeight="1" s="111">
      <c r="A18" s="166" t="inlineStr">
        <is>
          <t>类型（人际关系发展）</t>
        </is>
      </c>
      <c r="B18" s="166" t="inlineStr">
        <is>
          <t>群体融入</t>
        </is>
      </c>
      <c r="C18" s="164">
        <f>COUNTIFS(K分组表!$G$2:$G$394,$B18,K分组表!$D$2:$D$394,"干预")</f>
        <v/>
      </c>
      <c r="D18" s="164">
        <f>SUMPRODUCT((K分组表!$G$2:$G$394=$B18)*(K分组表!$D$2:$D$394="干预")/COUNTIFS(K分组表!$B$2:$B$394,K分组表!$B$2:$B$394,K分组表!$G$2:$G$394,K分组表!$G$2:$G$394,K分组表!$D$2:$D$394,K分组表!$D$2:$D$394))</f>
        <v/>
      </c>
      <c r="E18" s="164">
        <f>COUNTIFS(K分组表!$G$2:$G$394,$B18,K分组表!$D$2:$D$394,"维持")</f>
        <v/>
      </c>
      <c r="F18" s="164">
        <f>SUMPRODUCT((K分组表!$G$2:$G$394=$B18)*(K分组表!$D$2:$D$394="维持")/COUNTIFS(K分组表!$B$2:$B$394,K分组表!$B$2:$B$394,K分组表!$G$2:$G$394,K分组表!$G$2:$G$394,K分组表!$D$2:$D$394,K分组表!$D$2:$D$394))</f>
        <v/>
      </c>
      <c r="G18" s="164">
        <f>COUNTIFS(K分组表!$G$2:$G$394,$B18,K分组表!$D$2:$D$394,"泛化")</f>
        <v/>
      </c>
      <c r="H18" s="164">
        <f>SUMPRODUCT((K分组表!$G$2:$G$394=$B18)*(K分组表!$D$2:$D$394="泛化")/COUNTIFS(K分组表!$B$2:$B$394,K分组表!$B$2:$B$394,K分组表!$G$2:$G$394,K分组表!$G$2:$G$394,K分组表!$D$2:$D$394,K分组表!$D$2:$D$394))</f>
        <v/>
      </c>
      <c r="I18" s="164">
        <f>COUNTIF(K分组表!$G$2:$G$394,$B18)</f>
        <v/>
      </c>
    </row>
    <row r="19" ht="15" customHeight="1" s="111">
      <c r="A19" s="166" t="inlineStr">
        <is>
          <t>类型（人际关系发展）</t>
        </is>
      </c>
      <c r="B19" s="166" t="inlineStr">
        <is>
          <t>游戏邀请</t>
        </is>
      </c>
      <c r="C19" s="164">
        <f>COUNTIFS(K分组表!$G$2:$G$394,$B19,K分组表!$D$2:$D$394,"干预")</f>
        <v/>
      </c>
      <c r="D19" s="164">
        <f>SUMPRODUCT((K分组表!$G$2:$G$394=$B19)*(K分组表!$D$2:$D$394="干预")/COUNTIFS(K分组表!$B$2:$B$394,K分组表!$B$2:$B$394,K分组表!$G$2:$G$394,K分组表!$G$2:$G$394,K分组表!$D$2:$D$394,K分组表!$D$2:$D$394))</f>
        <v/>
      </c>
      <c r="E19" s="164">
        <f>COUNTIFS(K分组表!$G$2:$G$394,$B19,K分组表!$D$2:$D$394,"维持")</f>
        <v/>
      </c>
      <c r="F19" s="164">
        <f>SUMPRODUCT((K分组表!$G$2:$G$394=$B19)*(K分组表!$D$2:$D$394="维持")/COUNTIFS(K分组表!$B$2:$B$394,K分组表!$B$2:$B$394,K分组表!$G$2:$G$394,K分组表!$G$2:$G$394,K分组表!$D$2:$D$394,K分组表!$D$2:$D$394))</f>
        <v/>
      </c>
      <c r="G19" s="164">
        <f>COUNTIFS(K分组表!$G$2:$G$394,$B19,K分组表!$D$2:$D$394,"泛化")</f>
        <v/>
      </c>
      <c r="H19" s="164">
        <f>SUMPRODUCT((K分组表!$G$2:$G$394=$B19)*(K分组表!$D$2:$D$394="泛化")/COUNTIFS(K分组表!$B$2:$B$394,K分组表!$B$2:$B$394,K分组表!$G$2:$G$394,K分组表!$G$2:$G$394,K分组表!$D$2:$D$394,K分组表!$D$2:$D$394))</f>
        <v/>
      </c>
      <c r="I19" s="164">
        <f>COUNTIF(K分组表!$G$2:$G$394,$B19)</f>
        <v/>
      </c>
    </row>
    <row r="20" ht="15" customHeight="1" s="111">
      <c r="A20" s="166" t="inlineStr">
        <is>
          <t>类型（人际关系发展）</t>
        </is>
      </c>
      <c r="B20" s="166" t="inlineStr">
        <is>
          <t>游戏互动</t>
        </is>
      </c>
      <c r="C20" s="164">
        <f>COUNTIFS(K分组表!$G$2:$G$394,$B20,K分组表!$D$2:$D$394,"干预")</f>
        <v/>
      </c>
      <c r="D20" s="164">
        <f>SUMPRODUCT((K分组表!$G$2:$G$394=$B20)*(K分组表!$D$2:$D$394="干预")/COUNTIFS(K分组表!$B$2:$B$394,K分组表!$B$2:$B$394,K分组表!$G$2:$G$394,K分组表!$G$2:$G$394,K分组表!$D$2:$D$394,K分组表!$D$2:$D$394))</f>
        <v/>
      </c>
      <c r="E20" s="164">
        <f>COUNTIFS(K分组表!$G$2:$G$394,$B20,K分组表!$D$2:$D$394,"维持")</f>
        <v/>
      </c>
      <c r="F20" s="164">
        <f>SUMPRODUCT((K分组表!$G$2:$G$394=$B20)*(K分组表!$D$2:$D$394="维持")/COUNTIFS(K分组表!$B$2:$B$394,K分组表!$B$2:$B$394,K分组表!$G$2:$G$394,K分组表!$G$2:$G$394,K分组表!$D$2:$D$394,K分组表!$D$2:$D$394))</f>
        <v/>
      </c>
      <c r="G20" s="164">
        <f>COUNTIFS(K分组表!$G$2:$G$394,$B20,K分组表!$D$2:$D$394,"泛化")</f>
        <v/>
      </c>
      <c r="H20" s="164">
        <f>SUMPRODUCT((K分组表!$G$2:$G$394=$B20)*(K分组表!$D$2:$D$394="泛化")/COUNTIFS(K分组表!$B$2:$B$394,K分组表!$B$2:$B$394,K分组表!$G$2:$G$394,K分组表!$G$2:$G$394,K分组表!$D$2:$D$394,K分组表!$D$2:$D$394))</f>
        <v/>
      </c>
      <c r="I20" s="164">
        <f>COUNTIF(K分组表!$G$2:$G$394,$B20)</f>
        <v/>
      </c>
    </row>
    <row r="21" ht="15" customHeight="1" s="111">
      <c r="A21" s="166" t="inlineStr">
        <is>
          <t>类型（人际关系发展）</t>
        </is>
      </c>
      <c r="B21" s="166" t="inlineStr">
        <is>
          <t>亲社会行为</t>
        </is>
      </c>
      <c r="C21" s="164">
        <f>COUNTIFS(K分组表!$G$2:$G$394,$B21,K分组表!$D$2:$D$394,"干预")</f>
        <v/>
      </c>
      <c r="D21" s="164">
        <f>SUMPRODUCT((K分组表!$G$2:$G$394=$B21)*(K分组表!$D$2:$D$394="干预")/COUNTIFS(K分组表!$B$2:$B$394,K分组表!$B$2:$B$394,K分组表!$G$2:$G$394,K分组表!$G$2:$G$394,K分组表!$D$2:$D$394,K分组表!$D$2:$D$394))</f>
        <v/>
      </c>
      <c r="E21" s="164">
        <f>COUNTIFS(K分组表!$G$2:$G$394,$B21,K分组表!$D$2:$D$394,"维持")</f>
        <v/>
      </c>
      <c r="F21" s="164">
        <f>SUMPRODUCT((K分组表!$G$2:$G$394=$B21)*(K分组表!$D$2:$D$394="维持")/COUNTIFS(K分组表!$B$2:$B$394,K分组表!$B$2:$B$394,K分组表!$G$2:$G$394,K分组表!$G$2:$G$394,K分组表!$D$2:$D$394,K分组表!$D$2:$D$394))</f>
        <v/>
      </c>
      <c r="G21" s="164">
        <f>COUNTIFS(K分组表!$G$2:$G$394,$B21,K分组表!$D$2:$D$394,"泛化")</f>
        <v/>
      </c>
      <c r="H21" s="164">
        <f>SUMPRODUCT((K分组表!$G$2:$G$394=$B21)*(K分组表!$D$2:$D$394="泛化")/COUNTIFS(K分组表!$B$2:$B$394,K分组表!$B$2:$B$394,K分组表!$G$2:$G$394,K分组表!$G$2:$G$394,K分组表!$D$2:$D$394,K分组表!$D$2:$D$394))</f>
        <v/>
      </c>
      <c r="I21" s="164">
        <f>COUNTIF(K分组表!$G$2:$G$394,$B21)</f>
        <v/>
      </c>
    </row>
    <row r="22" ht="15" customHeight="1" s="111">
      <c r="A22" s="166" t="inlineStr">
        <is>
          <t>类型（人际关系发展）</t>
        </is>
      </c>
      <c r="B22" s="166" t="inlineStr">
        <is>
          <t>情境适应</t>
        </is>
      </c>
      <c r="C22" s="164">
        <f>COUNTIFS(K分组表!$G$2:$G$394,$B22,K分组表!$D$2:$D$394,"干预")</f>
        <v/>
      </c>
      <c r="D22" s="164">
        <f>SUMPRODUCT((K分组表!$G$2:$G$394=$B22)*(K分组表!$D$2:$D$394="干预")/COUNTIFS(K分组表!$B$2:$B$394,K分组表!$B$2:$B$394,K分组表!$G$2:$G$394,K分组表!$G$2:$G$394,K分组表!$D$2:$D$394,K分组表!$D$2:$D$394))</f>
        <v/>
      </c>
      <c r="E22" s="164">
        <f>COUNTIFS(K分组表!$G$2:$G$394,$B22,K分组表!$D$2:$D$394,"维持")</f>
        <v/>
      </c>
      <c r="F22" s="164">
        <f>SUMPRODUCT((K分组表!$G$2:$G$394=$B22)*(K分组表!$D$2:$D$394="维持")/COUNTIFS(K分组表!$B$2:$B$394,K分组表!$B$2:$B$394,K分组表!$G$2:$G$394,K分组表!$G$2:$G$394,K分组表!$D$2:$D$394,K分组表!$D$2:$D$394))</f>
        <v/>
      </c>
      <c r="G22" s="164">
        <f>COUNTIFS(K分组表!$G$2:$G$394,$B22,K分组表!$D$2:$D$394,"泛化")</f>
        <v/>
      </c>
      <c r="H22" s="164">
        <f>SUMPRODUCT((K分组表!$G$2:$G$394=$B22)*(K分组表!$D$2:$D$394="泛化")/COUNTIFS(K分组表!$B$2:$B$394,K分组表!$B$2:$B$394,K分组表!$G$2:$G$394,K分组表!$G$2:$G$394,K分组表!$D$2:$D$394,K分组表!$D$2:$D$394))</f>
        <v/>
      </c>
      <c r="I22" s="164">
        <f>COUNTIF(K分组表!$G$2:$G$394,$B22)</f>
        <v/>
      </c>
    </row>
    <row r="24" ht="15" customHeight="1" s="111">
      <c r="A24" s="162" t="inlineStr">
        <is>
          <t>合计（全部K）</t>
        </is>
      </c>
      <c r="C24" s="164">
        <f>COUNTIFS(K分组表!$D$2:$D$394,"干预")</f>
        <v/>
      </c>
      <c r="D24" s="164">
        <f>SUMPRODUCT((K分组表!$D$2:$D$394="干预")/COUNTIFS(K分组表!$B$2:$B$394,K分组表!$B$2:$B$394,K分组表!$D$2:$D$394,K分组表!$D$2:$D$394))</f>
        <v/>
      </c>
      <c r="E24" s="164">
        <f>COUNTIFS(K分组表!$D$2:$D$394,"维持")</f>
        <v/>
      </c>
      <c r="F24" s="164">
        <f>SUMPRODUCT((K分组表!$D$2:$D$394="维持")/COUNTIFS(K分组表!$B$2:$B$394,K分组表!$B$2:$B$394,K分组表!$D$2:$D$394,K分组表!$D$2:$D$394))</f>
        <v/>
      </c>
      <c r="G24" s="164">
        <f>COUNTIFS(K分组表!$D$2:$D$394,"泛化")</f>
        <v/>
      </c>
      <c r="H24" s="164">
        <f>SUMPRODUCT((K分组表!$D$2:$D$394="泛化")/COUNTIFS(K分组表!$B$2:$B$394,K分组表!$B$2:$B$394,K分组表!$D$2:$D$394,K分组表!$D$2:$D$394))</f>
        <v/>
      </c>
      <c r="I24" s="164">
        <f>COUNTA(K分组表!$A$2:$A$394)</f>
        <v/>
      </c>
    </row>
    <row r="25" ht="15" customHeight="1" s="111">
      <c r="A25" s="162" t="inlineStr">
        <is>
          <t>文献总数</t>
        </is>
      </c>
      <c r="C25" s="164">
        <f>SUMPRODUCT(1/COUNTIF(K分组表!$B$2:$B$394,K分组表!$B$2:$B$394))</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2026-10-12T11:17:39Z</dcterms:created>
  <dcterms:modified xmlns:dcterms="http://purl.org/dc/terms/" xmlns:xsi="http://www.w3.org/2001/XMLSchema-instance" xsi:type="dcterms:W3CDTF">2026-10-24T05:01:16Z</dcterms:modified>
  <cp:revision>0</cp:revision>
</cp:coreProperties>
</file>